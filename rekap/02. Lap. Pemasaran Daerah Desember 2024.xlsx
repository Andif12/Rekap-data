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utinitas\Arshaka Maherza Zaldy\06. File Lap. Keuangan 2024\03. Lap. Akhir Bulan\Lap. Ke Pak Direktur Keuangan\12. Lap. Akhir Bulan Per Desember 2024\"/>
    </mc:Choice>
  </mc:AlternateContent>
  <bookViews>
    <workbookView xWindow="-120" yWindow="-120" windowWidth="21840" windowHeight="13140"/>
  </bookViews>
  <sheets>
    <sheet name="RPD 2024" sheetId="1" r:id="rId1"/>
    <sheet name="Sheet5" sheetId="5" r:id="rId2"/>
  </sheets>
  <definedNames>
    <definedName name="_xlnm.Print_Area" localSheetId="0">'RPD 2024'!$A$1:$V$104</definedName>
    <definedName name="_xlnm.Print_Titles" localSheetId="0">'RPD 2024'!$4:$5</definedName>
  </definedNames>
  <calcPr calcId="162913"/>
</workbook>
</file>

<file path=xl/calcChain.xml><?xml version="1.0" encoding="utf-8"?>
<calcChain xmlns="http://schemas.openxmlformats.org/spreadsheetml/2006/main">
  <c r="T179" i="1" l="1"/>
  <c r="T180" i="1"/>
  <c r="S8" i="1" l="1"/>
  <c r="V8" i="1" s="1"/>
  <c r="S86" i="1" l="1"/>
  <c r="V86" i="1" s="1"/>
  <c r="S99" i="1"/>
  <c r="V99" i="1" s="1"/>
  <c r="L83" i="1"/>
  <c r="H61" i="1" l="1"/>
  <c r="I61" i="1"/>
  <c r="J61" i="1"/>
  <c r="K61" i="1"/>
  <c r="L61" i="1"/>
  <c r="M61" i="1"/>
  <c r="N61" i="1"/>
  <c r="O61" i="1"/>
  <c r="P61" i="1"/>
  <c r="Q61" i="1"/>
  <c r="R61" i="1"/>
  <c r="G61" i="1"/>
  <c r="H57" i="1"/>
  <c r="I57" i="1"/>
  <c r="J57" i="1"/>
  <c r="K57" i="1"/>
  <c r="L57" i="1"/>
  <c r="M57" i="1"/>
  <c r="N57" i="1"/>
  <c r="O57" i="1"/>
  <c r="P57" i="1"/>
  <c r="Q57" i="1"/>
  <c r="R57" i="1"/>
  <c r="G57" i="1"/>
  <c r="AA60" i="1" l="1"/>
  <c r="T60" i="1" s="1"/>
  <c r="S60" i="1"/>
  <c r="V60" i="1" s="1"/>
  <c r="AA56" i="1"/>
  <c r="T56" i="1" s="1"/>
  <c r="S56" i="1"/>
  <c r="V56" i="1" s="1"/>
  <c r="U60" i="1" l="1"/>
  <c r="U56" i="1"/>
  <c r="AA57" i="1"/>
  <c r="AA58" i="1"/>
  <c r="S100" i="1"/>
  <c r="V100" i="1" s="1"/>
  <c r="K83" i="1"/>
  <c r="M83" i="1"/>
  <c r="N83" i="1"/>
  <c r="O83" i="1"/>
  <c r="P83" i="1"/>
  <c r="Z102" i="1"/>
  <c r="AA88" i="1"/>
  <c r="AA70" i="1"/>
  <c r="H83" i="1"/>
  <c r="I83" i="1"/>
  <c r="J83" i="1"/>
  <c r="Q83" i="1"/>
  <c r="R83" i="1"/>
  <c r="G83" i="1"/>
  <c r="H69" i="1"/>
  <c r="I69" i="1"/>
  <c r="J69" i="1"/>
  <c r="K69" i="1"/>
  <c r="L69" i="1"/>
  <c r="M69" i="1"/>
  <c r="N69" i="1"/>
  <c r="O69" i="1"/>
  <c r="P69" i="1"/>
  <c r="Q69" i="1"/>
  <c r="R69" i="1"/>
  <c r="G69" i="1"/>
  <c r="AA69" i="1"/>
  <c r="AA68" i="1"/>
  <c r="T68" i="1" s="1"/>
  <c r="S68" i="1"/>
  <c r="V68" i="1" s="1"/>
  <c r="U68" i="1" l="1"/>
  <c r="Y102" i="1"/>
  <c r="H51" i="1"/>
  <c r="G26" i="1"/>
  <c r="G51" i="1"/>
  <c r="AA51" i="1"/>
  <c r="R51" i="1"/>
  <c r="Q51" i="1"/>
  <c r="P51" i="1"/>
  <c r="O51" i="1"/>
  <c r="N51" i="1"/>
  <c r="M51" i="1"/>
  <c r="L51" i="1"/>
  <c r="K51" i="1"/>
  <c r="J51" i="1"/>
  <c r="I51" i="1"/>
  <c r="AA50" i="1"/>
  <c r="T50" i="1" s="1"/>
  <c r="S50" i="1"/>
  <c r="V50" i="1" s="1"/>
  <c r="AA49" i="1"/>
  <c r="T49" i="1" s="1"/>
  <c r="S49" i="1"/>
  <c r="V49" i="1" s="1"/>
  <c r="AA48" i="1"/>
  <c r="T48" i="1" s="1"/>
  <c r="S48" i="1"/>
  <c r="V48" i="1" s="1"/>
  <c r="AA47" i="1"/>
  <c r="T47" i="1" s="1"/>
  <c r="S47" i="1"/>
  <c r="V47" i="1" s="1"/>
  <c r="AA46" i="1"/>
  <c r="T46" i="1" s="1"/>
  <c r="S46" i="1"/>
  <c r="V46" i="1" s="1"/>
  <c r="AA45" i="1"/>
  <c r="T45" i="1" s="1"/>
  <c r="S45" i="1"/>
  <c r="V45" i="1" s="1"/>
  <c r="AA44" i="1"/>
  <c r="T44" i="1" s="1"/>
  <c r="S44" i="1"/>
  <c r="V44" i="1" s="1"/>
  <c r="AA43" i="1"/>
  <c r="T43" i="1" s="1"/>
  <c r="S43" i="1"/>
  <c r="V43" i="1" s="1"/>
  <c r="AA42" i="1"/>
  <c r="AA41" i="1"/>
  <c r="AA100" i="1"/>
  <c r="T100" i="1" s="1"/>
  <c r="AA9" i="1"/>
  <c r="T9" i="1" s="1"/>
  <c r="AA10" i="1"/>
  <c r="T10" i="1" s="1"/>
  <c r="AA11" i="1"/>
  <c r="T11" i="1" s="1"/>
  <c r="AA12" i="1"/>
  <c r="T12" i="1" s="1"/>
  <c r="AA13" i="1"/>
  <c r="T13" i="1" s="1"/>
  <c r="AA14" i="1"/>
  <c r="T14" i="1" s="1"/>
  <c r="AA15" i="1"/>
  <c r="AA16" i="1"/>
  <c r="AA17" i="1"/>
  <c r="AA18" i="1"/>
  <c r="T18" i="1" s="1"/>
  <c r="AA19" i="1"/>
  <c r="T19" i="1" s="1"/>
  <c r="AA20" i="1"/>
  <c r="T20" i="1" s="1"/>
  <c r="AA21" i="1"/>
  <c r="T21" i="1" s="1"/>
  <c r="AA22" i="1"/>
  <c r="T22" i="1" s="1"/>
  <c r="AA23" i="1"/>
  <c r="T23" i="1" s="1"/>
  <c r="AA24" i="1"/>
  <c r="T24" i="1" s="1"/>
  <c r="AA25" i="1"/>
  <c r="T25" i="1" s="1"/>
  <c r="AA26" i="1"/>
  <c r="AA27" i="1"/>
  <c r="AA28" i="1"/>
  <c r="AA29" i="1"/>
  <c r="T29" i="1" s="1"/>
  <c r="AA30" i="1"/>
  <c r="T30" i="1" s="1"/>
  <c r="AA31" i="1"/>
  <c r="T31" i="1" s="1"/>
  <c r="AA32" i="1"/>
  <c r="T32" i="1" s="1"/>
  <c r="AA33" i="1"/>
  <c r="AA34" i="1"/>
  <c r="AA35" i="1"/>
  <c r="AA36" i="1"/>
  <c r="T36" i="1" s="1"/>
  <c r="AA37" i="1"/>
  <c r="T37" i="1" s="1"/>
  <c r="AA38" i="1"/>
  <c r="T38" i="1" s="1"/>
  <c r="AA39" i="1"/>
  <c r="T39" i="1" s="1"/>
  <c r="AA40" i="1"/>
  <c r="AA52" i="1"/>
  <c r="AA53" i="1"/>
  <c r="AA54" i="1"/>
  <c r="T54" i="1" s="1"/>
  <c r="AA55" i="1"/>
  <c r="T55" i="1" s="1"/>
  <c r="AA59" i="1"/>
  <c r="T59" i="1" s="1"/>
  <c r="T61" i="1" s="1"/>
  <c r="AA61" i="1"/>
  <c r="AA62" i="1"/>
  <c r="AA63" i="1"/>
  <c r="AA64" i="1"/>
  <c r="T64" i="1" s="1"/>
  <c r="AA65" i="1"/>
  <c r="T65" i="1" s="1"/>
  <c r="AA66" i="1"/>
  <c r="T66" i="1" s="1"/>
  <c r="AA67" i="1"/>
  <c r="T67" i="1" s="1"/>
  <c r="AA71" i="1"/>
  <c r="T71" i="1" s="1"/>
  <c r="AA72" i="1"/>
  <c r="T72" i="1" s="1"/>
  <c r="AA73" i="1"/>
  <c r="T73" i="1" s="1"/>
  <c r="AA74" i="1"/>
  <c r="T74" i="1" s="1"/>
  <c r="AA75" i="1"/>
  <c r="T75" i="1" s="1"/>
  <c r="AA76" i="1"/>
  <c r="T76" i="1" s="1"/>
  <c r="AA77" i="1"/>
  <c r="T77" i="1" s="1"/>
  <c r="AA78" i="1"/>
  <c r="T78" i="1" s="1"/>
  <c r="AA79" i="1"/>
  <c r="T79" i="1" s="1"/>
  <c r="AA80" i="1"/>
  <c r="T80" i="1" s="1"/>
  <c r="AA81" i="1"/>
  <c r="T81" i="1" s="1"/>
  <c r="AA82" i="1"/>
  <c r="T82" i="1" s="1"/>
  <c r="AA83" i="1"/>
  <c r="AA84" i="1"/>
  <c r="AA85" i="1"/>
  <c r="AA86" i="1"/>
  <c r="T86" i="1" s="1"/>
  <c r="AA87" i="1"/>
  <c r="T87" i="1" s="1"/>
  <c r="T88" i="1"/>
  <c r="AA89" i="1"/>
  <c r="T89" i="1" s="1"/>
  <c r="AA90" i="1"/>
  <c r="T90" i="1" s="1"/>
  <c r="AA91" i="1"/>
  <c r="T91" i="1" s="1"/>
  <c r="AA92" i="1"/>
  <c r="T92" i="1" s="1"/>
  <c r="AA93" i="1"/>
  <c r="T93" i="1" s="1"/>
  <c r="AA94" i="1"/>
  <c r="T94" i="1" s="1"/>
  <c r="AA95" i="1"/>
  <c r="T95" i="1" s="1"/>
  <c r="AA96" i="1"/>
  <c r="T96" i="1" s="1"/>
  <c r="AA97" i="1"/>
  <c r="T97" i="1" s="1"/>
  <c r="AA98" i="1"/>
  <c r="T98" i="1" s="1"/>
  <c r="AA99" i="1"/>
  <c r="T99" i="1" s="1"/>
  <c r="AA8" i="1"/>
  <c r="T8" i="1" s="1"/>
  <c r="AA102" i="1" l="1"/>
  <c r="AA181" i="1" s="1"/>
  <c r="T57" i="1"/>
  <c r="T69" i="1"/>
  <c r="T83" i="1"/>
  <c r="U47" i="1"/>
  <c r="U45" i="1"/>
  <c r="U49" i="1"/>
  <c r="U46" i="1"/>
  <c r="U50" i="1"/>
  <c r="T51" i="1"/>
  <c r="S51" i="1"/>
  <c r="U43" i="1"/>
  <c r="U44" i="1"/>
  <c r="U48" i="1"/>
  <c r="V51" i="1" l="1"/>
  <c r="U51" i="1"/>
  <c r="T101" i="1" l="1"/>
  <c r="C150" i="1"/>
  <c r="J101" i="1" l="1"/>
  <c r="S66" i="1"/>
  <c r="V66" i="1" s="1"/>
  <c r="U66" i="1" l="1"/>
  <c r="T15" i="1"/>
  <c r="T26" i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C108" i="1"/>
  <c r="R15" i="1"/>
  <c r="S37" i="1"/>
  <c r="V37" i="1" s="1"/>
  <c r="S31" i="1"/>
  <c r="V31" i="1" s="1"/>
  <c r="S20" i="1"/>
  <c r="V20" i="1" s="1"/>
  <c r="C114" i="1"/>
  <c r="S24" i="1"/>
  <c r="V24" i="1" s="1"/>
  <c r="T27" i="1" l="1"/>
  <c r="U76" i="1"/>
  <c r="U78" i="1"/>
  <c r="U81" i="1"/>
  <c r="U80" i="1"/>
  <c r="U79" i="1"/>
  <c r="U77" i="1"/>
  <c r="U82" i="1"/>
  <c r="U24" i="1"/>
  <c r="C120" i="1" l="1"/>
  <c r="C126" i="1"/>
  <c r="U8" i="1" l="1"/>
  <c r="S21" i="1"/>
  <c r="V21" i="1" s="1"/>
  <c r="U21" i="1" l="1"/>
  <c r="S73" i="1"/>
  <c r="V73" i="1" s="1"/>
  <c r="S9" i="1"/>
  <c r="V9" i="1" s="1"/>
  <c r="S30" i="1"/>
  <c r="V30" i="1" s="1"/>
  <c r="S18" i="1"/>
  <c r="V18" i="1" s="1"/>
  <c r="C132" i="1"/>
  <c r="S98" i="1"/>
  <c r="V98" i="1" s="1"/>
  <c r="S97" i="1"/>
  <c r="V97" i="1" s="1"/>
  <c r="S96" i="1"/>
  <c r="V96" i="1" s="1"/>
  <c r="S95" i="1"/>
  <c r="V95" i="1" s="1"/>
  <c r="S94" i="1"/>
  <c r="V94" i="1" s="1"/>
  <c r="S93" i="1"/>
  <c r="V93" i="1" s="1"/>
  <c r="S92" i="1"/>
  <c r="V92" i="1" s="1"/>
  <c r="S91" i="1"/>
  <c r="V91" i="1" s="1"/>
  <c r="S90" i="1"/>
  <c r="V90" i="1" s="1"/>
  <c r="S89" i="1"/>
  <c r="V89" i="1" s="1"/>
  <c r="S88" i="1"/>
  <c r="V88" i="1" s="1"/>
  <c r="S87" i="1"/>
  <c r="V87" i="1" s="1"/>
  <c r="S75" i="1"/>
  <c r="V75" i="1" s="1"/>
  <c r="S74" i="1"/>
  <c r="V74" i="1" s="1"/>
  <c r="S72" i="1"/>
  <c r="V72" i="1" s="1"/>
  <c r="S71" i="1"/>
  <c r="V71" i="1" s="1"/>
  <c r="S67" i="1"/>
  <c r="V67" i="1" s="1"/>
  <c r="S65" i="1"/>
  <c r="V65" i="1" s="1"/>
  <c r="S64" i="1"/>
  <c r="V64" i="1" s="1"/>
  <c r="S59" i="1"/>
  <c r="V59" i="1" s="1"/>
  <c r="S55" i="1"/>
  <c r="V55" i="1" s="1"/>
  <c r="S54" i="1"/>
  <c r="V54" i="1" s="1"/>
  <c r="S39" i="1"/>
  <c r="V39" i="1" s="1"/>
  <c r="S38" i="1"/>
  <c r="V38" i="1" s="1"/>
  <c r="S36" i="1"/>
  <c r="V36" i="1" s="1"/>
  <c r="S32" i="1"/>
  <c r="V32" i="1" s="1"/>
  <c r="S29" i="1"/>
  <c r="V29" i="1" s="1"/>
  <c r="S25" i="1"/>
  <c r="V25" i="1" s="1"/>
  <c r="S23" i="1"/>
  <c r="V23" i="1" s="1"/>
  <c r="S22" i="1"/>
  <c r="V22" i="1" s="1"/>
  <c r="S19" i="1"/>
  <c r="V19" i="1" s="1"/>
  <c r="S14" i="1"/>
  <c r="V14" i="1" s="1"/>
  <c r="S13" i="1"/>
  <c r="V13" i="1" s="1"/>
  <c r="S12" i="1"/>
  <c r="V12" i="1" s="1"/>
  <c r="S11" i="1"/>
  <c r="V11" i="1" s="1"/>
  <c r="S10" i="1"/>
  <c r="V10" i="1" s="1"/>
  <c r="V57" i="1" l="1"/>
  <c r="S57" i="1"/>
  <c r="U57" i="1" s="1"/>
  <c r="V61" i="1"/>
  <c r="S61" i="1"/>
  <c r="U61" i="1" s="1"/>
  <c r="V69" i="1"/>
  <c r="S69" i="1"/>
  <c r="V83" i="1"/>
  <c r="S83" i="1"/>
  <c r="U83" i="1" s="1"/>
  <c r="V101" i="1"/>
  <c r="V15" i="1"/>
  <c r="U72" i="1"/>
  <c r="U73" i="1"/>
  <c r="U69" i="1" l="1"/>
  <c r="M101" i="1"/>
  <c r="C138" i="1"/>
  <c r="C144" i="1" l="1"/>
  <c r="C156" i="1" l="1"/>
  <c r="C162" i="1"/>
  <c r="C168" i="1"/>
  <c r="R26" i="1" l="1"/>
  <c r="R27" i="1" s="1"/>
  <c r="R101" i="1"/>
  <c r="R40" i="1"/>
  <c r="R33" i="1"/>
  <c r="Q101" i="1"/>
  <c r="R62" i="1" l="1"/>
  <c r="R102" i="1" s="1"/>
  <c r="U59" i="1"/>
  <c r="U55" i="1"/>
  <c r="U54" i="1"/>
  <c r="Q26" i="1"/>
  <c r="Q15" i="1"/>
  <c r="Q40" i="1"/>
  <c r="Q33" i="1"/>
  <c r="P101" i="1"/>
  <c r="P40" i="1"/>
  <c r="P33" i="1"/>
  <c r="P26" i="1"/>
  <c r="P15" i="1"/>
  <c r="O15" i="1"/>
  <c r="Q62" i="1" l="1"/>
  <c r="P62" i="1"/>
  <c r="P27" i="1"/>
  <c r="Q27" i="1"/>
  <c r="C110" i="1"/>
  <c r="S15" i="1"/>
  <c r="Q102" i="1" l="1"/>
  <c r="C116" i="1" s="1"/>
  <c r="P102" i="1"/>
  <c r="C122" i="1" s="1"/>
  <c r="O101" i="1"/>
  <c r="O40" i="1"/>
  <c r="O33" i="1"/>
  <c r="O26" i="1"/>
  <c r="O27" i="1" s="1"/>
  <c r="N26" i="1"/>
  <c r="N15" i="1"/>
  <c r="N101" i="1"/>
  <c r="N40" i="1"/>
  <c r="N33" i="1"/>
  <c r="M40" i="1"/>
  <c r="M33" i="1"/>
  <c r="M26" i="1"/>
  <c r="M15" i="1"/>
  <c r="N62" i="1" l="1"/>
  <c r="M62" i="1"/>
  <c r="O62" i="1"/>
  <c r="O102" i="1" s="1"/>
  <c r="N27" i="1"/>
  <c r="M27" i="1"/>
  <c r="L101" i="1"/>
  <c r="L40" i="1"/>
  <c r="L33" i="1"/>
  <c r="L26" i="1"/>
  <c r="L15" i="1"/>
  <c r="L62" i="1" l="1"/>
  <c r="N102" i="1"/>
  <c r="C134" i="1" s="1"/>
  <c r="M102" i="1"/>
  <c r="C140" i="1" s="1"/>
  <c r="L27" i="1"/>
  <c r="C128" i="1"/>
  <c r="L102" i="1" l="1"/>
  <c r="C146" i="1" s="1"/>
  <c r="K101" i="1"/>
  <c r="K40" i="1"/>
  <c r="K33" i="1"/>
  <c r="K26" i="1"/>
  <c r="K15" i="1"/>
  <c r="K62" i="1" l="1"/>
  <c r="K27" i="1"/>
  <c r="J26" i="1"/>
  <c r="J15" i="1"/>
  <c r="K102" i="1" l="1"/>
  <c r="C152" i="1" s="1"/>
  <c r="J27" i="1"/>
  <c r="J33" i="1"/>
  <c r="J62" i="1" s="1"/>
  <c r="J40" i="1"/>
  <c r="I101" i="1" l="1"/>
  <c r="I40" i="1"/>
  <c r="I33" i="1"/>
  <c r="I62" i="1" s="1"/>
  <c r="I26" i="1"/>
  <c r="I15" i="1"/>
  <c r="J102" i="1" l="1"/>
  <c r="C158" i="1" s="1"/>
  <c r="I27" i="1"/>
  <c r="H101" i="1"/>
  <c r="I102" i="1" l="1"/>
  <c r="C164" i="1" s="1"/>
  <c r="G101" i="1" l="1"/>
  <c r="G40" i="1" l="1"/>
  <c r="C174" i="1"/>
  <c r="H40" i="1"/>
  <c r="H33" i="1"/>
  <c r="H26" i="1"/>
  <c r="H15" i="1"/>
  <c r="H62" i="1" l="1"/>
  <c r="H27" i="1"/>
  <c r="S101" i="1"/>
  <c r="H102" i="1" l="1"/>
  <c r="C170" i="1" s="1"/>
  <c r="U71" i="1"/>
  <c r="U74" i="1"/>
  <c r="U19" i="1"/>
  <c r="U20" i="1" l="1"/>
  <c r="U22" i="1"/>
  <c r="U75" i="1"/>
  <c r="U10" i="1"/>
  <c r="G33" i="1"/>
  <c r="G62" i="1" s="1"/>
  <c r="S33" i="1"/>
  <c r="S26" i="1"/>
  <c r="S27" i="1" s="1"/>
  <c r="G15" i="1"/>
  <c r="G27" i="1" s="1"/>
  <c r="G102" i="1" l="1"/>
  <c r="U27" i="1"/>
  <c r="S40" i="1"/>
  <c r="U67" i="1"/>
  <c r="S62" i="1" l="1"/>
  <c r="S102" i="1" s="1"/>
  <c r="C176" i="1"/>
  <c r="T33" i="1" l="1"/>
  <c r="T40" i="1"/>
  <c r="U65" i="1"/>
  <c r="T62" i="1" l="1"/>
  <c r="T102" i="1" s="1"/>
  <c r="U64" i="1"/>
  <c r="U95" i="1"/>
  <c r="U62" i="1" l="1"/>
  <c r="U94" i="1"/>
  <c r="U93" i="1" l="1"/>
  <c r="U101" i="1" l="1"/>
  <c r="U86" i="1"/>
  <c r="U87" i="1"/>
  <c r="V26" i="1" l="1"/>
  <c r="V27" i="1" s="1"/>
  <c r="U9" i="1"/>
  <c r="U11" i="1"/>
  <c r="U14" i="1" l="1"/>
  <c r="U12" i="1"/>
  <c r="U30" i="1"/>
  <c r="U32" i="1"/>
  <c r="U38" i="1"/>
  <c r="U39" i="1"/>
  <c r="U89" i="1"/>
  <c r="U91" i="1"/>
  <c r="U97" i="1"/>
  <c r="U99" i="1"/>
  <c r="U29" i="1"/>
  <c r="U31" i="1"/>
  <c r="U37" i="1"/>
  <c r="U88" i="1"/>
  <c r="U90" i="1"/>
  <c r="U92" i="1"/>
  <c r="U96" i="1"/>
  <c r="U98" i="1"/>
  <c r="U100" i="1"/>
  <c r="U36" i="1"/>
  <c r="V33" i="1"/>
  <c r="U26" i="1"/>
  <c r="U18" i="1"/>
  <c r="U25" i="1"/>
  <c r="U23" i="1"/>
  <c r="V40" i="1"/>
  <c r="V62" i="1" l="1"/>
  <c r="V102" i="1" s="1"/>
  <c r="U33" i="1"/>
  <c r="U40" i="1"/>
  <c r="U13" i="1"/>
  <c r="U15" i="1"/>
  <c r="U102" i="1" l="1"/>
</calcChain>
</file>

<file path=xl/sharedStrings.xml><?xml version="1.0" encoding="utf-8"?>
<sst xmlns="http://schemas.openxmlformats.org/spreadsheetml/2006/main" count="170" uniqueCount="126">
  <si>
    <t>No</t>
  </si>
  <si>
    <t>Pemasaran Daerah</t>
  </si>
  <si>
    <t>Wilayah</t>
  </si>
  <si>
    <t>Fasilitas</t>
  </si>
  <si>
    <t>Target</t>
  </si>
  <si>
    <t>TOTAL</t>
  </si>
  <si>
    <t>RATA RATA</t>
  </si>
  <si>
    <t>Sulawesi Barat</t>
  </si>
  <si>
    <t>Mobil 1 Unit</t>
  </si>
  <si>
    <t xml:space="preserve">Anggota </t>
  </si>
  <si>
    <t>Donggala</t>
  </si>
  <si>
    <t>Motor 1 Unit</t>
  </si>
  <si>
    <t>Mamuju</t>
  </si>
  <si>
    <t>Mamuju Utara</t>
  </si>
  <si>
    <t>Mamuju Tengah</t>
  </si>
  <si>
    <t>Polman</t>
  </si>
  <si>
    <t>Majene</t>
  </si>
  <si>
    <t>: Yusri Suhaeri</t>
  </si>
  <si>
    <t>: Arifin</t>
  </si>
  <si>
    <t>Toli Toli</t>
  </si>
  <si>
    <t>Gorontalo</t>
  </si>
  <si>
    <t>Palu</t>
  </si>
  <si>
    <t>Poso</t>
  </si>
  <si>
    <t>Morowali</t>
  </si>
  <si>
    <t>Luwu Utara</t>
  </si>
  <si>
    <t>Luwu Timur</t>
  </si>
  <si>
    <t>Luwu</t>
  </si>
  <si>
    <t>Palopo</t>
  </si>
  <si>
    <t>Sulawesi Tenggara</t>
  </si>
  <si>
    <t>Kolaka Utara</t>
  </si>
  <si>
    <t>Kolaka Kota</t>
  </si>
  <si>
    <t xml:space="preserve">Bombana </t>
  </si>
  <si>
    <t>Kendari</t>
  </si>
  <si>
    <t>Konawe Selatan</t>
  </si>
  <si>
    <t>Konawe Utara</t>
  </si>
  <si>
    <t xml:space="preserve">Raha </t>
  </si>
  <si>
    <t>Buton</t>
  </si>
  <si>
    <t>Pinrang</t>
  </si>
  <si>
    <t>Wilayah II</t>
  </si>
  <si>
    <t>Pare Pare</t>
  </si>
  <si>
    <t>Barru</t>
  </si>
  <si>
    <t xml:space="preserve">Pangkep </t>
  </si>
  <si>
    <t>Maros</t>
  </si>
  <si>
    <t>Wajo</t>
  </si>
  <si>
    <t>Bone</t>
  </si>
  <si>
    <t>Sinjai</t>
  </si>
  <si>
    <t>Bulukumba/Selayar/Bantaeng</t>
  </si>
  <si>
    <t>ANTAR PULAU</t>
  </si>
  <si>
    <t>Luwuk Banggai</t>
  </si>
  <si>
    <t>Yogyakarta</t>
  </si>
  <si>
    <t>Ternate</t>
  </si>
  <si>
    <t>Gresik</t>
  </si>
  <si>
    <t>Sumbawa/ Lombok</t>
  </si>
  <si>
    <t>Tuban/Surabaya</t>
  </si>
  <si>
    <t>Berau, Kal. Utara</t>
  </si>
  <si>
    <t>Tarakan/Nunukan, Kalut</t>
  </si>
  <si>
    <t>Balikpapan/Samarinda, Kaltim</t>
  </si>
  <si>
    <t>Semarang</t>
  </si>
  <si>
    <t>Papua/ Jaya Pura</t>
  </si>
  <si>
    <t>Pangkal Pinang</t>
  </si>
  <si>
    <t>Bengkulu/ Bengkalis</t>
  </si>
  <si>
    <t>Manado</t>
  </si>
  <si>
    <t>REALISASI</t>
  </si>
  <si>
    <t>% vs Target</t>
  </si>
  <si>
    <t>Parigi</t>
  </si>
  <si>
    <t>Moutong</t>
  </si>
  <si>
    <t>Bulukumba (Intensif)</t>
  </si>
  <si>
    <t>Takalar (Intensif)</t>
  </si>
  <si>
    <t>Makassar</t>
  </si>
  <si>
    <t>Asist. Korwil</t>
  </si>
  <si>
    <t>: Wahyudi</t>
  </si>
  <si>
    <t>: Sam Nugraha Kinas</t>
  </si>
  <si>
    <t>Januari</t>
  </si>
  <si>
    <t>Jumlah</t>
  </si>
  <si>
    <t>Cash Back</t>
  </si>
  <si>
    <t>Pontianak, Kalbar</t>
  </si>
  <si>
    <t>Batu Licin, Kalsel</t>
  </si>
  <si>
    <t xml:space="preserve"> </t>
  </si>
  <si>
    <t>Sulawesi Tengah</t>
  </si>
  <si>
    <t>Jalang'E (Petak 7, 8 9)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</si>
  <si>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</si>
  <si>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</si>
  <si>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</si>
  <si>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</si>
  <si>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</si>
  <si>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</si>
  <si>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</si>
  <si>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</si>
  <si>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</si>
  <si>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</si>
  <si>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</si>
  <si>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Buol</t>
  </si>
  <si>
    <t>Penjualan per 01 s/d 31 Desember 2022</t>
  </si>
  <si>
    <t>Donggulu 1</t>
  </si>
  <si>
    <t>Donggulu 2</t>
  </si>
  <si>
    <t xml:space="preserve">Tomoli, Parigi </t>
  </si>
  <si>
    <t>Siney, Parigi</t>
  </si>
  <si>
    <t xml:space="preserve">Bambapula 1, Dampal </t>
  </si>
  <si>
    <t>Lado ABCD, Parigi</t>
  </si>
  <si>
    <t>Babanji ABCD, Dampal</t>
  </si>
  <si>
    <t xml:space="preserve">Bambapula 2, Dampal </t>
  </si>
  <si>
    <t>Lombonga, Donggala</t>
  </si>
  <si>
    <t>: Hasrul Hasan</t>
  </si>
  <si>
    <t>Penjualan per 01 s/d 31 Januari 2023</t>
  </si>
  <si>
    <t>Jeneponto</t>
  </si>
  <si>
    <t>Penjualan per 01 s/d 28 Februari 2023</t>
  </si>
  <si>
    <t>Penjualan per 01 s/d 31 Maret 2023</t>
  </si>
  <si>
    <t>Luwuk Banggai (Intensif)</t>
  </si>
  <si>
    <t>Penjualan per 01 s/d 30 April 2023</t>
  </si>
  <si>
    <t>Penjualan per 01 s/d 31 Mei 2023</t>
  </si>
  <si>
    <t>Penjualan per 01 s/d 30 Juni 2023</t>
  </si>
  <si>
    <t>Penjualan per 01 s/d 31 Agustus 2023</t>
  </si>
  <si>
    <t>Penjualan per 01 s/d 31 Juli 2023</t>
  </si>
  <si>
    <t>Penjualan per 01 s/d 30 September 2023</t>
  </si>
  <si>
    <t>Penjualan per 01 s/d 31 Oktober 2023</t>
  </si>
  <si>
    <t>Penjualan per 01 s/d 30 November 2023</t>
  </si>
  <si>
    <t>Lingadan Perusahaan</t>
  </si>
  <si>
    <t>Lingadan Masyarakat</t>
  </si>
  <si>
    <t>Tambak Intensif Luar</t>
  </si>
  <si>
    <t>Tambak Intensif Perusahaan</t>
  </si>
  <si>
    <t>Korwil</t>
  </si>
  <si>
    <t>: Ismed Akhdiat</t>
  </si>
  <si>
    <t>REALISASI PEMASARAN DAERAH (Budget 230)</t>
  </si>
  <si>
    <t>Luwu Raya 1</t>
  </si>
  <si>
    <t>Luwu Raya 2</t>
  </si>
  <si>
    <t>BULAN DESEMBER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</si>
</sst>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_);_(* \(#,##0\);_(* &quot;-&quot;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horizontal="center" vertical="center"/>
    </xf>
    <xf numFmtId="0" fontId="4" fillId="0" borderId="20" xfId="3" applyFont="1" applyBorder="1"/>
    <xf numFmtId="41" fontId="0" fillId="0" borderId="0" xfId="0" applyNumberFormat="1"/>
    <xf numFmtId="10" fontId="0" fillId="0" borderId="0" xfId="2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/>
    <xf numFmtId="10" fontId="5" fillId="0" borderId="0" xfId="2" applyNumberFormat="1" applyFont="1"/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2" borderId="15" xfId="0" applyFont="1" applyFill="1" applyBorder="1"/>
    <xf numFmtId="10" fontId="5" fillId="2" borderId="15" xfId="2" applyNumberFormat="1" applyFont="1" applyFill="1" applyBorder="1"/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2" borderId="21" xfId="0" applyFont="1" applyFill="1" applyBorder="1"/>
    <xf numFmtId="10" fontId="5" fillId="2" borderId="21" xfId="2" applyNumberFormat="1" applyFont="1" applyFill="1" applyBorder="1"/>
    <xf numFmtId="164" fontId="5" fillId="0" borderId="20" xfId="1" applyFont="1" applyBorder="1"/>
    <xf numFmtId="41" fontId="5" fillId="2" borderId="21" xfId="0" applyNumberFormat="1" applyFont="1" applyFill="1" applyBorder="1"/>
    <xf numFmtId="165" fontId="5" fillId="2" borderId="21" xfId="0" applyNumberFormat="1" applyFont="1" applyFill="1" applyBorder="1"/>
    <xf numFmtId="41" fontId="5" fillId="0" borderId="20" xfId="1" applyNumberFormat="1" applyFont="1" applyBorder="1"/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41" fontId="5" fillId="0" borderId="26" xfId="1" applyNumberFormat="1" applyFont="1" applyBorder="1"/>
    <xf numFmtId="41" fontId="5" fillId="0" borderId="14" xfId="1" applyNumberFormat="1" applyFont="1" applyBorder="1"/>
    <xf numFmtId="164" fontId="5" fillId="0" borderId="26" xfId="1" applyFont="1" applyBorder="1"/>
    <xf numFmtId="164" fontId="5" fillId="0" borderId="14" xfId="1" applyFont="1" applyBorder="1"/>
    <xf numFmtId="0" fontId="7" fillId="0" borderId="19" xfId="0" applyFont="1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/>
    <xf numFmtId="0" fontId="5" fillId="0" borderId="8" xfId="0" applyFont="1" applyBorder="1"/>
    <xf numFmtId="0" fontId="4" fillId="0" borderId="17" xfId="0" applyFont="1" applyBorder="1"/>
    <xf numFmtId="0" fontId="8" fillId="0" borderId="0" xfId="0" applyFont="1" applyAlignment="1">
      <alignment horizontal="center" vertical="center"/>
    </xf>
    <xf numFmtId="0" fontId="4" fillId="0" borderId="11" xfId="0" applyFont="1" applyBorder="1"/>
    <xf numFmtId="0" fontId="5" fillId="0" borderId="18" xfId="3" applyFont="1" applyBorder="1"/>
    <xf numFmtId="0" fontId="5" fillId="0" borderId="6" xfId="3" applyFont="1" applyBorder="1"/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/>
    <xf numFmtId="0" fontId="4" fillId="3" borderId="29" xfId="0" applyFont="1" applyFill="1" applyBorder="1"/>
    <xf numFmtId="0" fontId="4" fillId="3" borderId="30" xfId="0" applyFont="1" applyFill="1" applyBorder="1"/>
    <xf numFmtId="41" fontId="4" fillId="3" borderId="31" xfId="1" applyNumberFormat="1" applyFont="1" applyFill="1" applyBorder="1"/>
    <xf numFmtId="41" fontId="4" fillId="3" borderId="32" xfId="0" applyNumberFormat="1" applyFont="1" applyFill="1" applyBorder="1"/>
    <xf numFmtId="10" fontId="4" fillId="3" borderId="32" xfId="2" applyNumberFormat="1" applyFont="1" applyFill="1" applyBorder="1"/>
    <xf numFmtId="165" fontId="4" fillId="3" borderId="32" xfId="0" applyNumberFormat="1" applyFont="1" applyFill="1" applyBorder="1"/>
    <xf numFmtId="0" fontId="8" fillId="0" borderId="0" xfId="0" applyFont="1"/>
    <xf numFmtId="164" fontId="4" fillId="3" borderId="31" xfId="1" applyFont="1" applyFill="1" applyBorder="1"/>
    <xf numFmtId="164" fontId="4" fillId="3" borderId="32" xfId="1" applyFont="1" applyFill="1" applyBorder="1"/>
    <xf numFmtId="0" fontId="4" fillId="4" borderId="27" xfId="0" applyFont="1" applyFill="1" applyBorder="1" applyAlignment="1">
      <alignment horizontal="center" vertical="center"/>
    </xf>
    <xf numFmtId="0" fontId="4" fillId="4" borderId="30" xfId="0" applyFont="1" applyFill="1" applyBorder="1"/>
    <xf numFmtId="41" fontId="4" fillId="4" borderId="33" xfId="0" applyNumberFormat="1" applyFont="1" applyFill="1" applyBorder="1"/>
    <xf numFmtId="164" fontId="5" fillId="0" borderId="0" xfId="0" applyNumberFormat="1" applyFont="1"/>
    <xf numFmtId="164" fontId="5" fillId="0" borderId="12" xfId="0" applyNumberFormat="1" applyFont="1" applyBorder="1"/>
    <xf numFmtId="164" fontId="5" fillId="0" borderId="18" xfId="0" applyNumberFormat="1" applyFont="1" applyBorder="1"/>
    <xf numFmtId="164" fontId="4" fillId="3" borderId="29" xfId="0" applyNumberFormat="1" applyFont="1" applyFill="1" applyBorder="1"/>
    <xf numFmtId="164" fontId="5" fillId="0" borderId="24" xfId="0" applyNumberFormat="1" applyFont="1" applyBorder="1"/>
    <xf numFmtId="164" fontId="5" fillId="0" borderId="6" xfId="0" applyNumberFormat="1" applyFont="1" applyBorder="1"/>
    <xf numFmtId="164" fontId="4" fillId="3" borderId="30" xfId="0" applyNumberFormat="1" applyFont="1" applyFill="1" applyBorder="1"/>
    <xf numFmtId="164" fontId="4" fillId="4" borderId="30" xfId="0" applyNumberFormat="1" applyFont="1" applyFill="1" applyBorder="1"/>
    <xf numFmtId="164" fontId="0" fillId="0" borderId="0" xfId="0" applyNumberFormat="1"/>
    <xf numFmtId="164" fontId="5" fillId="0" borderId="35" xfId="0" applyNumberFormat="1" applyFont="1" applyBorder="1"/>
    <xf numFmtId="0" fontId="11" fillId="0" borderId="0" xfId="0" applyFont="1"/>
    <xf numFmtId="164" fontId="4" fillId="0" borderId="0" xfId="0" applyNumberFormat="1" applyFont="1"/>
    <xf numFmtId="164" fontId="11" fillId="0" borderId="36" xfId="0" applyNumberFormat="1" applyFont="1" applyBorder="1"/>
    <xf numFmtId="0" fontId="4" fillId="4" borderId="28" xfId="0" applyFont="1" applyFill="1" applyBorder="1"/>
    <xf numFmtId="164" fontId="4" fillId="4" borderId="29" xfId="0" applyNumberFormat="1" applyFont="1" applyFill="1" applyBorder="1"/>
    <xf numFmtId="0" fontId="4" fillId="4" borderId="29" xfId="0" applyFont="1" applyFill="1" applyBorder="1"/>
    <xf numFmtId="164" fontId="4" fillId="4" borderId="31" xfId="0" applyNumberFormat="1" applyFont="1" applyFill="1" applyBorder="1"/>
    <xf numFmtId="0" fontId="4" fillId="0" borderId="17" xfId="3" applyFont="1" applyBorder="1"/>
    <xf numFmtId="41" fontId="4" fillId="4" borderId="34" xfId="0" applyNumberFormat="1" applyFont="1" applyFill="1" applyBorder="1"/>
    <xf numFmtId="164" fontId="4" fillId="4" borderId="33" xfId="0" applyNumberFormat="1" applyFont="1" applyFill="1" applyBorder="1"/>
    <xf numFmtId="164" fontId="4" fillId="3" borderId="28" xfId="1" applyFont="1" applyFill="1" applyBorder="1"/>
    <xf numFmtId="41" fontId="4" fillId="4" borderId="27" xfId="0" applyNumberFormat="1" applyFont="1" applyFill="1" applyBorder="1"/>
    <xf numFmtId="10" fontId="4" fillId="4" borderId="32" xfId="2" applyNumberFormat="1" applyFont="1" applyFill="1" applyBorder="1"/>
    <xf numFmtId="0" fontId="4" fillId="4" borderId="39" xfId="0" applyFont="1" applyFill="1" applyBorder="1" applyAlignment="1">
      <alignment horizontal="center" vertical="center"/>
    </xf>
    <xf numFmtId="41" fontId="4" fillId="3" borderId="34" xfId="0" applyNumberFormat="1" applyFont="1" applyFill="1" applyBorder="1"/>
    <xf numFmtId="41" fontId="4" fillId="3" borderId="31" xfId="0" applyNumberFormat="1" applyFont="1" applyFill="1" applyBorder="1"/>
    <xf numFmtId="0" fontId="12" fillId="0" borderId="0" xfId="0" applyFont="1"/>
    <xf numFmtId="10" fontId="10" fillId="0" borderId="0" xfId="2" applyNumberFormat="1" applyFont="1" applyAlignment="1">
      <alignment horizontal="right"/>
    </xf>
    <xf numFmtId="164" fontId="4" fillId="4" borderId="27" xfId="0" applyNumberFormat="1" applyFont="1" applyFill="1" applyBorder="1"/>
    <xf numFmtId="0" fontId="0" fillId="0" borderId="17" xfId="0" applyBorder="1"/>
    <xf numFmtId="0" fontId="4" fillId="4" borderId="41" xfId="0" applyFont="1" applyFill="1" applyBorder="1" applyAlignment="1">
      <alignment horizontal="center" vertical="center"/>
    </xf>
    <xf numFmtId="164" fontId="5" fillId="0" borderId="19" xfId="1" applyFont="1" applyBorder="1"/>
    <xf numFmtId="41" fontId="5" fillId="0" borderId="19" xfId="1" applyNumberFormat="1" applyFont="1" applyBorder="1"/>
    <xf numFmtId="41" fontId="5" fillId="0" borderId="13" xfId="1" applyNumberFormat="1" applyFont="1" applyBorder="1"/>
    <xf numFmtId="164" fontId="5" fillId="0" borderId="25" xfId="1" applyFont="1" applyBorder="1"/>
    <xf numFmtId="164" fontId="5" fillId="0" borderId="13" xfId="1" applyFont="1" applyBorder="1"/>
    <xf numFmtId="41" fontId="5" fillId="0" borderId="25" xfId="1" applyNumberFormat="1" applyFont="1" applyBorder="1"/>
    <xf numFmtId="164" fontId="4" fillId="3" borderId="30" xfId="1" applyFont="1" applyFill="1" applyBorder="1"/>
    <xf numFmtId="0" fontId="5" fillId="0" borderId="42" xfId="0" applyFont="1" applyBorder="1"/>
    <xf numFmtId="164" fontId="5" fillId="0" borderId="18" xfId="1" applyFont="1" applyBorder="1"/>
    <xf numFmtId="164" fontId="5" fillId="0" borderId="24" xfId="1" applyFont="1" applyBorder="1"/>
    <xf numFmtId="164" fontId="5" fillId="0" borderId="12" xfId="1" applyFont="1" applyBorder="1"/>
    <xf numFmtId="41" fontId="5" fillId="0" borderId="24" xfId="1" applyNumberFormat="1" applyFont="1" applyBorder="1"/>
    <xf numFmtId="164" fontId="5" fillId="0" borderId="6" xfId="1" applyFont="1" applyBorder="1"/>
    <xf numFmtId="41" fontId="4" fillId="3" borderId="30" xfId="1" applyNumberFormat="1" applyFont="1" applyFill="1" applyBorder="1"/>
    <xf numFmtId="0" fontId="5" fillId="0" borderId="43" xfId="0" applyFont="1" applyBorder="1"/>
    <xf numFmtId="164" fontId="5" fillId="0" borderId="17" xfId="1" applyFont="1" applyBorder="1"/>
    <xf numFmtId="41" fontId="5" fillId="0" borderId="17" xfId="1" applyNumberFormat="1" applyFont="1" applyBorder="1"/>
    <xf numFmtId="41" fontId="5" fillId="0" borderId="11" xfId="1" applyNumberFormat="1" applyFont="1" applyBorder="1"/>
    <xf numFmtId="164" fontId="5" fillId="0" borderId="23" xfId="1" applyFont="1" applyBorder="1"/>
    <xf numFmtId="164" fontId="5" fillId="0" borderId="11" xfId="1" applyFont="1" applyBorder="1"/>
    <xf numFmtId="41" fontId="5" fillId="0" borderId="23" xfId="1" applyNumberFormat="1" applyFont="1" applyBorder="1"/>
    <xf numFmtId="164" fontId="5" fillId="0" borderId="5" xfId="1" applyFont="1" applyBorder="1"/>
    <xf numFmtId="164" fontId="7" fillId="0" borderId="20" xfId="1" applyFont="1" applyBorder="1"/>
    <xf numFmtId="0" fontId="5" fillId="0" borderId="6" xfId="0" applyFont="1" applyBorder="1"/>
    <xf numFmtId="0" fontId="5" fillId="2" borderId="44" xfId="0" applyFont="1" applyFill="1" applyBorder="1"/>
    <xf numFmtId="41" fontId="5" fillId="2" borderId="44" xfId="0" applyNumberFormat="1" applyFont="1" applyFill="1" applyBorder="1"/>
    <xf numFmtId="0" fontId="5" fillId="0" borderId="24" xfId="3" applyFont="1" applyBorder="1"/>
    <xf numFmtId="0" fontId="5" fillId="2" borderId="3" xfId="0" applyFont="1" applyFill="1" applyBorder="1"/>
    <xf numFmtId="165" fontId="5" fillId="2" borderId="21" xfId="1" applyNumberFormat="1" applyFont="1" applyFill="1" applyBorder="1"/>
    <xf numFmtId="164" fontId="0" fillId="0" borderId="0" xfId="1" applyFont="1"/>
    <xf numFmtId="164" fontId="8" fillId="0" borderId="0" xfId="1" applyFont="1" applyAlignment="1">
      <alignment horizontal="center" vertical="center"/>
    </xf>
    <xf numFmtId="164" fontId="8" fillId="0" borderId="0" xfId="1" applyFont="1"/>
    <xf numFmtId="164" fontId="5" fillId="0" borderId="0" xfId="1" applyFont="1"/>
    <xf numFmtId="164" fontId="4" fillId="4" borderId="28" xfId="0" applyNumberFormat="1" applyFont="1" applyFill="1" applyBorder="1"/>
    <xf numFmtId="164" fontId="4" fillId="4" borderId="32" xfId="0" applyNumberFormat="1" applyFont="1" applyFill="1" applyBorder="1"/>
    <xf numFmtId="164" fontId="4" fillId="3" borderId="27" xfId="1" applyFont="1" applyFill="1" applyBorder="1"/>
    <xf numFmtId="10" fontId="4" fillId="3" borderId="27" xfId="2" applyNumberFormat="1" applyFont="1" applyFill="1" applyBorder="1"/>
    <xf numFmtId="10" fontId="10" fillId="0" borderId="0" xfId="2" applyNumberFormat="1" applyFont="1" applyAlignment="1">
      <alignment horizontal="right"/>
    </xf>
    <xf numFmtId="10" fontId="4" fillId="2" borderId="3" xfId="2" applyNumberFormat="1" applyFont="1" applyFill="1" applyBorder="1" applyAlignment="1">
      <alignment horizontal="center" vertical="center"/>
    </xf>
    <xf numFmtId="10" fontId="4" fillId="2" borderId="9" xfId="2" applyNumberFormat="1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</cellXfs>
  <cellStyles count="5">
    <cellStyle name="Comma [0]" xfId="1" builtinId="6"/>
    <cellStyle name="Comma [0] 3" xfId="4"/>
    <cellStyle name="Normal" xfId="0" builtinId="0"/>
    <cellStyle name="Normal 3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AB184"/>
  <sheetViews>
    <sheetView tabSelected="1" zoomScale="60" zoomScaleNormal="60" workbookViewId="0">
      <pane ySplit="5" topLeftCell="A6" activePane="bottomLeft" state="frozen"/>
      <selection pane="bottomLeft" activeCell="A2" sqref="A2:V2"/>
    </sheetView>
  </sheetViews>
  <sheetFormatPr defaultRowHeight="15" x14ac:dyDescent="0.25"/>
  <cols>
    <col min="1" max="1" width="5" style="1" customWidth="1"/>
    <col min="2" max="2" width="14" customWidth="1"/>
    <col min="3" max="3" width="23.28515625" style="65" bestFit="1" customWidth="1"/>
    <col min="4" max="4" width="3.7109375" customWidth="1"/>
    <col min="5" max="5" width="27.7109375" customWidth="1"/>
    <col min="6" max="6" width="16.28515625" hidden="1" customWidth="1"/>
    <col min="7" max="9" width="15.5703125" customWidth="1"/>
    <col min="10" max="10" width="14.85546875" customWidth="1"/>
    <col min="11" max="18" width="15.5703125" customWidth="1"/>
    <col min="19" max="19" width="16.5703125" customWidth="1"/>
    <col min="20" max="20" width="17.42578125" customWidth="1"/>
    <col min="21" max="21" width="13.5703125" style="4" customWidth="1"/>
    <col min="22" max="22" width="15" bestFit="1" customWidth="1"/>
    <col min="25" max="25" width="15.85546875" style="117" customWidth="1"/>
    <col min="26" max="26" width="17.28515625" style="117" customWidth="1"/>
    <col min="27" max="27" width="16.42578125" style="117" customWidth="1"/>
    <col min="28" max="28" width="9" style="117"/>
  </cols>
  <sheetData>
    <row r="1" spans="1:28" ht="18" x14ac:dyDescent="0.25">
      <c r="A1" s="129" t="s">
        <v>122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</row>
    <row r="2" spans="1:28" ht="18.75" thickBot="1" x14ac:dyDescent="0.3">
      <c r="A2" s="128" t="s">
        <v>125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</row>
    <row r="3" spans="1:28" ht="7.5" customHeight="1" thickTop="1" thickBot="1" x14ac:dyDescent="0.3">
      <c r="A3" s="5"/>
      <c r="B3" s="6"/>
      <c r="C3" s="5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6"/>
    </row>
    <row r="4" spans="1:28" s="39" customFormat="1" ht="15.75" thickBot="1" x14ac:dyDescent="0.3">
      <c r="A4" s="130" t="s">
        <v>0</v>
      </c>
      <c r="B4" s="130" t="s">
        <v>1</v>
      </c>
      <c r="C4" s="132"/>
      <c r="D4" s="130" t="s">
        <v>2</v>
      </c>
      <c r="E4" s="132"/>
      <c r="F4" s="134" t="s">
        <v>3</v>
      </c>
      <c r="G4" s="140" t="s">
        <v>62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2"/>
      <c r="S4" s="136" t="s">
        <v>5</v>
      </c>
      <c r="T4" s="136" t="s">
        <v>4</v>
      </c>
      <c r="U4" s="126" t="s">
        <v>63</v>
      </c>
      <c r="V4" s="138" t="s">
        <v>6</v>
      </c>
      <c r="Y4" s="118"/>
      <c r="Z4" s="118"/>
      <c r="AA4" s="118"/>
      <c r="AB4" s="118"/>
    </row>
    <row r="5" spans="1:28" s="39" customFormat="1" ht="15.75" thickBot="1" x14ac:dyDescent="0.3">
      <c r="A5" s="131"/>
      <c r="B5" s="131"/>
      <c r="C5" s="133"/>
      <c r="D5" s="131"/>
      <c r="E5" s="133"/>
      <c r="F5" s="135"/>
      <c r="G5" s="80" t="s">
        <v>72</v>
      </c>
      <c r="H5" s="80" t="s">
        <v>80</v>
      </c>
      <c r="I5" s="80" t="s">
        <v>81</v>
      </c>
      <c r="J5" s="80" t="s">
        <v>82</v>
      </c>
      <c r="K5" s="80" t="s">
        <v>83</v>
      </c>
      <c r="L5" s="80" t="s">
        <v>84</v>
      </c>
      <c r="M5" s="80" t="s">
        <v>85</v>
      </c>
      <c r="N5" s="80" t="s">
        <v>86</v>
      </c>
      <c r="O5" s="80" t="s">
        <v>87</v>
      </c>
      <c r="P5" s="87" t="s">
        <v>88</v>
      </c>
      <c r="Q5" s="87" t="s">
        <v>89</v>
      </c>
      <c r="R5" s="87" t="s">
        <v>90</v>
      </c>
      <c r="S5" s="137"/>
      <c r="T5" s="137"/>
      <c r="U5" s="127"/>
      <c r="V5" s="139"/>
      <c r="Y5" s="118"/>
      <c r="Z5" s="118"/>
      <c r="AA5" s="118"/>
      <c r="AB5" s="118"/>
    </row>
    <row r="6" spans="1:28" x14ac:dyDescent="0.25">
      <c r="A6" s="8"/>
      <c r="B6" s="9"/>
      <c r="C6" s="58"/>
      <c r="D6" s="9"/>
      <c r="E6" s="10"/>
      <c r="F6" s="11"/>
      <c r="G6" s="12"/>
      <c r="H6" s="12"/>
      <c r="I6" s="12"/>
      <c r="J6" s="12"/>
      <c r="K6" s="12"/>
      <c r="L6" s="12"/>
      <c r="M6" s="12"/>
      <c r="N6" s="12"/>
      <c r="O6" s="12"/>
      <c r="P6" s="95"/>
      <c r="Q6" s="11"/>
      <c r="R6" s="102"/>
      <c r="S6" s="13"/>
      <c r="T6" s="13"/>
      <c r="U6" s="14"/>
      <c r="V6" s="13"/>
    </row>
    <row r="7" spans="1:28" x14ac:dyDescent="0.25">
      <c r="A7" s="15">
        <v>1</v>
      </c>
      <c r="B7" s="16" t="s">
        <v>69</v>
      </c>
      <c r="C7" s="59" t="s">
        <v>17</v>
      </c>
      <c r="D7" s="38" t="s">
        <v>7</v>
      </c>
      <c r="E7" s="17"/>
      <c r="F7" s="18" t="s">
        <v>8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8"/>
      <c r="R7" s="16"/>
      <c r="S7" s="20"/>
      <c r="T7" s="20"/>
      <c r="U7" s="21"/>
      <c r="V7" s="20"/>
    </row>
    <row r="8" spans="1:28" x14ac:dyDescent="0.25">
      <c r="A8" s="15"/>
      <c r="B8" s="16" t="s">
        <v>9</v>
      </c>
      <c r="C8" s="59" t="s">
        <v>102</v>
      </c>
      <c r="D8" s="16"/>
      <c r="E8" s="17" t="s">
        <v>10</v>
      </c>
      <c r="F8" s="18" t="s">
        <v>11</v>
      </c>
      <c r="G8" s="22">
        <v>2425000</v>
      </c>
      <c r="H8" s="22">
        <v>1410000</v>
      </c>
      <c r="I8" s="22">
        <v>595000</v>
      </c>
      <c r="J8" s="22">
        <v>2820000</v>
      </c>
      <c r="K8" s="22">
        <v>2524000</v>
      </c>
      <c r="L8" s="22">
        <v>3190000</v>
      </c>
      <c r="M8" s="22">
        <v>4316000</v>
      </c>
      <c r="N8" s="22">
        <v>1580000</v>
      </c>
      <c r="O8" s="22">
        <v>470000</v>
      </c>
      <c r="P8" s="22">
        <v>518000</v>
      </c>
      <c r="Q8" s="88">
        <v>0</v>
      </c>
      <c r="R8" s="103">
        <v>300000</v>
      </c>
      <c r="S8" s="23">
        <f>SUM(G8:R8)</f>
        <v>20148000</v>
      </c>
      <c r="T8" s="116">
        <f>AA8</f>
        <v>30148250</v>
      </c>
      <c r="U8" s="21">
        <f>S8/T8</f>
        <v>0.66829749653794168</v>
      </c>
      <c r="V8" s="24">
        <f>S8/12</f>
        <v>1679000</v>
      </c>
      <c r="Y8" s="117">
        <v>27648250</v>
      </c>
      <c r="Z8" s="117">
        <v>2500000</v>
      </c>
      <c r="AA8" s="117">
        <f>Y8+Z8</f>
        <v>30148250</v>
      </c>
    </row>
    <row r="9" spans="1:28" x14ac:dyDescent="0.25">
      <c r="A9" s="15"/>
      <c r="B9" s="16"/>
      <c r="C9" s="59"/>
      <c r="D9" s="16"/>
      <c r="E9" s="17" t="s">
        <v>12</v>
      </c>
      <c r="F9" s="18"/>
      <c r="G9" s="22">
        <v>4251500</v>
      </c>
      <c r="H9" s="22">
        <v>4292500</v>
      </c>
      <c r="I9" s="22">
        <v>4047000</v>
      </c>
      <c r="J9" s="22">
        <v>3183500</v>
      </c>
      <c r="K9" s="22">
        <v>3392500</v>
      </c>
      <c r="L9" s="22">
        <v>2330500</v>
      </c>
      <c r="M9" s="22">
        <v>2369500</v>
      </c>
      <c r="N9" s="22">
        <v>3267000</v>
      </c>
      <c r="O9" s="22">
        <v>3976000</v>
      </c>
      <c r="P9" s="22">
        <v>1473000</v>
      </c>
      <c r="Q9" s="88">
        <v>2927000</v>
      </c>
      <c r="R9" s="103">
        <v>3576500</v>
      </c>
      <c r="S9" s="23">
        <f>SUM(G9:R9)</f>
        <v>39086500</v>
      </c>
      <c r="T9" s="116">
        <f t="shared" ref="T9:T14" si="0">AA9</f>
        <v>71221885</v>
      </c>
      <c r="U9" s="21">
        <f>S9/T9</f>
        <v>0.5487990103042063</v>
      </c>
      <c r="V9" s="24">
        <f t="shared" ref="V9:V14" si="1">S9/12</f>
        <v>3257208.3333333335</v>
      </c>
      <c r="Y9" s="117">
        <v>65621885</v>
      </c>
      <c r="Z9" s="117">
        <v>5600000</v>
      </c>
      <c r="AA9" s="117">
        <f t="shared" ref="AA9:AA76" si="2">Y9+Z9</f>
        <v>71221885</v>
      </c>
    </row>
    <row r="10" spans="1:28" x14ac:dyDescent="0.25">
      <c r="A10" s="15"/>
      <c r="B10" s="16"/>
      <c r="C10" s="59"/>
      <c r="D10" s="16" t="s">
        <v>77</v>
      </c>
      <c r="E10" s="17" t="s">
        <v>13</v>
      </c>
      <c r="F10" s="18"/>
      <c r="G10" s="22">
        <v>5985000</v>
      </c>
      <c r="H10" s="22">
        <v>6206000</v>
      </c>
      <c r="I10" s="22">
        <v>2050000</v>
      </c>
      <c r="J10" s="22">
        <v>1621000</v>
      </c>
      <c r="K10" s="22">
        <v>4045000</v>
      </c>
      <c r="L10" s="22">
        <v>5055000</v>
      </c>
      <c r="M10" s="22">
        <v>6170000</v>
      </c>
      <c r="N10" s="22">
        <v>3644000</v>
      </c>
      <c r="O10" s="22">
        <v>3792500</v>
      </c>
      <c r="P10" s="22">
        <v>800000</v>
      </c>
      <c r="Q10" s="88">
        <v>2055000</v>
      </c>
      <c r="R10" s="103">
        <v>2826500</v>
      </c>
      <c r="S10" s="23">
        <f t="shared" ref="S10:S14" si="3">SUM(G10:R10)</f>
        <v>44250000</v>
      </c>
      <c r="T10" s="116">
        <f t="shared" si="0"/>
        <v>85734950</v>
      </c>
      <c r="U10" s="21">
        <f t="shared" ref="U10:U14" si="4">S10/T10</f>
        <v>0.51612557072699061</v>
      </c>
      <c r="V10" s="24">
        <f t="shared" si="1"/>
        <v>3687500</v>
      </c>
      <c r="Y10" s="117">
        <v>78734950</v>
      </c>
      <c r="Z10" s="117">
        <v>7000000</v>
      </c>
      <c r="AA10" s="117">
        <f t="shared" si="2"/>
        <v>85734950</v>
      </c>
    </row>
    <row r="11" spans="1:28" x14ac:dyDescent="0.25">
      <c r="A11" s="15"/>
      <c r="B11" s="16"/>
      <c r="C11" s="59"/>
      <c r="D11" s="16"/>
      <c r="E11" s="17" t="s">
        <v>14</v>
      </c>
      <c r="F11" s="18"/>
      <c r="G11" s="22">
        <v>2676000</v>
      </c>
      <c r="H11" s="22">
        <v>2652500</v>
      </c>
      <c r="I11" s="22">
        <v>2580000</v>
      </c>
      <c r="J11" s="22">
        <v>1968000</v>
      </c>
      <c r="K11" s="22">
        <v>2493000</v>
      </c>
      <c r="L11" s="22">
        <v>1171000</v>
      </c>
      <c r="M11" s="22">
        <v>2789000</v>
      </c>
      <c r="N11" s="22">
        <v>3905000</v>
      </c>
      <c r="O11" s="22">
        <v>1230000</v>
      </c>
      <c r="P11" s="22">
        <v>450000</v>
      </c>
      <c r="Q11" s="88">
        <v>1440000</v>
      </c>
      <c r="R11" s="103">
        <v>1980500</v>
      </c>
      <c r="S11" s="23">
        <f t="shared" si="3"/>
        <v>25335000</v>
      </c>
      <c r="T11" s="116">
        <f t="shared" si="0"/>
        <v>57070850</v>
      </c>
      <c r="U11" s="21">
        <f>S11/T11</f>
        <v>0.44392189708055863</v>
      </c>
      <c r="V11" s="24">
        <f t="shared" si="1"/>
        <v>2111250</v>
      </c>
      <c r="Y11" s="117">
        <v>53070850</v>
      </c>
      <c r="Z11" s="117">
        <v>4000000</v>
      </c>
      <c r="AA11" s="117">
        <f t="shared" si="2"/>
        <v>57070850</v>
      </c>
    </row>
    <row r="12" spans="1:28" x14ac:dyDescent="0.25">
      <c r="A12" s="15"/>
      <c r="B12" s="16"/>
      <c r="C12" s="59"/>
      <c r="D12" s="16"/>
      <c r="E12" s="17" t="s">
        <v>15</v>
      </c>
      <c r="F12" s="18"/>
      <c r="G12" s="22">
        <v>7716000</v>
      </c>
      <c r="H12" s="22">
        <v>7483000</v>
      </c>
      <c r="I12" s="22">
        <v>5379000</v>
      </c>
      <c r="J12" s="22">
        <v>4140000</v>
      </c>
      <c r="K12" s="22">
        <v>8151000</v>
      </c>
      <c r="L12" s="22">
        <v>4060500</v>
      </c>
      <c r="M12" s="22">
        <v>7220000</v>
      </c>
      <c r="N12" s="22">
        <v>5965000</v>
      </c>
      <c r="O12" s="22">
        <v>3975000</v>
      </c>
      <c r="P12" s="22">
        <v>4722000</v>
      </c>
      <c r="Q12" s="88">
        <v>7035500</v>
      </c>
      <c r="R12" s="103">
        <v>3220500</v>
      </c>
      <c r="S12" s="23">
        <f t="shared" si="3"/>
        <v>69067500</v>
      </c>
      <c r="T12" s="116">
        <f t="shared" si="0"/>
        <v>98359650</v>
      </c>
      <c r="U12" s="21">
        <f t="shared" si="4"/>
        <v>0.70219342992782097</v>
      </c>
      <c r="V12" s="24">
        <f t="shared" si="1"/>
        <v>5755625</v>
      </c>
      <c r="Y12" s="117">
        <v>90859650</v>
      </c>
      <c r="Z12" s="117">
        <v>7500000</v>
      </c>
      <c r="AA12" s="117">
        <f t="shared" si="2"/>
        <v>98359650</v>
      </c>
    </row>
    <row r="13" spans="1:28" x14ac:dyDescent="0.25">
      <c r="A13" s="15"/>
      <c r="B13" s="16"/>
      <c r="C13" s="59"/>
      <c r="D13" s="16"/>
      <c r="E13" s="17" t="s">
        <v>37</v>
      </c>
      <c r="F13" s="18"/>
      <c r="G13" s="33">
        <v>8570000</v>
      </c>
      <c r="H13" s="22">
        <v>7899000</v>
      </c>
      <c r="I13" s="22">
        <v>3354000</v>
      </c>
      <c r="J13" s="22">
        <v>4110000</v>
      </c>
      <c r="K13" s="22">
        <v>7299500</v>
      </c>
      <c r="L13" s="22">
        <v>4348000</v>
      </c>
      <c r="M13" s="22">
        <v>4138000</v>
      </c>
      <c r="N13" s="22">
        <v>6336000</v>
      </c>
      <c r="O13" s="22">
        <v>3684000</v>
      </c>
      <c r="P13" s="22">
        <v>15965000</v>
      </c>
      <c r="Q13" s="88">
        <v>11382000</v>
      </c>
      <c r="R13" s="103">
        <v>3471000</v>
      </c>
      <c r="S13" s="23">
        <f t="shared" si="3"/>
        <v>80556500</v>
      </c>
      <c r="T13" s="116">
        <f t="shared" si="0"/>
        <v>94067380</v>
      </c>
      <c r="U13" s="14">
        <f>S13/T13</f>
        <v>0.85637018911337814</v>
      </c>
      <c r="V13" s="24">
        <f t="shared" si="1"/>
        <v>6713041.666666667</v>
      </c>
      <c r="Y13" s="117">
        <v>86067380</v>
      </c>
      <c r="Z13" s="117">
        <v>8000000</v>
      </c>
      <c r="AA13" s="117">
        <f t="shared" si="2"/>
        <v>94067380</v>
      </c>
    </row>
    <row r="14" spans="1:28" ht="15.75" thickBot="1" x14ac:dyDescent="0.3">
      <c r="A14" s="15"/>
      <c r="B14" s="16"/>
      <c r="C14" s="59"/>
      <c r="D14" s="16"/>
      <c r="E14" s="17" t="s">
        <v>16</v>
      </c>
      <c r="F14" s="18"/>
      <c r="G14" s="25">
        <v>170000</v>
      </c>
      <c r="H14" s="25">
        <v>465000</v>
      </c>
      <c r="I14" s="25">
        <v>153000</v>
      </c>
      <c r="J14" s="25">
        <v>300000</v>
      </c>
      <c r="K14" s="25">
        <v>350000</v>
      </c>
      <c r="L14" s="25">
        <v>170000</v>
      </c>
      <c r="M14" s="25">
        <v>0</v>
      </c>
      <c r="N14" s="25">
        <v>75000</v>
      </c>
      <c r="O14" s="25">
        <v>545000</v>
      </c>
      <c r="P14" s="25">
        <v>20000</v>
      </c>
      <c r="Q14" s="89">
        <v>9500</v>
      </c>
      <c r="R14" s="104">
        <v>0</v>
      </c>
      <c r="S14" s="23">
        <f t="shared" si="3"/>
        <v>2257500</v>
      </c>
      <c r="T14" s="116">
        <f t="shared" si="0"/>
        <v>6850850</v>
      </c>
      <c r="U14" s="21">
        <f t="shared" si="4"/>
        <v>0.32952115430931928</v>
      </c>
      <c r="V14" s="24">
        <f t="shared" si="1"/>
        <v>188125</v>
      </c>
      <c r="Y14" s="117">
        <v>6450850</v>
      </c>
      <c r="Z14" s="117">
        <v>400000</v>
      </c>
      <c r="AA14" s="117">
        <f t="shared" si="2"/>
        <v>6850850</v>
      </c>
    </row>
    <row r="15" spans="1:28" s="51" customFormat="1" ht="15.75" thickBot="1" x14ac:dyDescent="0.3">
      <c r="A15" s="43"/>
      <c r="B15" s="44"/>
      <c r="C15" s="60"/>
      <c r="D15" s="44"/>
      <c r="E15" s="45"/>
      <c r="F15" s="46"/>
      <c r="G15" s="47">
        <f t="shared" ref="G15:I15" si="5">SUM(G8:G14)</f>
        <v>31793500</v>
      </c>
      <c r="H15" s="47">
        <f t="shared" si="5"/>
        <v>30408000</v>
      </c>
      <c r="I15" s="47">
        <f t="shared" si="5"/>
        <v>18158000</v>
      </c>
      <c r="J15" s="47">
        <f t="shared" ref="J15:N15" si="6">SUM(J8:J14)</f>
        <v>18142500</v>
      </c>
      <c r="K15" s="47">
        <f t="shared" si="6"/>
        <v>28255000</v>
      </c>
      <c r="L15" s="47">
        <f t="shared" si="6"/>
        <v>20325000</v>
      </c>
      <c r="M15" s="47">
        <f t="shared" si="6"/>
        <v>27002500</v>
      </c>
      <c r="N15" s="47">
        <f t="shared" si="6"/>
        <v>24772000</v>
      </c>
      <c r="O15" s="47">
        <f t="shared" ref="O15:T15" si="7">SUM(O8:O14)</f>
        <v>17672500</v>
      </c>
      <c r="P15" s="47">
        <f t="shared" si="7"/>
        <v>23948000</v>
      </c>
      <c r="Q15" s="101">
        <f t="shared" si="7"/>
        <v>24849000</v>
      </c>
      <c r="R15" s="47">
        <f>SUM(R8:R14)</f>
        <v>15375000</v>
      </c>
      <c r="S15" s="48">
        <f t="shared" si="7"/>
        <v>280701000</v>
      </c>
      <c r="T15" s="48">
        <f t="shared" si="7"/>
        <v>443453815</v>
      </c>
      <c r="U15" s="49">
        <f>S15/T15</f>
        <v>0.6329881275234942</v>
      </c>
      <c r="V15" s="50">
        <f>SUM(V8:V14)</f>
        <v>23391750</v>
      </c>
      <c r="Y15" s="119">
        <v>0</v>
      </c>
      <c r="Z15" s="119"/>
      <c r="AA15" s="117">
        <f t="shared" si="2"/>
        <v>0</v>
      </c>
      <c r="AB15" s="119"/>
    </row>
    <row r="16" spans="1:28" x14ac:dyDescent="0.25">
      <c r="A16" s="8"/>
      <c r="B16" s="9"/>
      <c r="C16" s="58"/>
      <c r="D16" s="9"/>
      <c r="E16" s="10"/>
      <c r="F16" s="1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90"/>
      <c r="R16" s="105"/>
      <c r="S16" s="13"/>
      <c r="T16" s="13"/>
      <c r="U16" s="14"/>
      <c r="V16" s="13"/>
      <c r="Y16" s="117">
        <v>0</v>
      </c>
      <c r="AA16" s="117">
        <f t="shared" si="2"/>
        <v>0</v>
      </c>
    </row>
    <row r="17" spans="1:28" x14ac:dyDescent="0.25">
      <c r="A17" s="15">
        <v>2</v>
      </c>
      <c r="B17" s="16" t="s">
        <v>69</v>
      </c>
      <c r="C17" s="59" t="s">
        <v>18</v>
      </c>
      <c r="D17" s="38" t="s">
        <v>78</v>
      </c>
      <c r="E17" s="17"/>
      <c r="F17" s="18" t="s">
        <v>8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8"/>
      <c r="R17" s="16"/>
      <c r="S17" s="20"/>
      <c r="T17" s="112"/>
      <c r="U17" s="21"/>
      <c r="V17" s="20"/>
      <c r="Y17" s="117">
        <v>0</v>
      </c>
      <c r="AA17" s="117">
        <f t="shared" si="2"/>
        <v>0</v>
      </c>
    </row>
    <row r="18" spans="1:28" x14ac:dyDescent="0.25">
      <c r="A18" s="15"/>
      <c r="B18" s="16"/>
      <c r="C18" s="59"/>
      <c r="D18" s="16"/>
      <c r="E18" s="17" t="s">
        <v>64</v>
      </c>
      <c r="F18" s="18" t="s">
        <v>11</v>
      </c>
      <c r="G18" s="22">
        <v>9318000</v>
      </c>
      <c r="H18" s="22">
        <v>10155000</v>
      </c>
      <c r="I18" s="22">
        <v>7720000</v>
      </c>
      <c r="J18" s="22">
        <v>4055000</v>
      </c>
      <c r="K18" s="22">
        <v>9050000</v>
      </c>
      <c r="L18" s="22">
        <v>15395000</v>
      </c>
      <c r="M18" s="110">
        <v>12741000</v>
      </c>
      <c r="N18" s="22">
        <v>6540000</v>
      </c>
      <c r="O18" s="22">
        <v>5031000</v>
      </c>
      <c r="P18" s="96">
        <v>7541000</v>
      </c>
      <c r="Q18" s="88">
        <v>681400</v>
      </c>
      <c r="R18" s="103">
        <v>2748350</v>
      </c>
      <c r="S18" s="23">
        <f>SUM(G18:R18)</f>
        <v>90975750</v>
      </c>
      <c r="T18" s="116">
        <f t="shared" ref="T18:T25" si="8">AA18</f>
        <v>168273549</v>
      </c>
      <c r="U18" s="21">
        <f>S18/T18</f>
        <v>0.54064201141915658</v>
      </c>
      <c r="V18" s="24">
        <f t="shared" ref="V18:V25" si="9">S18/12</f>
        <v>7581312.5</v>
      </c>
      <c r="Y18" s="117">
        <v>158273549</v>
      </c>
      <c r="Z18" s="117">
        <v>10000000</v>
      </c>
      <c r="AA18" s="117">
        <f t="shared" si="2"/>
        <v>168273549</v>
      </c>
    </row>
    <row r="19" spans="1:28" x14ac:dyDescent="0.25">
      <c r="A19" s="15"/>
      <c r="B19" s="16"/>
      <c r="C19" s="59"/>
      <c r="D19" s="16"/>
      <c r="E19" s="17" t="s">
        <v>65</v>
      </c>
      <c r="F19" s="18"/>
      <c r="G19" s="22">
        <v>8301500</v>
      </c>
      <c r="H19" s="22">
        <v>10072000</v>
      </c>
      <c r="I19" s="22">
        <v>1147000</v>
      </c>
      <c r="J19" s="22">
        <v>7612500</v>
      </c>
      <c r="K19" s="22">
        <v>4650000</v>
      </c>
      <c r="L19" s="22">
        <v>4357000</v>
      </c>
      <c r="M19" s="22">
        <v>6213500</v>
      </c>
      <c r="N19" s="22">
        <v>6350000</v>
      </c>
      <c r="O19" s="22">
        <v>9479000</v>
      </c>
      <c r="P19" s="96">
        <v>2130000</v>
      </c>
      <c r="Q19" s="88">
        <v>16065000</v>
      </c>
      <c r="R19" s="103">
        <v>23194000</v>
      </c>
      <c r="S19" s="23">
        <f t="shared" ref="S19:S25" si="10">SUM(G19:R19)</f>
        <v>99571500</v>
      </c>
      <c r="T19" s="116">
        <f t="shared" si="8"/>
        <v>225457250</v>
      </c>
      <c r="U19" s="21">
        <f>S19/T19</f>
        <v>0.44164248432906905</v>
      </c>
      <c r="V19" s="24">
        <f t="shared" si="9"/>
        <v>8297625</v>
      </c>
      <c r="Y19" s="117">
        <v>209457250</v>
      </c>
      <c r="Z19" s="117">
        <v>16000000</v>
      </c>
      <c r="AA19" s="117">
        <f t="shared" si="2"/>
        <v>225457250</v>
      </c>
    </row>
    <row r="20" spans="1:28" x14ac:dyDescent="0.25">
      <c r="A20" s="15"/>
      <c r="B20" s="16"/>
      <c r="C20" s="59"/>
      <c r="D20" s="16"/>
      <c r="E20" s="17" t="s">
        <v>19</v>
      </c>
      <c r="F20" s="18" t="s">
        <v>11</v>
      </c>
      <c r="G20" s="22">
        <v>281000</v>
      </c>
      <c r="H20" s="22">
        <v>430000</v>
      </c>
      <c r="I20" s="22">
        <v>0</v>
      </c>
      <c r="J20" s="22">
        <v>1650000</v>
      </c>
      <c r="K20" s="22">
        <v>200000</v>
      </c>
      <c r="L20" s="22">
        <v>0</v>
      </c>
      <c r="M20" s="22">
        <v>0</v>
      </c>
      <c r="N20" s="22">
        <v>485000</v>
      </c>
      <c r="O20" s="22">
        <v>235000</v>
      </c>
      <c r="P20" s="96">
        <v>0</v>
      </c>
      <c r="Q20" s="88">
        <v>0</v>
      </c>
      <c r="R20" s="103">
        <v>0</v>
      </c>
      <c r="S20" s="23">
        <f>SUM(G20:R20)</f>
        <v>3281000</v>
      </c>
      <c r="T20" s="116">
        <f t="shared" si="8"/>
        <v>11147250</v>
      </c>
      <c r="U20" s="21">
        <f>S20/T20</f>
        <v>0.29433268294870935</v>
      </c>
      <c r="V20" s="24">
        <f t="shared" si="9"/>
        <v>273416.66666666669</v>
      </c>
      <c r="Y20" s="117">
        <v>10647250</v>
      </c>
      <c r="Z20" s="117">
        <v>500000</v>
      </c>
      <c r="AA20" s="117">
        <f t="shared" si="2"/>
        <v>11147250</v>
      </c>
    </row>
    <row r="21" spans="1:28" x14ac:dyDescent="0.25">
      <c r="A21" s="15"/>
      <c r="B21" s="16"/>
      <c r="C21" s="59"/>
      <c r="D21" s="16"/>
      <c r="E21" s="17" t="s">
        <v>91</v>
      </c>
      <c r="F21" s="18"/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96">
        <v>0</v>
      </c>
      <c r="Q21" s="88">
        <v>0</v>
      </c>
      <c r="R21" s="103">
        <v>0</v>
      </c>
      <c r="S21" s="23">
        <f>SUM(G21:R21)</f>
        <v>0</v>
      </c>
      <c r="T21" s="116">
        <f t="shared" si="8"/>
        <v>594000</v>
      </c>
      <c r="U21" s="21">
        <f>S21/T21</f>
        <v>0</v>
      </c>
      <c r="V21" s="24">
        <f t="shared" si="9"/>
        <v>0</v>
      </c>
      <c r="Y21" s="117">
        <v>594000</v>
      </c>
      <c r="Z21" s="117">
        <v>0</v>
      </c>
      <c r="AA21" s="117">
        <f t="shared" si="2"/>
        <v>594000</v>
      </c>
    </row>
    <row r="22" spans="1:28" x14ac:dyDescent="0.25">
      <c r="A22" s="15"/>
      <c r="B22" s="16"/>
      <c r="C22" s="59"/>
      <c r="D22" s="16"/>
      <c r="E22" s="17" t="s">
        <v>20</v>
      </c>
      <c r="F22" s="18"/>
      <c r="G22" s="22">
        <v>14411300</v>
      </c>
      <c r="H22" s="22">
        <v>10657000</v>
      </c>
      <c r="I22" s="22">
        <v>10835000</v>
      </c>
      <c r="J22" s="22">
        <v>7655000</v>
      </c>
      <c r="K22" s="22">
        <v>13044800</v>
      </c>
      <c r="L22" s="22">
        <v>14449000</v>
      </c>
      <c r="M22" s="22">
        <v>11066000</v>
      </c>
      <c r="N22" s="22">
        <v>9584700</v>
      </c>
      <c r="O22" s="22">
        <v>7174700</v>
      </c>
      <c r="P22" s="96">
        <v>2000000</v>
      </c>
      <c r="Q22" s="88">
        <v>6305000</v>
      </c>
      <c r="R22" s="103">
        <v>7463624</v>
      </c>
      <c r="S22" s="23">
        <f t="shared" si="10"/>
        <v>114646124</v>
      </c>
      <c r="T22" s="116">
        <f t="shared" si="8"/>
        <v>222656850</v>
      </c>
      <c r="U22" s="21">
        <f>S22/T22</f>
        <v>0.51490050272425936</v>
      </c>
      <c r="V22" s="24">
        <f t="shared" si="9"/>
        <v>9553843.666666666</v>
      </c>
      <c r="Y22" s="117">
        <v>206956850</v>
      </c>
      <c r="Z22" s="117">
        <v>15700000</v>
      </c>
      <c r="AA22" s="117">
        <f t="shared" si="2"/>
        <v>222656850</v>
      </c>
    </row>
    <row r="23" spans="1:28" x14ac:dyDescent="0.25">
      <c r="A23" s="15"/>
      <c r="B23" s="16"/>
      <c r="C23" s="59"/>
      <c r="D23" s="16"/>
      <c r="E23" s="17" t="s">
        <v>21</v>
      </c>
      <c r="F23" s="18"/>
      <c r="G23" s="22">
        <v>0</v>
      </c>
      <c r="H23" s="22">
        <v>300000</v>
      </c>
      <c r="I23" s="22">
        <v>0</v>
      </c>
      <c r="J23" s="22">
        <v>0</v>
      </c>
      <c r="K23" s="22">
        <v>100000</v>
      </c>
      <c r="L23" s="22">
        <v>95000</v>
      </c>
      <c r="M23" s="22">
        <v>0</v>
      </c>
      <c r="N23" s="22">
        <v>0</v>
      </c>
      <c r="O23" s="22">
        <v>478000</v>
      </c>
      <c r="P23" s="96">
        <v>500000</v>
      </c>
      <c r="Q23" s="88">
        <v>0</v>
      </c>
      <c r="R23" s="103">
        <v>0</v>
      </c>
      <c r="S23" s="23">
        <f t="shared" si="10"/>
        <v>1473000</v>
      </c>
      <c r="T23" s="116">
        <f t="shared" si="8"/>
        <v>6426500</v>
      </c>
      <c r="U23" s="21">
        <f t="shared" ref="U23:U25" si="11">S23/T23</f>
        <v>0.22920718898311679</v>
      </c>
      <c r="V23" s="24">
        <f t="shared" si="9"/>
        <v>122750</v>
      </c>
      <c r="Y23" s="117">
        <v>6326500</v>
      </c>
      <c r="Z23" s="117">
        <v>100000</v>
      </c>
      <c r="AA23" s="117">
        <f t="shared" si="2"/>
        <v>6426500</v>
      </c>
    </row>
    <row r="24" spans="1:28" x14ac:dyDescent="0.25">
      <c r="A24" s="26"/>
      <c r="B24" s="27"/>
      <c r="C24" s="61"/>
      <c r="D24" s="27"/>
      <c r="E24" s="28" t="s">
        <v>22</v>
      </c>
      <c r="F24" s="29"/>
      <c r="G24" s="32">
        <v>2851000</v>
      </c>
      <c r="H24" s="32">
        <v>1834000</v>
      </c>
      <c r="I24" s="32">
        <v>1834000</v>
      </c>
      <c r="J24" s="32">
        <v>1016000</v>
      </c>
      <c r="K24" s="32">
        <v>1371000</v>
      </c>
      <c r="L24" s="32">
        <v>1345000</v>
      </c>
      <c r="M24" s="32">
        <v>1425000</v>
      </c>
      <c r="N24" s="32">
        <v>2520000</v>
      </c>
      <c r="O24" s="32">
        <v>387500</v>
      </c>
      <c r="P24" s="97">
        <v>1000000</v>
      </c>
      <c r="Q24" s="91">
        <v>771000</v>
      </c>
      <c r="R24" s="106">
        <v>1050000</v>
      </c>
      <c r="S24" s="23">
        <f t="shared" ref="S24" si="12">SUM(G24:R24)</f>
        <v>17404500</v>
      </c>
      <c r="T24" s="116">
        <f t="shared" si="8"/>
        <v>36614850</v>
      </c>
      <c r="U24" s="21">
        <f t="shared" ref="U24" si="13">S24/T24</f>
        <v>0.47533992355560656</v>
      </c>
      <c r="V24" s="24">
        <f t="shared" si="9"/>
        <v>1450375</v>
      </c>
      <c r="Y24" s="117">
        <v>34514850</v>
      </c>
      <c r="Z24" s="117">
        <v>2100000</v>
      </c>
      <c r="AA24" s="117">
        <f t="shared" si="2"/>
        <v>36614850</v>
      </c>
    </row>
    <row r="25" spans="1:28" ht="15.75" thickBot="1" x14ac:dyDescent="0.3">
      <c r="A25" s="26"/>
      <c r="B25" s="27"/>
      <c r="C25" s="61"/>
      <c r="D25" s="27"/>
      <c r="E25" s="28" t="s">
        <v>48</v>
      </c>
      <c r="F25" s="29"/>
      <c r="G25" s="32">
        <v>625000</v>
      </c>
      <c r="H25" s="32">
        <v>540500</v>
      </c>
      <c r="I25" s="32">
        <v>475000</v>
      </c>
      <c r="J25" s="32">
        <v>55000</v>
      </c>
      <c r="K25" s="32">
        <v>162500</v>
      </c>
      <c r="L25" s="32">
        <v>80000</v>
      </c>
      <c r="M25" s="32">
        <v>365000</v>
      </c>
      <c r="N25" s="32">
        <v>170000</v>
      </c>
      <c r="O25" s="32">
        <v>615000</v>
      </c>
      <c r="P25" s="97">
        <v>245000</v>
      </c>
      <c r="Q25" s="91">
        <v>185000</v>
      </c>
      <c r="R25" s="106">
        <v>0</v>
      </c>
      <c r="S25" s="23">
        <f t="shared" si="10"/>
        <v>3518000</v>
      </c>
      <c r="T25" s="116">
        <f t="shared" si="8"/>
        <v>6807500</v>
      </c>
      <c r="U25" s="21">
        <f t="shared" si="11"/>
        <v>0.51678295997062063</v>
      </c>
      <c r="V25" s="24">
        <f t="shared" si="9"/>
        <v>293166.66666666669</v>
      </c>
      <c r="Y25" s="117">
        <v>6207500</v>
      </c>
      <c r="Z25" s="117">
        <v>600000</v>
      </c>
      <c r="AA25" s="117">
        <f t="shared" si="2"/>
        <v>6807500</v>
      </c>
    </row>
    <row r="26" spans="1:28" s="51" customFormat="1" ht="15.75" thickBot="1" x14ac:dyDescent="0.3">
      <c r="A26" s="43"/>
      <c r="B26" s="44"/>
      <c r="C26" s="60"/>
      <c r="D26" s="44"/>
      <c r="E26" s="45"/>
      <c r="F26" s="46"/>
      <c r="G26" s="77">
        <f>SUM(G18:G25)</f>
        <v>35787800</v>
      </c>
      <c r="H26" s="77">
        <f t="shared" ref="H26:S26" si="14">SUM(H18:H25)</f>
        <v>33988500</v>
      </c>
      <c r="I26" s="77">
        <f t="shared" si="14"/>
        <v>22011000</v>
      </c>
      <c r="J26" s="77">
        <f t="shared" si="14"/>
        <v>22043500</v>
      </c>
      <c r="K26" s="77">
        <f t="shared" si="14"/>
        <v>28578300</v>
      </c>
      <c r="L26" s="77">
        <f t="shared" si="14"/>
        <v>35721000</v>
      </c>
      <c r="M26" s="77">
        <f t="shared" si="14"/>
        <v>31810500</v>
      </c>
      <c r="N26" s="77">
        <f t="shared" si="14"/>
        <v>25649700</v>
      </c>
      <c r="O26" s="77">
        <f t="shared" si="14"/>
        <v>23400200</v>
      </c>
      <c r="P26" s="52">
        <f t="shared" si="14"/>
        <v>13416000</v>
      </c>
      <c r="Q26" s="94">
        <f t="shared" si="14"/>
        <v>24007400</v>
      </c>
      <c r="R26" s="77">
        <f t="shared" si="14"/>
        <v>34455974</v>
      </c>
      <c r="S26" s="48">
        <f t="shared" si="14"/>
        <v>330869874</v>
      </c>
      <c r="T26" s="48">
        <f>SUM(T18:T25)</f>
        <v>677977749</v>
      </c>
      <c r="U26" s="49">
        <f>S26/T26</f>
        <v>0.48802467999580323</v>
      </c>
      <c r="V26" s="48">
        <f>SUM(V18:V25)</f>
        <v>27572489.5</v>
      </c>
      <c r="Y26" s="119">
        <v>0</v>
      </c>
      <c r="Z26" s="119"/>
      <c r="AA26" s="117">
        <f t="shared" si="2"/>
        <v>0</v>
      </c>
      <c r="AB26" s="119"/>
    </row>
    <row r="27" spans="1:28" s="51" customFormat="1" ht="15.75" thickBot="1" x14ac:dyDescent="0.3">
      <c r="A27" s="54"/>
      <c r="B27" s="70"/>
      <c r="C27" s="71"/>
      <c r="D27" s="70"/>
      <c r="E27" s="72"/>
      <c r="F27" s="55"/>
      <c r="G27" s="73">
        <f t="shared" ref="G27:T27" si="15">G15+G26</f>
        <v>67581300</v>
      </c>
      <c r="H27" s="73">
        <f t="shared" si="15"/>
        <v>64396500</v>
      </c>
      <c r="I27" s="73">
        <f t="shared" si="15"/>
        <v>40169000</v>
      </c>
      <c r="J27" s="73">
        <f t="shared" si="15"/>
        <v>40186000</v>
      </c>
      <c r="K27" s="73">
        <f t="shared" si="15"/>
        <v>56833300</v>
      </c>
      <c r="L27" s="73">
        <f t="shared" si="15"/>
        <v>56046000</v>
      </c>
      <c r="M27" s="73">
        <f t="shared" si="15"/>
        <v>58813000</v>
      </c>
      <c r="N27" s="73">
        <f t="shared" si="15"/>
        <v>50421700</v>
      </c>
      <c r="O27" s="73">
        <f t="shared" si="15"/>
        <v>41072700</v>
      </c>
      <c r="P27" s="73">
        <f t="shared" si="15"/>
        <v>37364000</v>
      </c>
      <c r="Q27" s="73">
        <f t="shared" si="15"/>
        <v>48856400</v>
      </c>
      <c r="R27" s="121">
        <f t="shared" si="15"/>
        <v>49830974</v>
      </c>
      <c r="S27" s="85">
        <f t="shared" si="15"/>
        <v>611570874</v>
      </c>
      <c r="T27" s="122">
        <f t="shared" si="15"/>
        <v>1121431564</v>
      </c>
      <c r="U27" s="79">
        <f>S27/T27</f>
        <v>0.54534836866781822</v>
      </c>
      <c r="V27" s="73">
        <f>V15+V26</f>
        <v>50964239.5</v>
      </c>
      <c r="Y27" s="119">
        <v>0</v>
      </c>
      <c r="Z27" s="119"/>
      <c r="AA27" s="117">
        <f t="shared" si="2"/>
        <v>0</v>
      </c>
      <c r="AB27" s="119"/>
    </row>
    <row r="28" spans="1:28" x14ac:dyDescent="0.25">
      <c r="A28" s="8">
        <v>4</v>
      </c>
      <c r="B28" s="9" t="s">
        <v>120</v>
      </c>
      <c r="C28" s="59" t="s">
        <v>121</v>
      </c>
      <c r="D28" s="40" t="s">
        <v>38</v>
      </c>
      <c r="E28" s="10"/>
      <c r="F28" s="11" t="s">
        <v>11</v>
      </c>
      <c r="G28" s="12"/>
      <c r="H28" s="12"/>
      <c r="I28" s="12"/>
      <c r="J28" s="12"/>
      <c r="K28" s="12"/>
      <c r="L28" s="12"/>
      <c r="M28" s="12"/>
      <c r="N28" s="12"/>
      <c r="O28" s="12"/>
      <c r="P28" s="10"/>
      <c r="Q28" s="11"/>
      <c r="R28" s="9"/>
      <c r="S28" s="13"/>
      <c r="T28" s="115"/>
      <c r="U28" s="14"/>
      <c r="V28" s="13"/>
      <c r="Y28" s="117">
        <v>0</v>
      </c>
      <c r="AA28" s="117">
        <f t="shared" si="2"/>
        <v>0</v>
      </c>
    </row>
    <row r="29" spans="1:28" x14ac:dyDescent="0.25">
      <c r="A29" s="15"/>
      <c r="B29" s="16"/>
      <c r="C29" s="59"/>
      <c r="D29" s="16"/>
      <c r="E29" s="17" t="s">
        <v>39</v>
      </c>
      <c r="F29" s="18"/>
      <c r="G29" s="22">
        <v>87000</v>
      </c>
      <c r="H29" s="22">
        <v>210000</v>
      </c>
      <c r="I29" s="22">
        <v>225000</v>
      </c>
      <c r="J29" s="22">
        <v>245000</v>
      </c>
      <c r="K29" s="22">
        <v>115000</v>
      </c>
      <c r="L29" s="22">
        <v>70000</v>
      </c>
      <c r="M29" s="22">
        <v>90000</v>
      </c>
      <c r="N29" s="22">
        <v>150000</v>
      </c>
      <c r="O29" s="22">
        <v>16000</v>
      </c>
      <c r="P29" s="96">
        <v>140000</v>
      </c>
      <c r="Q29" s="88">
        <v>40000</v>
      </c>
      <c r="R29" s="103">
        <v>0</v>
      </c>
      <c r="S29" s="23">
        <f t="shared" ref="S29:S32" si="16">SUM(G29:R29)</f>
        <v>1388000</v>
      </c>
      <c r="T29" s="116">
        <f t="shared" ref="T29:T32" si="17">AA29</f>
        <v>1537000</v>
      </c>
      <c r="U29" s="21">
        <f t="shared" ref="U29:U32" si="18">S29/T29</f>
        <v>0.90305790500975924</v>
      </c>
      <c r="V29" s="24">
        <f t="shared" ref="V29:V32" si="19">S29/12</f>
        <v>115666.66666666667</v>
      </c>
      <c r="Y29" s="117">
        <v>1437000</v>
      </c>
      <c r="Z29" s="117">
        <v>100000</v>
      </c>
      <c r="AA29" s="117">
        <f t="shared" si="2"/>
        <v>1537000</v>
      </c>
    </row>
    <row r="30" spans="1:28" x14ac:dyDescent="0.25">
      <c r="A30" s="15"/>
      <c r="B30" s="16"/>
      <c r="C30" s="59"/>
      <c r="D30" s="16"/>
      <c r="E30" s="17" t="s">
        <v>40</v>
      </c>
      <c r="F30" s="18"/>
      <c r="G30" s="22">
        <v>3602500</v>
      </c>
      <c r="H30" s="22">
        <v>5696000</v>
      </c>
      <c r="I30" s="22">
        <v>3444500</v>
      </c>
      <c r="J30" s="22">
        <v>3915000</v>
      </c>
      <c r="K30" s="22">
        <v>5418500</v>
      </c>
      <c r="L30" s="22">
        <v>4699500</v>
      </c>
      <c r="M30" s="22">
        <v>5896500</v>
      </c>
      <c r="N30" s="22">
        <v>5425500</v>
      </c>
      <c r="O30" s="22">
        <v>8677000</v>
      </c>
      <c r="P30" s="96">
        <v>6554500</v>
      </c>
      <c r="Q30" s="88">
        <v>7107000</v>
      </c>
      <c r="R30" s="103">
        <v>1982000</v>
      </c>
      <c r="S30" s="23">
        <f>SUM(G30:R30)</f>
        <v>62418500</v>
      </c>
      <c r="T30" s="116">
        <f t="shared" si="17"/>
        <v>60108290</v>
      </c>
      <c r="U30" s="21">
        <f t="shared" si="18"/>
        <v>1.0384341327959921</v>
      </c>
      <c r="V30" s="24">
        <f t="shared" si="19"/>
        <v>5201541.666666667</v>
      </c>
      <c r="Y30" s="117">
        <v>54608290</v>
      </c>
      <c r="Z30" s="117">
        <v>5500000</v>
      </c>
      <c r="AA30" s="117">
        <f t="shared" si="2"/>
        <v>60108290</v>
      </c>
    </row>
    <row r="31" spans="1:28" x14ac:dyDescent="0.25">
      <c r="A31" s="15"/>
      <c r="B31" s="16"/>
      <c r="C31" s="59"/>
      <c r="D31" s="16"/>
      <c r="E31" s="17" t="s">
        <v>41</v>
      </c>
      <c r="F31" s="18"/>
      <c r="G31" s="22">
        <v>6594000</v>
      </c>
      <c r="H31" s="22">
        <v>8255000</v>
      </c>
      <c r="I31" s="22">
        <v>6124000</v>
      </c>
      <c r="J31" s="22">
        <v>4606000</v>
      </c>
      <c r="K31" s="22">
        <v>7195000</v>
      </c>
      <c r="L31" s="22">
        <v>5327000</v>
      </c>
      <c r="M31" s="22">
        <v>6413000</v>
      </c>
      <c r="N31" s="22">
        <v>4882000</v>
      </c>
      <c r="O31" s="22">
        <v>3131000</v>
      </c>
      <c r="P31" s="96">
        <v>2501000</v>
      </c>
      <c r="Q31" s="88">
        <v>8990000</v>
      </c>
      <c r="R31" s="103">
        <v>4146000</v>
      </c>
      <c r="S31" s="23">
        <f>SUM(G31:R31)</f>
        <v>68164000</v>
      </c>
      <c r="T31" s="116">
        <f t="shared" si="17"/>
        <v>78010000</v>
      </c>
      <c r="U31" s="21">
        <f t="shared" si="18"/>
        <v>0.8737854121266504</v>
      </c>
      <c r="V31" s="24">
        <f t="shared" si="19"/>
        <v>5680333.333333333</v>
      </c>
      <c r="Y31" s="117">
        <v>70610000</v>
      </c>
      <c r="Z31" s="117">
        <v>7400000</v>
      </c>
      <c r="AA31" s="117">
        <f t="shared" si="2"/>
        <v>78010000</v>
      </c>
    </row>
    <row r="32" spans="1:28" ht="15.75" thickBot="1" x14ac:dyDescent="0.3">
      <c r="A32" s="26"/>
      <c r="B32" s="27"/>
      <c r="C32" s="61"/>
      <c r="D32" s="27"/>
      <c r="E32" s="28" t="s">
        <v>42</v>
      </c>
      <c r="F32" s="29"/>
      <c r="G32" s="32">
        <v>6571000</v>
      </c>
      <c r="H32" s="32">
        <v>5505500</v>
      </c>
      <c r="I32" s="32">
        <v>4013000</v>
      </c>
      <c r="J32" s="32">
        <v>2872500</v>
      </c>
      <c r="K32" s="32">
        <v>7630000</v>
      </c>
      <c r="L32" s="32">
        <v>3284000</v>
      </c>
      <c r="M32" s="32">
        <v>6662000</v>
      </c>
      <c r="N32" s="32">
        <v>5849000</v>
      </c>
      <c r="O32" s="32">
        <v>5286000</v>
      </c>
      <c r="P32" s="97">
        <v>2788000</v>
      </c>
      <c r="Q32" s="91">
        <v>3747500</v>
      </c>
      <c r="R32" s="106">
        <v>200000</v>
      </c>
      <c r="S32" s="23">
        <f t="shared" si="16"/>
        <v>54408500</v>
      </c>
      <c r="T32" s="116">
        <f t="shared" si="17"/>
        <v>69780000</v>
      </c>
      <c r="U32" s="21">
        <f t="shared" si="18"/>
        <v>0.77971481799942677</v>
      </c>
      <c r="V32" s="24">
        <f t="shared" si="19"/>
        <v>4534041.666666667</v>
      </c>
      <c r="Y32" s="117">
        <v>63780000</v>
      </c>
      <c r="Z32" s="117">
        <v>6000000</v>
      </c>
      <c r="AA32" s="117">
        <f t="shared" si="2"/>
        <v>69780000</v>
      </c>
    </row>
    <row r="33" spans="1:28" s="51" customFormat="1" ht="15.75" thickBot="1" x14ac:dyDescent="0.3">
      <c r="A33" s="43"/>
      <c r="B33" s="44"/>
      <c r="C33" s="60"/>
      <c r="D33" s="44"/>
      <c r="E33" s="45"/>
      <c r="F33" s="46"/>
      <c r="G33" s="52">
        <f t="shared" ref="G33:S33" si="20">SUM(G29:G32)</f>
        <v>16854500</v>
      </c>
      <c r="H33" s="52">
        <f t="shared" ref="H33:I33" si="21">SUM(H29:H32)</f>
        <v>19666500</v>
      </c>
      <c r="I33" s="52">
        <f t="shared" si="21"/>
        <v>13806500</v>
      </c>
      <c r="J33" s="52">
        <f t="shared" ref="J33:P33" si="22">SUM(J29:J32)</f>
        <v>11638500</v>
      </c>
      <c r="K33" s="52">
        <f t="shared" si="22"/>
        <v>20358500</v>
      </c>
      <c r="L33" s="52">
        <f t="shared" si="22"/>
        <v>13380500</v>
      </c>
      <c r="M33" s="52">
        <f t="shared" si="22"/>
        <v>19061500</v>
      </c>
      <c r="N33" s="52">
        <f t="shared" si="22"/>
        <v>16306500</v>
      </c>
      <c r="O33" s="52">
        <f t="shared" si="22"/>
        <v>17110000</v>
      </c>
      <c r="P33" s="52">
        <f t="shared" si="22"/>
        <v>11983500</v>
      </c>
      <c r="Q33" s="94">
        <f t="shared" ref="Q33:R33" si="23">SUM(Q29:Q32)</f>
        <v>19884500</v>
      </c>
      <c r="R33" s="52">
        <f t="shared" si="23"/>
        <v>6328000</v>
      </c>
      <c r="S33" s="48">
        <f t="shared" si="20"/>
        <v>186379000</v>
      </c>
      <c r="T33" s="48">
        <f>SUM(T29:T32)</f>
        <v>209435290</v>
      </c>
      <c r="U33" s="49">
        <f>S33/T33</f>
        <v>0.8899121060256846</v>
      </c>
      <c r="V33" s="48">
        <f>SUM(V29:V32)</f>
        <v>15531583.333333336</v>
      </c>
      <c r="Y33" s="119">
        <v>0</v>
      </c>
      <c r="Z33" s="119"/>
      <c r="AA33" s="117">
        <f t="shared" si="2"/>
        <v>0</v>
      </c>
      <c r="AB33" s="119"/>
    </row>
    <row r="34" spans="1:28" x14ac:dyDescent="0.25">
      <c r="A34" s="8"/>
      <c r="B34" s="9"/>
      <c r="C34" s="58"/>
      <c r="D34" s="9"/>
      <c r="E34" s="10"/>
      <c r="F34" s="11"/>
      <c r="G34" s="12"/>
      <c r="H34" s="12"/>
      <c r="I34" s="12"/>
      <c r="J34" s="12"/>
      <c r="K34" s="12"/>
      <c r="L34" s="12"/>
      <c r="M34" s="12"/>
      <c r="N34" s="12"/>
      <c r="O34" s="12"/>
      <c r="P34" s="10"/>
      <c r="Q34" s="11"/>
      <c r="R34" s="9"/>
      <c r="S34" s="13"/>
      <c r="T34" s="13"/>
      <c r="U34" s="14"/>
      <c r="V34" s="13"/>
      <c r="Y34" s="117">
        <v>0</v>
      </c>
      <c r="AA34" s="117">
        <f t="shared" si="2"/>
        <v>0</v>
      </c>
    </row>
    <row r="35" spans="1:28" x14ac:dyDescent="0.25">
      <c r="A35" s="15">
        <v>5</v>
      </c>
      <c r="B35" s="16" t="s">
        <v>69</v>
      </c>
      <c r="C35" s="59" t="s">
        <v>71</v>
      </c>
      <c r="D35" s="38" t="s">
        <v>38</v>
      </c>
      <c r="E35" s="17"/>
      <c r="F35" s="18" t="s">
        <v>11</v>
      </c>
      <c r="G35" s="19"/>
      <c r="H35" s="19"/>
      <c r="I35" s="19"/>
      <c r="J35" s="19"/>
      <c r="K35" s="19"/>
      <c r="L35" s="19"/>
      <c r="M35" s="19"/>
      <c r="N35" s="19"/>
      <c r="O35" s="19"/>
      <c r="P35" s="17"/>
      <c r="Q35" s="18"/>
      <c r="R35" s="16"/>
      <c r="S35" s="20"/>
      <c r="T35" s="20"/>
      <c r="U35" s="21"/>
      <c r="V35" s="20"/>
      <c r="Y35" s="117">
        <v>0</v>
      </c>
      <c r="AA35" s="117">
        <f t="shared" si="2"/>
        <v>0</v>
      </c>
    </row>
    <row r="36" spans="1:28" x14ac:dyDescent="0.25">
      <c r="A36" s="15"/>
      <c r="B36" s="16"/>
      <c r="C36" s="59"/>
      <c r="D36" s="16"/>
      <c r="E36" s="17" t="s">
        <v>43</v>
      </c>
      <c r="F36" s="18"/>
      <c r="G36" s="22">
        <v>14738500</v>
      </c>
      <c r="H36" s="22">
        <v>10764000</v>
      </c>
      <c r="I36" s="22">
        <v>14016000</v>
      </c>
      <c r="J36" s="22">
        <v>9947000</v>
      </c>
      <c r="K36" s="22">
        <v>8432500</v>
      </c>
      <c r="L36" s="22">
        <v>10747500</v>
      </c>
      <c r="M36" s="22">
        <v>12494500</v>
      </c>
      <c r="N36" s="22">
        <v>11859500</v>
      </c>
      <c r="O36" s="22">
        <v>5456000</v>
      </c>
      <c r="P36" s="96">
        <v>3345000</v>
      </c>
      <c r="Q36" s="88">
        <v>7278000</v>
      </c>
      <c r="R36" s="103">
        <v>9384500</v>
      </c>
      <c r="S36" s="23">
        <f t="shared" ref="S36:S39" si="24">SUM(G36:R36)</f>
        <v>118463000</v>
      </c>
      <c r="T36" s="116">
        <f t="shared" ref="T36:T39" si="25">AA36</f>
        <v>234182700</v>
      </c>
      <c r="U36" s="21">
        <f t="shared" ref="U36:U39" si="26">S36/T36</f>
        <v>0.50585717903158511</v>
      </c>
      <c r="V36" s="24">
        <f t="shared" ref="V36:V39" si="27">S36/12</f>
        <v>9871916.666666666</v>
      </c>
      <c r="Y36" s="117">
        <v>217182700</v>
      </c>
      <c r="Z36" s="117">
        <v>17000000</v>
      </c>
      <c r="AA36" s="117">
        <f t="shared" si="2"/>
        <v>234182700</v>
      </c>
    </row>
    <row r="37" spans="1:28" x14ac:dyDescent="0.25">
      <c r="A37" s="15"/>
      <c r="B37" s="16"/>
      <c r="C37" s="59"/>
      <c r="D37" s="16"/>
      <c r="E37" s="17" t="s">
        <v>44</v>
      </c>
      <c r="F37" s="18"/>
      <c r="G37" s="22">
        <v>13117000</v>
      </c>
      <c r="H37" s="22">
        <v>12179000</v>
      </c>
      <c r="I37" s="22">
        <v>8008845</v>
      </c>
      <c r="J37" s="22">
        <v>7118000</v>
      </c>
      <c r="K37" s="22">
        <v>5188000</v>
      </c>
      <c r="L37" s="22">
        <v>6322500</v>
      </c>
      <c r="M37" s="22">
        <v>10627000</v>
      </c>
      <c r="N37" s="22">
        <v>19532000</v>
      </c>
      <c r="O37" s="22">
        <v>11421000</v>
      </c>
      <c r="P37" s="96">
        <v>8463000</v>
      </c>
      <c r="Q37" s="88">
        <v>11327000</v>
      </c>
      <c r="R37" s="103">
        <v>12520000</v>
      </c>
      <c r="S37" s="23">
        <f>SUM(G37:R37)</f>
        <v>125823345</v>
      </c>
      <c r="T37" s="116">
        <f t="shared" si="25"/>
        <v>320210600</v>
      </c>
      <c r="U37" s="21">
        <f t="shared" si="26"/>
        <v>0.39293934991533697</v>
      </c>
      <c r="V37" s="24">
        <f t="shared" si="27"/>
        <v>10485278.75</v>
      </c>
      <c r="Y37" s="117">
        <v>300210600</v>
      </c>
      <c r="Z37" s="117">
        <v>20000000</v>
      </c>
      <c r="AA37" s="117">
        <f t="shared" si="2"/>
        <v>320210600</v>
      </c>
    </row>
    <row r="38" spans="1:28" x14ac:dyDescent="0.25">
      <c r="A38" s="15"/>
      <c r="B38" s="16"/>
      <c r="C38" s="59"/>
      <c r="D38" s="16"/>
      <c r="E38" s="17" t="s">
        <v>45</v>
      </c>
      <c r="F38" s="18"/>
      <c r="G38" s="22">
        <v>0</v>
      </c>
      <c r="H38" s="22">
        <v>70000</v>
      </c>
      <c r="I38" s="22">
        <v>0</v>
      </c>
      <c r="J38" s="22">
        <v>0</v>
      </c>
      <c r="K38" s="22">
        <v>0</v>
      </c>
      <c r="L38" s="22">
        <v>0</v>
      </c>
      <c r="M38" s="22">
        <v>800000</v>
      </c>
      <c r="N38" s="22">
        <v>0</v>
      </c>
      <c r="O38" s="22">
        <v>0</v>
      </c>
      <c r="P38" s="96">
        <v>0</v>
      </c>
      <c r="Q38" s="88">
        <v>0</v>
      </c>
      <c r="R38" s="103">
        <v>0</v>
      </c>
      <c r="S38" s="23">
        <f t="shared" si="24"/>
        <v>870000</v>
      </c>
      <c r="T38" s="116">
        <f t="shared" si="25"/>
        <v>0</v>
      </c>
      <c r="U38" s="21" t="e">
        <f t="shared" si="26"/>
        <v>#DIV/0!</v>
      </c>
      <c r="V38" s="24">
        <f t="shared" si="27"/>
        <v>72500</v>
      </c>
      <c r="Y38" s="117">
        <v>0</v>
      </c>
      <c r="Z38" s="117">
        <v>0</v>
      </c>
      <c r="AA38" s="117">
        <f t="shared" si="2"/>
        <v>0</v>
      </c>
    </row>
    <row r="39" spans="1:28" ht="15.75" thickBot="1" x14ac:dyDescent="0.3">
      <c r="A39" s="15"/>
      <c r="B39" s="16"/>
      <c r="C39" s="59"/>
      <c r="D39" s="16"/>
      <c r="E39" s="28" t="s">
        <v>46</v>
      </c>
      <c r="F39" s="18"/>
      <c r="G39" s="22">
        <v>2885000</v>
      </c>
      <c r="H39" s="22">
        <v>6291000</v>
      </c>
      <c r="I39" s="22">
        <v>1180000</v>
      </c>
      <c r="J39" s="22">
        <v>1190000</v>
      </c>
      <c r="K39" s="22">
        <v>740000</v>
      </c>
      <c r="L39" s="22">
        <v>680000</v>
      </c>
      <c r="M39" s="22">
        <v>1955000</v>
      </c>
      <c r="N39" s="22">
        <v>4874000</v>
      </c>
      <c r="O39" s="22">
        <v>3014000</v>
      </c>
      <c r="P39" s="96">
        <v>448000</v>
      </c>
      <c r="Q39" s="88">
        <v>2940000</v>
      </c>
      <c r="R39" s="103">
        <v>1260000</v>
      </c>
      <c r="S39" s="23">
        <f t="shared" si="24"/>
        <v>27457000</v>
      </c>
      <c r="T39" s="116">
        <f t="shared" si="25"/>
        <v>35935000</v>
      </c>
      <c r="U39" s="21">
        <f t="shared" si="26"/>
        <v>0.76407402254069845</v>
      </c>
      <c r="V39" s="24">
        <f t="shared" si="27"/>
        <v>2288083.3333333335</v>
      </c>
      <c r="Y39" s="117">
        <v>32935000</v>
      </c>
      <c r="Z39" s="117">
        <v>3000000</v>
      </c>
      <c r="AA39" s="117">
        <f t="shared" si="2"/>
        <v>35935000</v>
      </c>
    </row>
    <row r="40" spans="1:28" s="51" customFormat="1" ht="15.75" thickBot="1" x14ac:dyDescent="0.3">
      <c r="A40" s="43"/>
      <c r="B40" s="44"/>
      <c r="C40" s="60"/>
      <c r="D40" s="44"/>
      <c r="E40" s="45"/>
      <c r="F40" s="46"/>
      <c r="G40" s="52">
        <f t="shared" ref="G40:T40" si="28">SUM(G36:G39)</f>
        <v>30740500</v>
      </c>
      <c r="H40" s="52">
        <f t="shared" si="28"/>
        <v>29304000</v>
      </c>
      <c r="I40" s="52">
        <f t="shared" si="28"/>
        <v>23204845</v>
      </c>
      <c r="J40" s="52">
        <f t="shared" si="28"/>
        <v>18255000</v>
      </c>
      <c r="K40" s="52">
        <f t="shared" si="28"/>
        <v>14360500</v>
      </c>
      <c r="L40" s="52">
        <f t="shared" si="28"/>
        <v>17750000</v>
      </c>
      <c r="M40" s="52">
        <f t="shared" si="28"/>
        <v>25876500</v>
      </c>
      <c r="N40" s="52">
        <f t="shared" si="28"/>
        <v>36265500</v>
      </c>
      <c r="O40" s="52">
        <f t="shared" si="28"/>
        <v>19891000</v>
      </c>
      <c r="P40" s="52">
        <f t="shared" si="28"/>
        <v>12256000</v>
      </c>
      <c r="Q40" s="94">
        <f t="shared" si="28"/>
        <v>21545000</v>
      </c>
      <c r="R40" s="52">
        <f t="shared" si="28"/>
        <v>23164500</v>
      </c>
      <c r="S40" s="123">
        <f t="shared" si="28"/>
        <v>272613345</v>
      </c>
      <c r="T40" s="53">
        <f t="shared" si="28"/>
        <v>590328300</v>
      </c>
      <c r="U40" s="49">
        <f>S40/T40</f>
        <v>0.4617995528928564</v>
      </c>
      <c r="V40" s="52">
        <f>SUM(V36:V39)</f>
        <v>22717778.749999996</v>
      </c>
      <c r="Y40" s="119">
        <v>0</v>
      </c>
      <c r="Z40" s="119"/>
      <c r="AA40" s="117">
        <f t="shared" si="2"/>
        <v>0</v>
      </c>
      <c r="AB40" s="119"/>
    </row>
    <row r="41" spans="1:28" x14ac:dyDescent="0.25">
      <c r="A41" s="8"/>
      <c r="B41" s="9"/>
      <c r="C41" s="58"/>
      <c r="D41" s="9"/>
      <c r="E41" s="10"/>
      <c r="F41" s="11"/>
      <c r="G41" s="12"/>
      <c r="H41" s="12"/>
      <c r="I41" s="12"/>
      <c r="J41" s="12"/>
      <c r="K41" s="12"/>
      <c r="L41" s="12"/>
      <c r="M41" s="12"/>
      <c r="N41" s="12"/>
      <c r="O41" s="12"/>
      <c r="P41" s="10"/>
      <c r="Q41" s="11"/>
      <c r="R41" s="9"/>
      <c r="S41" s="13"/>
      <c r="T41" s="13"/>
      <c r="U41" s="14"/>
      <c r="V41" s="13"/>
      <c r="Y41" s="117">
        <v>0</v>
      </c>
      <c r="AA41" s="117">
        <f t="shared" ref="AA41:AA51" si="29">Y41+Z41</f>
        <v>0</v>
      </c>
    </row>
    <row r="42" spans="1:28" x14ac:dyDescent="0.25">
      <c r="A42" s="15">
        <v>3</v>
      </c>
      <c r="B42" s="16" t="s">
        <v>69</v>
      </c>
      <c r="C42" s="59" t="s">
        <v>70</v>
      </c>
      <c r="D42" s="38" t="s">
        <v>28</v>
      </c>
      <c r="E42" s="17"/>
      <c r="F42" s="18" t="s">
        <v>8</v>
      </c>
      <c r="G42" s="19"/>
      <c r="H42" s="19"/>
      <c r="I42" s="19"/>
      <c r="J42" s="19"/>
      <c r="K42" s="19"/>
      <c r="L42" s="19"/>
      <c r="M42" s="19"/>
      <c r="N42" s="19"/>
      <c r="O42" s="19"/>
      <c r="P42" s="17"/>
      <c r="Q42" s="18"/>
      <c r="R42" s="16"/>
      <c r="S42" s="20"/>
      <c r="T42" s="112"/>
      <c r="U42" s="21"/>
      <c r="V42" s="20"/>
      <c r="Y42" s="117">
        <v>0</v>
      </c>
      <c r="AA42" s="117">
        <f t="shared" si="29"/>
        <v>0</v>
      </c>
    </row>
    <row r="43" spans="1:28" x14ac:dyDescent="0.25">
      <c r="A43" s="15"/>
      <c r="B43" s="16"/>
      <c r="C43" s="59"/>
      <c r="D43" s="16"/>
      <c r="E43" s="17" t="s">
        <v>29</v>
      </c>
      <c r="F43" s="18" t="s">
        <v>11</v>
      </c>
      <c r="G43" s="22">
        <v>5870000</v>
      </c>
      <c r="H43" s="22">
        <v>4117000</v>
      </c>
      <c r="I43" s="22">
        <v>5080000</v>
      </c>
      <c r="J43" s="22">
        <v>5870000</v>
      </c>
      <c r="K43" s="22">
        <v>4453500</v>
      </c>
      <c r="L43" s="22">
        <v>4362500</v>
      </c>
      <c r="M43" s="22">
        <v>4703000</v>
      </c>
      <c r="N43" s="22">
        <v>3018000</v>
      </c>
      <c r="O43" s="22">
        <v>6973000</v>
      </c>
      <c r="P43" s="96">
        <v>4089000</v>
      </c>
      <c r="Q43" s="88">
        <v>8184000</v>
      </c>
      <c r="R43" s="103">
        <v>2761000</v>
      </c>
      <c r="S43" s="23">
        <f>SUM(G43:R43)</f>
        <v>59481000</v>
      </c>
      <c r="T43" s="116">
        <f t="shared" ref="T43:T50" si="30">AA43</f>
        <v>129857250</v>
      </c>
      <c r="U43" s="21">
        <f t="shared" ref="U43:U50" si="31">S43/T43</f>
        <v>0.45804912702217243</v>
      </c>
      <c r="V43" s="24">
        <f t="shared" ref="V43:V50" si="32">S43/12</f>
        <v>4956750</v>
      </c>
      <c r="Y43" s="117">
        <v>122857250</v>
      </c>
      <c r="Z43" s="117">
        <v>7000000</v>
      </c>
      <c r="AA43" s="117">
        <f t="shared" si="29"/>
        <v>129857250</v>
      </c>
    </row>
    <row r="44" spans="1:28" x14ac:dyDescent="0.25">
      <c r="A44" s="15"/>
      <c r="B44" s="16"/>
      <c r="C44" s="59"/>
      <c r="D44" s="16"/>
      <c r="E44" s="17" t="s">
        <v>30</v>
      </c>
      <c r="F44" s="18" t="s">
        <v>11</v>
      </c>
      <c r="G44" s="22">
        <v>7354000</v>
      </c>
      <c r="H44" s="22">
        <v>4903500</v>
      </c>
      <c r="I44" s="22">
        <v>5059000</v>
      </c>
      <c r="J44" s="22">
        <v>4845000</v>
      </c>
      <c r="K44" s="22">
        <v>4016500</v>
      </c>
      <c r="L44" s="22">
        <v>3603000</v>
      </c>
      <c r="M44" s="22">
        <v>5156000</v>
      </c>
      <c r="N44" s="22">
        <v>3101500</v>
      </c>
      <c r="O44" s="22">
        <v>7374500</v>
      </c>
      <c r="P44" s="96">
        <v>2500000</v>
      </c>
      <c r="Q44" s="88">
        <v>3765000</v>
      </c>
      <c r="R44" s="103">
        <v>1415000</v>
      </c>
      <c r="S44" s="23">
        <f>SUM(G44:R44)</f>
        <v>53093000</v>
      </c>
      <c r="T44" s="116">
        <f t="shared" si="30"/>
        <v>102981098</v>
      </c>
      <c r="U44" s="21">
        <f t="shared" si="31"/>
        <v>0.5155606323016676</v>
      </c>
      <c r="V44" s="24">
        <f t="shared" si="32"/>
        <v>4424416.666666667</v>
      </c>
      <c r="Y44" s="117">
        <v>94981098</v>
      </c>
      <c r="Z44" s="117">
        <v>8000000</v>
      </c>
      <c r="AA44" s="117">
        <f t="shared" si="29"/>
        <v>102981098</v>
      </c>
    </row>
    <row r="45" spans="1:28" x14ac:dyDescent="0.25">
      <c r="A45" s="15"/>
      <c r="B45" s="16"/>
      <c r="C45" s="59"/>
      <c r="D45" s="16"/>
      <c r="E45" s="17" t="s">
        <v>31</v>
      </c>
      <c r="F45" s="18" t="s">
        <v>11</v>
      </c>
      <c r="G45" s="22">
        <v>545000</v>
      </c>
      <c r="H45" s="22">
        <v>386000</v>
      </c>
      <c r="I45" s="22">
        <v>1200000</v>
      </c>
      <c r="J45" s="22">
        <v>555000</v>
      </c>
      <c r="K45" s="22">
        <v>1536000</v>
      </c>
      <c r="L45" s="22">
        <v>486000</v>
      </c>
      <c r="M45" s="22">
        <v>0</v>
      </c>
      <c r="N45" s="22">
        <v>700000</v>
      </c>
      <c r="O45" s="22">
        <v>0</v>
      </c>
      <c r="P45" s="96">
        <v>0</v>
      </c>
      <c r="Q45" s="88">
        <v>1630000</v>
      </c>
      <c r="R45" s="103">
        <v>2663000</v>
      </c>
      <c r="S45" s="23">
        <f t="shared" ref="S45:S50" si="33">SUM(G45:R45)</f>
        <v>9701000</v>
      </c>
      <c r="T45" s="116">
        <f t="shared" si="30"/>
        <v>62083600</v>
      </c>
      <c r="U45" s="21">
        <f t="shared" si="31"/>
        <v>0.15625704694959699</v>
      </c>
      <c r="V45" s="24">
        <f t="shared" si="32"/>
        <v>808416.66666666663</v>
      </c>
      <c r="Y45" s="117">
        <v>57083600</v>
      </c>
      <c r="Z45" s="117">
        <v>5000000</v>
      </c>
      <c r="AA45" s="117">
        <f t="shared" si="29"/>
        <v>62083600</v>
      </c>
    </row>
    <row r="46" spans="1:28" x14ac:dyDescent="0.25">
      <c r="A46" s="15"/>
      <c r="B46" s="16"/>
      <c r="C46" s="59"/>
      <c r="D46" s="16"/>
      <c r="E46" s="17" t="s">
        <v>32</v>
      </c>
      <c r="F46" s="18"/>
      <c r="G46" s="22">
        <v>0</v>
      </c>
      <c r="H46" s="22">
        <v>0</v>
      </c>
      <c r="I46" s="22">
        <v>0</v>
      </c>
      <c r="J46" s="22">
        <v>0</v>
      </c>
      <c r="K46" s="22">
        <v>363500</v>
      </c>
      <c r="L46" s="22">
        <v>860000</v>
      </c>
      <c r="M46" s="22">
        <v>0</v>
      </c>
      <c r="N46" s="22">
        <v>0</v>
      </c>
      <c r="O46" s="22">
        <v>0</v>
      </c>
      <c r="P46" s="96">
        <v>0</v>
      </c>
      <c r="Q46" s="88">
        <v>0</v>
      </c>
      <c r="R46" s="103">
        <v>500000</v>
      </c>
      <c r="S46" s="23">
        <f t="shared" si="33"/>
        <v>1723500</v>
      </c>
      <c r="T46" s="116">
        <f t="shared" si="30"/>
        <v>0</v>
      </c>
      <c r="U46" s="21" t="e">
        <f t="shared" si="31"/>
        <v>#DIV/0!</v>
      </c>
      <c r="V46" s="24">
        <f t="shared" si="32"/>
        <v>143625</v>
      </c>
      <c r="Y46" s="117">
        <v>0</v>
      </c>
      <c r="Z46" s="117">
        <v>0</v>
      </c>
      <c r="AA46" s="117">
        <f t="shared" si="29"/>
        <v>0</v>
      </c>
    </row>
    <row r="47" spans="1:28" x14ac:dyDescent="0.25">
      <c r="A47" s="15"/>
      <c r="B47" s="16"/>
      <c r="C47" s="59"/>
      <c r="D47" s="16"/>
      <c r="E47" s="17" t="s">
        <v>33</v>
      </c>
      <c r="F47" s="18"/>
      <c r="G47" s="22">
        <v>5844000</v>
      </c>
      <c r="H47" s="22">
        <v>5469000</v>
      </c>
      <c r="I47" s="22">
        <v>5090000</v>
      </c>
      <c r="J47" s="22">
        <v>6641000</v>
      </c>
      <c r="K47" s="22">
        <v>5498500</v>
      </c>
      <c r="L47" s="22">
        <v>5176000</v>
      </c>
      <c r="M47" s="22">
        <v>5386000</v>
      </c>
      <c r="N47" s="22">
        <v>3959000</v>
      </c>
      <c r="O47" s="22">
        <v>3346000</v>
      </c>
      <c r="P47" s="96">
        <v>425000</v>
      </c>
      <c r="Q47" s="88">
        <v>4054000</v>
      </c>
      <c r="R47" s="103">
        <v>1340000</v>
      </c>
      <c r="S47" s="23">
        <f t="shared" si="33"/>
        <v>52228500</v>
      </c>
      <c r="T47" s="116">
        <f t="shared" si="30"/>
        <v>103744899</v>
      </c>
      <c r="U47" s="21">
        <f t="shared" si="31"/>
        <v>0.50343198078586981</v>
      </c>
      <c r="V47" s="24">
        <f t="shared" si="32"/>
        <v>4352375</v>
      </c>
      <c r="Y47" s="117">
        <v>96744899</v>
      </c>
      <c r="Z47" s="117">
        <v>7000000</v>
      </c>
      <c r="AA47" s="117">
        <f t="shared" si="29"/>
        <v>103744899</v>
      </c>
    </row>
    <row r="48" spans="1:28" x14ac:dyDescent="0.25">
      <c r="A48" s="15"/>
      <c r="B48" s="16"/>
      <c r="C48" s="59"/>
      <c r="D48" s="16"/>
      <c r="E48" s="17" t="s">
        <v>34</v>
      </c>
      <c r="F48" s="18"/>
      <c r="G48" s="22">
        <v>818000</v>
      </c>
      <c r="H48" s="22">
        <v>2358000</v>
      </c>
      <c r="I48" s="22">
        <v>0</v>
      </c>
      <c r="J48" s="22">
        <v>395000</v>
      </c>
      <c r="K48" s="22">
        <v>0</v>
      </c>
      <c r="L48" s="22">
        <v>0</v>
      </c>
      <c r="M48" s="22">
        <v>0</v>
      </c>
      <c r="N48" s="22">
        <v>573000</v>
      </c>
      <c r="O48" s="22">
        <v>0</v>
      </c>
      <c r="P48" s="96">
        <v>0</v>
      </c>
      <c r="Q48" s="88">
        <v>1500000</v>
      </c>
      <c r="R48" s="103">
        <v>455000</v>
      </c>
      <c r="S48" s="23">
        <f t="shared" si="33"/>
        <v>6099000</v>
      </c>
      <c r="T48" s="116">
        <f t="shared" si="30"/>
        <v>10226000</v>
      </c>
      <c r="U48" s="21">
        <f t="shared" si="31"/>
        <v>0.59642088793272052</v>
      </c>
      <c r="V48" s="24">
        <f t="shared" si="32"/>
        <v>508250</v>
      </c>
      <c r="Y48" s="117">
        <v>9176000</v>
      </c>
      <c r="Z48" s="117">
        <v>1050000</v>
      </c>
      <c r="AA48" s="117">
        <f t="shared" si="29"/>
        <v>10226000</v>
      </c>
    </row>
    <row r="49" spans="1:28" x14ac:dyDescent="0.25">
      <c r="A49" s="15"/>
      <c r="B49" s="16"/>
      <c r="C49" s="59"/>
      <c r="D49" s="16"/>
      <c r="E49" s="17" t="s">
        <v>35</v>
      </c>
      <c r="F49" s="18"/>
      <c r="G49" s="22">
        <v>1864000</v>
      </c>
      <c r="H49" s="22">
        <v>245000</v>
      </c>
      <c r="I49" s="22">
        <v>1762000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96">
        <v>0</v>
      </c>
      <c r="Q49" s="88">
        <v>2900000</v>
      </c>
      <c r="R49" s="103">
        <v>0</v>
      </c>
      <c r="S49" s="23">
        <f t="shared" si="33"/>
        <v>6771000</v>
      </c>
      <c r="T49" s="116">
        <f t="shared" si="30"/>
        <v>18831800</v>
      </c>
      <c r="U49" s="21">
        <f t="shared" si="31"/>
        <v>0.35955139710489703</v>
      </c>
      <c r="V49" s="24">
        <f t="shared" si="32"/>
        <v>564250</v>
      </c>
      <c r="Y49" s="117">
        <v>16881800</v>
      </c>
      <c r="Z49" s="117">
        <v>1950000</v>
      </c>
      <c r="AA49" s="117">
        <f t="shared" si="29"/>
        <v>18831800</v>
      </c>
    </row>
    <row r="50" spans="1:28" ht="15.75" thickBot="1" x14ac:dyDescent="0.3">
      <c r="A50" s="26"/>
      <c r="B50" s="27"/>
      <c r="C50" s="61"/>
      <c r="D50" s="27"/>
      <c r="E50" s="28" t="s">
        <v>36</v>
      </c>
      <c r="F50" s="29"/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118000</v>
      </c>
      <c r="N50" s="32">
        <v>0</v>
      </c>
      <c r="O50" s="32">
        <v>20000</v>
      </c>
      <c r="P50" s="97">
        <v>0</v>
      </c>
      <c r="Q50" s="91">
        <v>0</v>
      </c>
      <c r="R50" s="106">
        <v>364000</v>
      </c>
      <c r="S50" s="23">
        <f t="shared" si="33"/>
        <v>502000</v>
      </c>
      <c r="T50" s="116">
        <f t="shared" si="30"/>
        <v>0</v>
      </c>
      <c r="U50" s="21" t="e">
        <f t="shared" si="31"/>
        <v>#DIV/0!</v>
      </c>
      <c r="V50" s="24">
        <f t="shared" si="32"/>
        <v>41833.333333333336</v>
      </c>
      <c r="Y50" s="117">
        <v>0</v>
      </c>
      <c r="Z50" s="117">
        <v>0</v>
      </c>
      <c r="AA50" s="117">
        <f t="shared" si="29"/>
        <v>0</v>
      </c>
    </row>
    <row r="51" spans="1:28" s="51" customFormat="1" ht="15.75" thickBot="1" x14ac:dyDescent="0.3">
      <c r="A51" s="43"/>
      <c r="B51" s="44"/>
      <c r="C51" s="60"/>
      <c r="D51" s="44"/>
      <c r="E51" s="45"/>
      <c r="F51" s="46"/>
      <c r="G51" s="52">
        <f>SUM(G43:G50)</f>
        <v>22295000</v>
      </c>
      <c r="H51" s="52">
        <f>SUM(H43:H50)</f>
        <v>17478500</v>
      </c>
      <c r="I51" s="52">
        <f t="shared" ref="I51:T51" si="34">SUM(I43:I50)</f>
        <v>18191000</v>
      </c>
      <c r="J51" s="52">
        <f t="shared" si="34"/>
        <v>18306000</v>
      </c>
      <c r="K51" s="52">
        <f t="shared" si="34"/>
        <v>15868000</v>
      </c>
      <c r="L51" s="52">
        <f t="shared" si="34"/>
        <v>14487500</v>
      </c>
      <c r="M51" s="52">
        <f t="shared" si="34"/>
        <v>15363000</v>
      </c>
      <c r="N51" s="52">
        <f t="shared" si="34"/>
        <v>11351500</v>
      </c>
      <c r="O51" s="52">
        <f t="shared" si="34"/>
        <v>17713500</v>
      </c>
      <c r="P51" s="52">
        <f t="shared" si="34"/>
        <v>7014000</v>
      </c>
      <c r="Q51" s="94">
        <f t="shared" si="34"/>
        <v>22033000</v>
      </c>
      <c r="R51" s="52">
        <f t="shared" si="34"/>
        <v>9498000</v>
      </c>
      <c r="S51" s="53">
        <f t="shared" si="34"/>
        <v>189599000</v>
      </c>
      <c r="T51" s="53">
        <f t="shared" si="34"/>
        <v>427724647</v>
      </c>
      <c r="U51" s="49">
        <f>S51/T51</f>
        <v>0.4432734969327124</v>
      </c>
      <c r="V51" s="53">
        <f>SUM(V43:V50)</f>
        <v>15799916.666666668</v>
      </c>
      <c r="Y51" s="119">
        <v>0</v>
      </c>
      <c r="Z51" s="119"/>
      <c r="AA51" s="117">
        <f t="shared" si="29"/>
        <v>0</v>
      </c>
      <c r="AB51" s="119"/>
    </row>
    <row r="52" spans="1:28" x14ac:dyDescent="0.25">
      <c r="A52" s="8"/>
      <c r="B52" s="9"/>
      <c r="C52" s="58"/>
      <c r="D52" s="9"/>
      <c r="E52" s="10"/>
      <c r="F52" s="11"/>
      <c r="G52" s="33"/>
      <c r="H52" s="33"/>
      <c r="I52" s="33"/>
      <c r="J52" s="33"/>
      <c r="K52" s="33"/>
      <c r="L52" s="33"/>
      <c r="M52" s="33"/>
      <c r="N52" s="33"/>
      <c r="O52" s="33"/>
      <c r="P52" s="98"/>
      <c r="Q52" s="92"/>
      <c r="R52" s="107"/>
      <c r="S52" s="13"/>
      <c r="T52" s="13"/>
      <c r="U52" s="14"/>
      <c r="V52" s="13"/>
      <c r="Y52" s="117">
        <v>0</v>
      </c>
      <c r="AA52" s="117">
        <f t="shared" si="2"/>
        <v>0</v>
      </c>
    </row>
    <row r="53" spans="1:28" x14ac:dyDescent="0.25">
      <c r="A53" s="15">
        <v>6</v>
      </c>
      <c r="B53" s="16" t="s">
        <v>69</v>
      </c>
      <c r="C53" s="59" t="s">
        <v>70</v>
      </c>
      <c r="D53" s="38" t="s">
        <v>123</v>
      </c>
      <c r="E53" s="17"/>
      <c r="F53" s="34" t="s">
        <v>8</v>
      </c>
      <c r="G53" s="19"/>
      <c r="H53" s="19"/>
      <c r="I53" s="19"/>
      <c r="J53" s="19"/>
      <c r="K53" s="19"/>
      <c r="L53" s="19"/>
      <c r="M53" s="19"/>
      <c r="N53" s="19"/>
      <c r="O53" s="19"/>
      <c r="P53" s="17"/>
      <c r="Q53" s="18"/>
      <c r="R53" s="16"/>
      <c r="S53" s="20"/>
      <c r="T53" s="112"/>
      <c r="U53" s="21"/>
      <c r="V53" s="20"/>
      <c r="Y53" s="117">
        <v>0</v>
      </c>
      <c r="AA53" s="117">
        <f t="shared" si="2"/>
        <v>0</v>
      </c>
    </row>
    <row r="54" spans="1:28" x14ac:dyDescent="0.25">
      <c r="A54" s="15"/>
      <c r="B54" s="16"/>
      <c r="C54" s="59"/>
      <c r="D54" s="16"/>
      <c r="E54" s="17" t="s">
        <v>24</v>
      </c>
      <c r="F54" s="18" t="s">
        <v>11</v>
      </c>
      <c r="G54" s="22">
        <v>1980000</v>
      </c>
      <c r="H54" s="22">
        <v>2266000</v>
      </c>
      <c r="I54" s="22">
        <v>1655000</v>
      </c>
      <c r="J54" s="22">
        <v>1847000</v>
      </c>
      <c r="K54" s="22">
        <v>2954000</v>
      </c>
      <c r="L54" s="22">
        <v>2827000</v>
      </c>
      <c r="M54" s="22">
        <v>3184000</v>
      </c>
      <c r="N54" s="22">
        <v>3081000</v>
      </c>
      <c r="O54" s="22">
        <v>1505000</v>
      </c>
      <c r="P54" s="96">
        <v>400000</v>
      </c>
      <c r="Q54" s="88">
        <v>1570000</v>
      </c>
      <c r="R54" s="103">
        <v>3495000</v>
      </c>
      <c r="S54" s="23">
        <f t="shared" ref="S54:S59" si="35">SUM(G54:R54)</f>
        <v>26764000</v>
      </c>
      <c r="T54" s="116">
        <f t="shared" ref="T54:T60" si="36">AA54</f>
        <v>45492500</v>
      </c>
      <c r="U54" s="21">
        <f>S54/T54</f>
        <v>0.58831675550914986</v>
      </c>
      <c r="V54" s="24">
        <f t="shared" ref="V54:V56" si="37">S54/12</f>
        <v>2230333.3333333335</v>
      </c>
      <c r="Y54" s="117">
        <v>42992500</v>
      </c>
      <c r="Z54" s="117">
        <v>2500000</v>
      </c>
      <c r="AA54" s="117">
        <f t="shared" si="2"/>
        <v>45492500</v>
      </c>
    </row>
    <row r="55" spans="1:28" x14ac:dyDescent="0.25">
      <c r="A55" s="15"/>
      <c r="B55" s="16"/>
      <c r="C55" s="59"/>
      <c r="D55" s="16"/>
      <c r="E55" s="17" t="s">
        <v>25</v>
      </c>
      <c r="F55" s="18"/>
      <c r="G55" s="22">
        <v>6182000</v>
      </c>
      <c r="H55" s="22">
        <v>9137000</v>
      </c>
      <c r="I55" s="22">
        <v>6879000</v>
      </c>
      <c r="J55" s="22">
        <v>4270000</v>
      </c>
      <c r="K55" s="22">
        <v>10333000</v>
      </c>
      <c r="L55" s="22">
        <v>9311000</v>
      </c>
      <c r="M55" s="22">
        <v>7537000</v>
      </c>
      <c r="N55" s="22">
        <v>6263000</v>
      </c>
      <c r="O55" s="22">
        <v>2709000</v>
      </c>
      <c r="P55" s="96">
        <v>3090000</v>
      </c>
      <c r="Q55" s="88">
        <v>5471000</v>
      </c>
      <c r="R55" s="103">
        <v>10526000</v>
      </c>
      <c r="S55" s="23">
        <f t="shared" si="35"/>
        <v>81708000</v>
      </c>
      <c r="T55" s="116">
        <f t="shared" si="36"/>
        <v>121377900</v>
      </c>
      <c r="U55" s="21">
        <f t="shared" ref="U55:U60" si="38">S55/T55</f>
        <v>0.67317032178015934</v>
      </c>
      <c r="V55" s="24">
        <f t="shared" si="37"/>
        <v>6809000</v>
      </c>
      <c r="Y55" s="117">
        <v>112377900</v>
      </c>
      <c r="Z55" s="117">
        <v>9000000</v>
      </c>
      <c r="AA55" s="117">
        <f t="shared" si="2"/>
        <v>121377900</v>
      </c>
    </row>
    <row r="56" spans="1:28" ht="15.75" thickBot="1" x14ac:dyDescent="0.3">
      <c r="A56" s="26"/>
      <c r="B56" s="27"/>
      <c r="C56" s="61"/>
      <c r="D56" s="27"/>
      <c r="E56" s="28" t="s">
        <v>23</v>
      </c>
      <c r="F56" s="29"/>
      <c r="G56" s="30">
        <v>2030000</v>
      </c>
      <c r="H56" s="30">
        <v>3439000</v>
      </c>
      <c r="I56" s="30">
        <v>2659000</v>
      </c>
      <c r="J56" s="30">
        <v>3745000</v>
      </c>
      <c r="K56" s="30">
        <v>3510000</v>
      </c>
      <c r="L56" s="30">
        <v>2850000</v>
      </c>
      <c r="M56" s="30">
        <v>2728000</v>
      </c>
      <c r="N56" s="30">
        <v>1900000</v>
      </c>
      <c r="O56" s="30">
        <v>2950000</v>
      </c>
      <c r="P56" s="99">
        <v>4825000</v>
      </c>
      <c r="Q56" s="93">
        <v>4240000</v>
      </c>
      <c r="R56" s="108">
        <v>4915000</v>
      </c>
      <c r="S56" s="23">
        <f t="shared" ref="S56" si="39">SUM(G56:R56)</f>
        <v>39791000</v>
      </c>
      <c r="T56" s="116">
        <f t="shared" ref="T56" si="40">AA56</f>
        <v>26763500</v>
      </c>
      <c r="U56" s="21">
        <f t="shared" ref="U56" si="41">S56/T56</f>
        <v>1.4867636893530367</v>
      </c>
      <c r="V56" s="24">
        <f t="shared" si="37"/>
        <v>3315916.6666666665</v>
      </c>
      <c r="Y56" s="117">
        <v>24763500</v>
      </c>
      <c r="Z56" s="117">
        <v>2000000</v>
      </c>
      <c r="AA56" s="117">
        <f t="shared" ref="AA56" si="42">Y56+Z56</f>
        <v>26763500</v>
      </c>
    </row>
    <row r="57" spans="1:28" s="51" customFormat="1" ht="15.75" thickBot="1" x14ac:dyDescent="0.3">
      <c r="A57" s="43"/>
      <c r="B57" s="44"/>
      <c r="C57" s="60"/>
      <c r="D57" s="44"/>
      <c r="E57" s="45"/>
      <c r="F57" s="46"/>
      <c r="G57" s="52">
        <f>SUM(G54:G56)</f>
        <v>10192000</v>
      </c>
      <c r="H57" s="52">
        <f t="shared" ref="H57:S57" si="43">SUM(H54:H56)</f>
        <v>14842000</v>
      </c>
      <c r="I57" s="52">
        <f t="shared" si="43"/>
        <v>11193000</v>
      </c>
      <c r="J57" s="52">
        <f t="shared" si="43"/>
        <v>9862000</v>
      </c>
      <c r="K57" s="52">
        <f t="shared" si="43"/>
        <v>16797000</v>
      </c>
      <c r="L57" s="52">
        <f t="shared" si="43"/>
        <v>14988000</v>
      </c>
      <c r="M57" s="52">
        <f t="shared" si="43"/>
        <v>13449000</v>
      </c>
      <c r="N57" s="52">
        <f t="shared" si="43"/>
        <v>11244000</v>
      </c>
      <c r="O57" s="52">
        <f t="shared" si="43"/>
        <v>7164000</v>
      </c>
      <c r="P57" s="52">
        <f t="shared" si="43"/>
        <v>8315000</v>
      </c>
      <c r="Q57" s="52">
        <f t="shared" si="43"/>
        <v>11281000</v>
      </c>
      <c r="R57" s="52">
        <f t="shared" si="43"/>
        <v>18936000</v>
      </c>
      <c r="S57" s="52">
        <f t="shared" si="43"/>
        <v>148263000</v>
      </c>
      <c r="T57" s="52">
        <f>SUM(T54:T56)</f>
        <v>193633900</v>
      </c>
      <c r="U57" s="49">
        <f>S57/T57</f>
        <v>0.76568720663065715</v>
      </c>
      <c r="V57" s="53">
        <f>SUM(V54:V56)</f>
        <v>12355250</v>
      </c>
      <c r="Y57" s="119">
        <v>0</v>
      </c>
      <c r="Z57" s="119"/>
      <c r="AA57" s="117">
        <f t="shared" si="2"/>
        <v>0</v>
      </c>
      <c r="AB57" s="119"/>
    </row>
    <row r="58" spans="1:28" x14ac:dyDescent="0.25">
      <c r="A58" s="15">
        <v>6</v>
      </c>
      <c r="B58" s="16" t="s">
        <v>69</v>
      </c>
      <c r="C58" s="59" t="s">
        <v>71</v>
      </c>
      <c r="D58" s="38" t="s">
        <v>124</v>
      </c>
      <c r="E58" s="17"/>
      <c r="F58" s="34" t="s">
        <v>8</v>
      </c>
      <c r="G58" s="19"/>
      <c r="H58" s="19"/>
      <c r="I58" s="19"/>
      <c r="J58" s="19"/>
      <c r="K58" s="19"/>
      <c r="L58" s="19"/>
      <c r="M58" s="19"/>
      <c r="N58" s="19"/>
      <c r="O58" s="19"/>
      <c r="P58" s="17"/>
      <c r="Q58" s="18"/>
      <c r="R58" s="16"/>
      <c r="S58" s="20"/>
      <c r="T58" s="112"/>
      <c r="U58" s="21"/>
      <c r="V58" s="20"/>
      <c r="Y58" s="117">
        <v>0</v>
      </c>
      <c r="AA58" s="117">
        <f t="shared" ref="AA58" si="44">Y58+Z58</f>
        <v>0</v>
      </c>
    </row>
    <row r="59" spans="1:28" x14ac:dyDescent="0.25">
      <c r="A59" s="26"/>
      <c r="B59" s="27"/>
      <c r="C59" s="61"/>
      <c r="D59" s="27"/>
      <c r="E59" s="28" t="s">
        <v>27</v>
      </c>
      <c r="F59" s="29"/>
      <c r="G59" s="32">
        <v>2008000</v>
      </c>
      <c r="H59" s="32">
        <v>2421000</v>
      </c>
      <c r="I59" s="32">
        <v>4192000</v>
      </c>
      <c r="J59" s="32">
        <v>784500</v>
      </c>
      <c r="K59" s="32">
        <v>3566500</v>
      </c>
      <c r="L59" s="32">
        <v>5071000</v>
      </c>
      <c r="M59" s="32">
        <v>1828700</v>
      </c>
      <c r="N59" s="32">
        <v>3548500</v>
      </c>
      <c r="O59" s="32">
        <v>2267000</v>
      </c>
      <c r="P59" s="97">
        <v>5082000</v>
      </c>
      <c r="Q59" s="91">
        <v>1731000</v>
      </c>
      <c r="R59" s="106">
        <v>1730000</v>
      </c>
      <c r="S59" s="23">
        <f t="shared" si="35"/>
        <v>34230200</v>
      </c>
      <c r="T59" s="116">
        <f t="shared" si="36"/>
        <v>35400550</v>
      </c>
      <c r="U59" s="21">
        <f t="shared" si="38"/>
        <v>0.96693977918422169</v>
      </c>
      <c r="V59" s="24">
        <f t="shared" ref="V59:V60" si="45">S59/12</f>
        <v>2852516.6666666665</v>
      </c>
      <c r="Y59" s="117">
        <v>32900550</v>
      </c>
      <c r="Z59" s="117">
        <v>2500000</v>
      </c>
      <c r="AA59" s="117">
        <f t="shared" si="2"/>
        <v>35400550</v>
      </c>
    </row>
    <row r="60" spans="1:28" ht="15.75" thickBot="1" x14ac:dyDescent="0.3">
      <c r="A60" s="15"/>
      <c r="B60" s="16"/>
      <c r="C60" s="59"/>
      <c r="D60" s="16"/>
      <c r="E60" s="17" t="s">
        <v>26</v>
      </c>
      <c r="F60" s="18"/>
      <c r="G60" s="22">
        <v>3497700</v>
      </c>
      <c r="H60" s="22">
        <v>4747500</v>
      </c>
      <c r="I60" s="22">
        <v>3379000</v>
      </c>
      <c r="J60" s="22">
        <v>1645000</v>
      </c>
      <c r="K60" s="22">
        <v>2755000</v>
      </c>
      <c r="L60" s="22">
        <v>2882000</v>
      </c>
      <c r="M60" s="22">
        <v>3061000</v>
      </c>
      <c r="N60" s="22">
        <v>4350000</v>
      </c>
      <c r="O60" s="22">
        <v>2068000</v>
      </c>
      <c r="P60" s="96">
        <v>137000</v>
      </c>
      <c r="Q60" s="88">
        <v>1199500</v>
      </c>
      <c r="R60" s="103">
        <v>3014000</v>
      </c>
      <c r="S60" s="23">
        <f>SUM(G60:R60)</f>
        <v>32735700</v>
      </c>
      <c r="T60" s="116">
        <f t="shared" si="36"/>
        <v>45224200</v>
      </c>
      <c r="U60" s="21">
        <f t="shared" si="38"/>
        <v>0.72385360050592384</v>
      </c>
      <c r="V60" s="24">
        <f t="shared" si="45"/>
        <v>2727975</v>
      </c>
      <c r="Y60" s="117">
        <v>41224200</v>
      </c>
      <c r="Z60" s="117">
        <v>4000000</v>
      </c>
      <c r="AA60" s="117">
        <f t="shared" si="2"/>
        <v>45224200</v>
      </c>
    </row>
    <row r="61" spans="1:28" s="51" customFormat="1" ht="15.75" thickBot="1" x14ac:dyDescent="0.3">
      <c r="A61" s="43"/>
      <c r="B61" s="44"/>
      <c r="C61" s="60"/>
      <c r="D61" s="44"/>
      <c r="E61" s="45"/>
      <c r="F61" s="46"/>
      <c r="G61" s="82">
        <f>SUM(G59:G60)</f>
        <v>5505700</v>
      </c>
      <c r="H61" s="82">
        <f t="shared" ref="H61:T61" si="46">SUM(H59:H60)</f>
        <v>7168500</v>
      </c>
      <c r="I61" s="82">
        <f t="shared" si="46"/>
        <v>7571000</v>
      </c>
      <c r="J61" s="82">
        <f t="shared" si="46"/>
        <v>2429500</v>
      </c>
      <c r="K61" s="82">
        <f t="shared" si="46"/>
        <v>6321500</v>
      </c>
      <c r="L61" s="82">
        <f t="shared" si="46"/>
        <v>7953000</v>
      </c>
      <c r="M61" s="82">
        <f t="shared" si="46"/>
        <v>4889700</v>
      </c>
      <c r="N61" s="82">
        <f t="shared" si="46"/>
        <v>7898500</v>
      </c>
      <c r="O61" s="82">
        <f t="shared" si="46"/>
        <v>4335000</v>
      </c>
      <c r="P61" s="82">
        <f t="shared" si="46"/>
        <v>5219000</v>
      </c>
      <c r="Q61" s="82">
        <f t="shared" si="46"/>
        <v>2930500</v>
      </c>
      <c r="R61" s="82">
        <f t="shared" si="46"/>
        <v>4744000</v>
      </c>
      <c r="S61" s="82">
        <f t="shared" si="46"/>
        <v>66965900</v>
      </c>
      <c r="T61" s="82">
        <f t="shared" si="46"/>
        <v>80624750</v>
      </c>
      <c r="U61" s="49">
        <f>S61/T61</f>
        <v>0.83058738166629975</v>
      </c>
      <c r="V61" s="48">
        <f>SUM(V59:V60)</f>
        <v>5580491.666666666</v>
      </c>
      <c r="Y61" s="119">
        <v>0</v>
      </c>
      <c r="Z61" s="119"/>
      <c r="AA61" s="117">
        <f t="shared" si="2"/>
        <v>0</v>
      </c>
      <c r="AB61" s="119"/>
    </row>
    <row r="62" spans="1:28" s="51" customFormat="1" ht="15.75" thickBot="1" x14ac:dyDescent="0.3">
      <c r="A62" s="54"/>
      <c r="B62" s="70"/>
      <c r="C62" s="71"/>
      <c r="D62" s="70"/>
      <c r="E62" s="72"/>
      <c r="F62" s="55"/>
      <c r="G62" s="73">
        <f>G33+G40+G51+G57+G61</f>
        <v>85587700</v>
      </c>
      <c r="H62" s="73">
        <f t="shared" ref="H62:T62" si="47">H33+H40+H51+H57+H61</f>
        <v>88459500</v>
      </c>
      <c r="I62" s="73">
        <f t="shared" si="47"/>
        <v>73966345</v>
      </c>
      <c r="J62" s="73">
        <f t="shared" si="47"/>
        <v>60491000</v>
      </c>
      <c r="K62" s="73">
        <f t="shared" si="47"/>
        <v>73705500</v>
      </c>
      <c r="L62" s="73">
        <f t="shared" si="47"/>
        <v>68559000</v>
      </c>
      <c r="M62" s="73">
        <f t="shared" si="47"/>
        <v>78639700</v>
      </c>
      <c r="N62" s="73">
        <f t="shared" si="47"/>
        <v>83066000</v>
      </c>
      <c r="O62" s="73">
        <f t="shared" si="47"/>
        <v>66213500</v>
      </c>
      <c r="P62" s="73">
        <f t="shared" si="47"/>
        <v>44787500</v>
      </c>
      <c r="Q62" s="73">
        <f t="shared" si="47"/>
        <v>77674000</v>
      </c>
      <c r="R62" s="73">
        <f t="shared" si="47"/>
        <v>62670500</v>
      </c>
      <c r="S62" s="73">
        <f t="shared" si="47"/>
        <v>863820245</v>
      </c>
      <c r="T62" s="73">
        <f t="shared" si="47"/>
        <v>1501746887</v>
      </c>
      <c r="U62" s="79">
        <f>S62/T62</f>
        <v>0.57521027842823158</v>
      </c>
      <c r="V62" s="73">
        <f>V33+V40+V51+V57+V61</f>
        <v>71985020.416666672</v>
      </c>
      <c r="Y62" s="119">
        <v>0</v>
      </c>
      <c r="Z62" s="119"/>
      <c r="AA62" s="117">
        <f t="shared" si="2"/>
        <v>0</v>
      </c>
      <c r="AB62" s="119"/>
    </row>
    <row r="63" spans="1:28" x14ac:dyDescent="0.25">
      <c r="A63" s="8">
        <v>7</v>
      </c>
      <c r="B63" s="9"/>
      <c r="C63" s="58"/>
      <c r="D63" s="38" t="s">
        <v>118</v>
      </c>
      <c r="E63" s="10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0"/>
      <c r="Q63" s="11"/>
      <c r="R63" s="9"/>
      <c r="S63" s="23"/>
      <c r="T63" s="113"/>
      <c r="U63" s="21"/>
      <c r="V63" s="23"/>
      <c r="Y63" s="117">
        <v>0</v>
      </c>
      <c r="AA63" s="117">
        <f t="shared" si="2"/>
        <v>0</v>
      </c>
    </row>
    <row r="64" spans="1:28" x14ac:dyDescent="0.25">
      <c r="A64" s="8"/>
      <c r="B64" s="9"/>
      <c r="C64" s="58"/>
      <c r="D64" s="86"/>
      <c r="E64" s="17" t="s">
        <v>67</v>
      </c>
      <c r="F64" s="12"/>
      <c r="G64" s="22">
        <v>3800000</v>
      </c>
      <c r="H64" s="22">
        <v>1000000</v>
      </c>
      <c r="I64" s="22">
        <v>700000</v>
      </c>
      <c r="J64" s="22">
        <v>1400000</v>
      </c>
      <c r="K64" s="22">
        <v>1020000</v>
      </c>
      <c r="L64" s="22">
        <v>0</v>
      </c>
      <c r="M64" s="22">
        <v>2250000</v>
      </c>
      <c r="N64" s="22">
        <v>0</v>
      </c>
      <c r="O64" s="22">
        <v>0</v>
      </c>
      <c r="P64" s="96">
        <v>1000000</v>
      </c>
      <c r="Q64" s="88">
        <v>2350000</v>
      </c>
      <c r="R64" s="103">
        <v>1350000</v>
      </c>
      <c r="S64" s="23">
        <f t="shared" ref="S64:S82" si="48">SUM(G64:R64)</f>
        <v>14870000</v>
      </c>
      <c r="T64" s="116">
        <f t="shared" ref="T64:T82" si="49">AA64</f>
        <v>11400000</v>
      </c>
      <c r="U64" s="21">
        <f>S64/T64</f>
        <v>1.3043859649122806</v>
      </c>
      <c r="V64" s="24">
        <f t="shared" ref="V64:V68" si="50">S64/12</f>
        <v>1239166.6666666667</v>
      </c>
      <c r="Y64" s="117">
        <v>10600000</v>
      </c>
      <c r="Z64" s="117">
        <v>800000</v>
      </c>
      <c r="AA64" s="117">
        <f t="shared" si="2"/>
        <v>11400000</v>
      </c>
    </row>
    <row r="65" spans="1:27" x14ac:dyDescent="0.25">
      <c r="A65" s="26"/>
      <c r="B65" s="27"/>
      <c r="C65" s="61"/>
      <c r="D65" s="27"/>
      <c r="E65" s="17" t="s">
        <v>66</v>
      </c>
      <c r="F65" s="29"/>
      <c r="G65" s="32">
        <v>0</v>
      </c>
      <c r="H65" s="32">
        <v>0</v>
      </c>
      <c r="I65" s="32">
        <v>13253000</v>
      </c>
      <c r="J65" s="32">
        <v>2685000</v>
      </c>
      <c r="K65" s="32">
        <v>3000000</v>
      </c>
      <c r="L65" s="32">
        <v>0</v>
      </c>
      <c r="M65" s="32">
        <v>1350000</v>
      </c>
      <c r="N65" s="32">
        <v>5346150</v>
      </c>
      <c r="O65" s="32">
        <v>0</v>
      </c>
      <c r="P65" s="97">
        <v>6600000</v>
      </c>
      <c r="Q65" s="91">
        <v>6800000</v>
      </c>
      <c r="R65" s="106">
        <v>11636000</v>
      </c>
      <c r="S65" s="23">
        <f t="shared" si="48"/>
        <v>50670150</v>
      </c>
      <c r="T65" s="116">
        <f t="shared" si="49"/>
        <v>66000000</v>
      </c>
      <c r="U65" s="21">
        <f t="shared" ref="U65:U66" si="51">S65/T65</f>
        <v>0.76772954545454541</v>
      </c>
      <c r="V65" s="24">
        <f t="shared" si="50"/>
        <v>4222512.5</v>
      </c>
      <c r="Y65" s="117">
        <v>62750000</v>
      </c>
      <c r="Z65" s="117">
        <v>3250000</v>
      </c>
      <c r="AA65" s="117">
        <f t="shared" si="2"/>
        <v>66000000</v>
      </c>
    </row>
    <row r="66" spans="1:27" x14ac:dyDescent="0.25">
      <c r="A66" s="26"/>
      <c r="B66" s="27"/>
      <c r="C66" s="61"/>
      <c r="D66" s="27"/>
      <c r="E66" s="28" t="s">
        <v>107</v>
      </c>
      <c r="F66" s="29"/>
      <c r="G66" s="32">
        <v>0</v>
      </c>
      <c r="H66" s="32">
        <v>0</v>
      </c>
      <c r="I66" s="32">
        <v>4640000</v>
      </c>
      <c r="J66" s="32">
        <v>0</v>
      </c>
      <c r="K66" s="32">
        <v>0</v>
      </c>
      <c r="L66" s="32">
        <v>0</v>
      </c>
      <c r="M66" s="32">
        <v>2178825</v>
      </c>
      <c r="N66" s="32">
        <v>4442250</v>
      </c>
      <c r="O66" s="32">
        <v>0</v>
      </c>
      <c r="P66" s="97">
        <v>0</v>
      </c>
      <c r="Q66" s="91">
        <v>0</v>
      </c>
      <c r="R66" s="106">
        <v>0</v>
      </c>
      <c r="S66" s="23">
        <f t="shared" si="48"/>
        <v>11261075</v>
      </c>
      <c r="T66" s="116">
        <f t="shared" si="49"/>
        <v>16400000</v>
      </c>
      <c r="U66" s="21">
        <f t="shared" si="51"/>
        <v>0.68665091463414629</v>
      </c>
      <c r="V66" s="24">
        <f t="shared" si="50"/>
        <v>938422.91666666663</v>
      </c>
      <c r="Y66" s="117">
        <v>15600000</v>
      </c>
      <c r="Z66" s="117">
        <v>800000</v>
      </c>
      <c r="AA66" s="117">
        <f t="shared" si="2"/>
        <v>16400000</v>
      </c>
    </row>
    <row r="67" spans="1:27" x14ac:dyDescent="0.25">
      <c r="A67" s="15"/>
      <c r="B67" s="16"/>
      <c r="C67" s="59"/>
      <c r="D67" s="16"/>
      <c r="E67" s="28" t="s">
        <v>104</v>
      </c>
      <c r="F67" s="18"/>
      <c r="G67" s="22">
        <v>550000</v>
      </c>
      <c r="H67" s="22">
        <v>0</v>
      </c>
      <c r="I67" s="22">
        <v>0</v>
      </c>
      <c r="J67" s="22">
        <v>880000</v>
      </c>
      <c r="K67" s="22">
        <v>3977100</v>
      </c>
      <c r="L67" s="22">
        <v>0</v>
      </c>
      <c r="M67" s="22">
        <v>4454800</v>
      </c>
      <c r="N67" s="22">
        <v>0</v>
      </c>
      <c r="O67" s="22">
        <v>1650000</v>
      </c>
      <c r="P67" s="96">
        <v>1000000</v>
      </c>
      <c r="Q67" s="88">
        <v>4157700</v>
      </c>
      <c r="R67" s="103">
        <v>8589700</v>
      </c>
      <c r="S67" s="23">
        <f t="shared" si="48"/>
        <v>25259300</v>
      </c>
      <c r="T67" s="116">
        <f t="shared" si="49"/>
        <v>1200000</v>
      </c>
      <c r="U67" s="21">
        <f>S67/T67</f>
        <v>21.049416666666666</v>
      </c>
      <c r="V67" s="24">
        <f t="shared" si="50"/>
        <v>2104941.6666666665</v>
      </c>
      <c r="Y67" s="117">
        <v>1050000</v>
      </c>
      <c r="Z67" s="117">
        <v>150000</v>
      </c>
      <c r="AA67" s="117">
        <f t="shared" si="2"/>
        <v>1200000</v>
      </c>
    </row>
    <row r="68" spans="1:27" ht="15.75" thickBot="1" x14ac:dyDescent="0.3">
      <c r="A68" s="8"/>
      <c r="B68" s="9"/>
      <c r="C68" s="58"/>
      <c r="E68" s="111" t="s">
        <v>68</v>
      </c>
      <c r="F68" s="12"/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120000</v>
      </c>
      <c r="N68" s="22">
        <v>75000</v>
      </c>
      <c r="O68" s="22">
        <v>0</v>
      </c>
      <c r="P68" s="96">
        <v>17300</v>
      </c>
      <c r="Q68" s="88">
        <v>0</v>
      </c>
      <c r="R68" s="103">
        <v>0</v>
      </c>
      <c r="S68" s="23">
        <f t="shared" ref="S68" si="52">SUM(G68:R68)</f>
        <v>212300</v>
      </c>
      <c r="T68" s="116">
        <f t="shared" ref="T68" si="53">AA68</f>
        <v>0</v>
      </c>
      <c r="U68" s="21" t="e">
        <f t="shared" ref="U68" si="54">S68/T68</f>
        <v>#DIV/0!</v>
      </c>
      <c r="V68" s="24">
        <f t="shared" si="50"/>
        <v>17691.666666666668</v>
      </c>
      <c r="Y68" s="117">
        <v>0</v>
      </c>
      <c r="Z68" s="117">
        <v>0</v>
      </c>
      <c r="AA68" s="117">
        <f t="shared" si="2"/>
        <v>0</v>
      </c>
    </row>
    <row r="69" spans="1:27" ht="15.75" thickBot="1" x14ac:dyDescent="0.3">
      <c r="A69" s="54"/>
      <c r="B69" s="70"/>
      <c r="C69" s="71"/>
      <c r="D69" s="70"/>
      <c r="E69" s="72"/>
      <c r="F69" s="55"/>
      <c r="G69" s="76">
        <f>SUM(G64:G68)</f>
        <v>4350000</v>
      </c>
      <c r="H69" s="76">
        <f t="shared" ref="H69:T69" si="55">SUM(H64:H68)</f>
        <v>1000000</v>
      </c>
      <c r="I69" s="76">
        <f t="shared" si="55"/>
        <v>18593000</v>
      </c>
      <c r="J69" s="76">
        <f t="shared" si="55"/>
        <v>4965000</v>
      </c>
      <c r="K69" s="76">
        <f t="shared" si="55"/>
        <v>7997100</v>
      </c>
      <c r="L69" s="76">
        <f t="shared" si="55"/>
        <v>0</v>
      </c>
      <c r="M69" s="76">
        <f t="shared" si="55"/>
        <v>10353625</v>
      </c>
      <c r="N69" s="76">
        <f t="shared" si="55"/>
        <v>9863400</v>
      </c>
      <c r="O69" s="76">
        <f t="shared" si="55"/>
        <v>1650000</v>
      </c>
      <c r="P69" s="76">
        <f t="shared" si="55"/>
        <v>8617300</v>
      </c>
      <c r="Q69" s="76">
        <f t="shared" si="55"/>
        <v>13307700</v>
      </c>
      <c r="R69" s="76">
        <f t="shared" si="55"/>
        <v>21575700</v>
      </c>
      <c r="S69" s="76">
        <f t="shared" si="55"/>
        <v>102272825</v>
      </c>
      <c r="T69" s="76">
        <f t="shared" si="55"/>
        <v>95000000</v>
      </c>
      <c r="U69" s="79">
        <f>S69/T69</f>
        <v>1.0765560526315789</v>
      </c>
      <c r="V69" s="76">
        <f>SUM(V64:V68)</f>
        <v>8522735.416666666</v>
      </c>
      <c r="W69" s="83" t="s">
        <v>77</v>
      </c>
      <c r="Y69" s="117">
        <v>0</v>
      </c>
      <c r="AA69" s="117">
        <f t="shared" si="2"/>
        <v>0</v>
      </c>
    </row>
    <row r="70" spans="1:27" x14ac:dyDescent="0.25">
      <c r="A70" s="8">
        <v>8</v>
      </c>
      <c r="B70" s="9"/>
      <c r="C70" s="58"/>
      <c r="D70" s="38" t="s">
        <v>119</v>
      </c>
      <c r="E70" s="10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0"/>
      <c r="Q70" s="11"/>
      <c r="R70" s="9"/>
      <c r="S70" s="23"/>
      <c r="T70" s="113"/>
      <c r="U70" s="21"/>
      <c r="V70" s="23"/>
      <c r="Y70" s="117">
        <v>0</v>
      </c>
      <c r="AA70" s="117">
        <f t="shared" ref="AA70" si="56">Y70+Z70</f>
        <v>0</v>
      </c>
    </row>
    <row r="71" spans="1:27" x14ac:dyDescent="0.25">
      <c r="A71" s="8"/>
      <c r="B71" s="9"/>
      <c r="C71" s="58"/>
      <c r="D71" s="16"/>
      <c r="E71" s="28" t="s">
        <v>79</v>
      </c>
      <c r="F71" s="11"/>
      <c r="G71" s="22">
        <v>0</v>
      </c>
      <c r="H71" s="22">
        <v>1050000</v>
      </c>
      <c r="I71" s="22">
        <v>0</v>
      </c>
      <c r="J71" s="22">
        <v>0</v>
      </c>
      <c r="K71" s="22">
        <v>0</v>
      </c>
      <c r="L71" s="22">
        <v>0</v>
      </c>
      <c r="M71" s="110">
        <v>1050000</v>
      </c>
      <c r="N71" s="22">
        <v>0</v>
      </c>
      <c r="O71" s="22">
        <v>0</v>
      </c>
      <c r="P71" s="96">
        <v>0</v>
      </c>
      <c r="Q71" s="88">
        <v>0</v>
      </c>
      <c r="R71" s="103">
        <v>1050000</v>
      </c>
      <c r="S71" s="23">
        <f t="shared" si="48"/>
        <v>3150000</v>
      </c>
      <c r="T71" s="116">
        <f t="shared" si="49"/>
        <v>4600000</v>
      </c>
      <c r="U71" s="21">
        <f t="shared" ref="U71:U82" si="57">S71/T71</f>
        <v>0.68478260869565222</v>
      </c>
      <c r="V71" s="24">
        <f t="shared" ref="V71:V82" si="58">S71/12</f>
        <v>262500</v>
      </c>
      <c r="Y71" s="117">
        <v>4250000</v>
      </c>
      <c r="Z71" s="117">
        <v>350000</v>
      </c>
      <c r="AA71" s="117">
        <f t="shared" si="2"/>
        <v>4600000</v>
      </c>
    </row>
    <row r="72" spans="1:27" x14ac:dyDescent="0.25">
      <c r="A72" s="8"/>
      <c r="B72" s="9"/>
      <c r="C72" s="58"/>
      <c r="D72" s="16"/>
      <c r="E72" s="28" t="s">
        <v>93</v>
      </c>
      <c r="F72" s="11"/>
      <c r="G72" s="22">
        <v>0</v>
      </c>
      <c r="H72" s="22">
        <v>0</v>
      </c>
      <c r="I72" s="22">
        <v>9550000</v>
      </c>
      <c r="J72" s="22">
        <v>6900000</v>
      </c>
      <c r="K72" s="22">
        <v>8400000</v>
      </c>
      <c r="L72" s="22">
        <v>600000</v>
      </c>
      <c r="M72" s="22">
        <v>0</v>
      </c>
      <c r="N72" s="22">
        <v>0</v>
      </c>
      <c r="O72" s="22">
        <v>0</v>
      </c>
      <c r="P72" s="96">
        <v>3900000</v>
      </c>
      <c r="Q72" s="88">
        <v>19500000</v>
      </c>
      <c r="R72" s="103">
        <v>0</v>
      </c>
      <c r="S72" s="23">
        <f t="shared" si="48"/>
        <v>48850000</v>
      </c>
      <c r="T72" s="116">
        <f t="shared" si="49"/>
        <v>47300000</v>
      </c>
      <c r="U72" s="21">
        <f>S72/T72</f>
        <v>1.03276955602537</v>
      </c>
      <c r="V72" s="24">
        <f t="shared" si="58"/>
        <v>4070833.3333333335</v>
      </c>
      <c r="Y72" s="117">
        <v>44300000</v>
      </c>
      <c r="Z72" s="117">
        <v>3000000</v>
      </c>
      <c r="AA72" s="117">
        <f t="shared" si="2"/>
        <v>47300000</v>
      </c>
    </row>
    <row r="73" spans="1:27" x14ac:dyDescent="0.25">
      <c r="A73" s="8"/>
      <c r="B73" s="9"/>
      <c r="C73" s="58"/>
      <c r="D73" s="16"/>
      <c r="E73" s="28" t="s">
        <v>94</v>
      </c>
      <c r="F73" s="11"/>
      <c r="G73" s="22">
        <v>10800000</v>
      </c>
      <c r="H73" s="22">
        <v>0</v>
      </c>
      <c r="I73" s="22">
        <v>21000000</v>
      </c>
      <c r="J73" s="22">
        <v>2100000</v>
      </c>
      <c r="K73" s="22">
        <v>0</v>
      </c>
      <c r="L73" s="22">
        <v>0</v>
      </c>
      <c r="M73" s="22">
        <v>0</v>
      </c>
      <c r="N73" s="22">
        <v>0</v>
      </c>
      <c r="O73" s="22">
        <v>10800000</v>
      </c>
      <c r="P73" s="96">
        <v>6600000</v>
      </c>
      <c r="Q73" s="88">
        <v>10800000</v>
      </c>
      <c r="R73" s="103">
        <v>0</v>
      </c>
      <c r="S73" s="23">
        <f>SUM(G73:R73)</f>
        <v>62100000</v>
      </c>
      <c r="T73" s="116">
        <f t="shared" si="49"/>
        <v>97000000</v>
      </c>
      <c r="U73" s="21">
        <f>S73/T73</f>
        <v>0.64020618556701026</v>
      </c>
      <c r="V73" s="24">
        <f t="shared" si="58"/>
        <v>5175000</v>
      </c>
      <c r="Y73" s="117">
        <v>88000000</v>
      </c>
      <c r="Z73" s="117">
        <v>9000000</v>
      </c>
      <c r="AA73" s="117">
        <f t="shared" si="2"/>
        <v>97000000</v>
      </c>
    </row>
    <row r="74" spans="1:27" x14ac:dyDescent="0.25">
      <c r="A74" s="8"/>
      <c r="B74" s="9"/>
      <c r="C74" s="58"/>
      <c r="D74" s="16"/>
      <c r="E74" s="28" t="s">
        <v>116</v>
      </c>
      <c r="F74" s="11"/>
      <c r="G74" s="22">
        <v>0</v>
      </c>
      <c r="H74" s="22">
        <v>0</v>
      </c>
      <c r="I74" s="22">
        <v>20276000</v>
      </c>
      <c r="J74" s="22">
        <v>22352000</v>
      </c>
      <c r="K74" s="22">
        <v>2750000</v>
      </c>
      <c r="L74" s="22">
        <v>0</v>
      </c>
      <c r="M74" s="22">
        <v>0</v>
      </c>
      <c r="N74" s="22">
        <v>9900000</v>
      </c>
      <c r="O74" s="22">
        <v>12950000</v>
      </c>
      <c r="P74" s="96">
        <v>12375000</v>
      </c>
      <c r="Q74" s="88">
        <v>11050000</v>
      </c>
      <c r="R74" s="103">
        <v>0</v>
      </c>
      <c r="S74" s="23">
        <f t="shared" si="48"/>
        <v>91653000</v>
      </c>
      <c r="T74" s="116">
        <f t="shared" si="49"/>
        <v>81500000</v>
      </c>
      <c r="U74" s="21">
        <f t="shared" si="57"/>
        <v>1.1245766871165643</v>
      </c>
      <c r="V74" s="24">
        <f t="shared" si="58"/>
        <v>7637750</v>
      </c>
      <c r="Y74" s="117">
        <v>75000000</v>
      </c>
      <c r="Z74" s="117">
        <v>6500000</v>
      </c>
      <c r="AA74" s="117">
        <f t="shared" si="2"/>
        <v>81500000</v>
      </c>
    </row>
    <row r="75" spans="1:27" x14ac:dyDescent="0.25">
      <c r="A75" s="8"/>
      <c r="B75" s="9"/>
      <c r="C75" s="58"/>
      <c r="D75" s="16"/>
      <c r="E75" s="28" t="s">
        <v>117</v>
      </c>
      <c r="F75" s="11"/>
      <c r="G75" s="22">
        <v>0</v>
      </c>
      <c r="H75" s="22">
        <v>9000000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96">
        <v>5950000</v>
      </c>
      <c r="Q75" s="88">
        <v>3000000</v>
      </c>
      <c r="R75" s="103">
        <v>0</v>
      </c>
      <c r="S75" s="23">
        <f t="shared" si="48"/>
        <v>17950000</v>
      </c>
      <c r="T75" s="116">
        <f t="shared" si="49"/>
        <v>42000000</v>
      </c>
      <c r="U75" s="21">
        <f t="shared" si="57"/>
        <v>0.42738095238095236</v>
      </c>
      <c r="V75" s="24">
        <f t="shared" si="58"/>
        <v>1495833.3333333333</v>
      </c>
      <c r="Y75" s="117">
        <v>39000000</v>
      </c>
      <c r="Z75" s="117">
        <v>3000000</v>
      </c>
      <c r="AA75" s="117">
        <f t="shared" si="2"/>
        <v>42000000</v>
      </c>
    </row>
    <row r="76" spans="1:27" x14ac:dyDescent="0.25">
      <c r="A76" s="8"/>
      <c r="B76" s="9"/>
      <c r="C76" s="58"/>
      <c r="D76" s="6"/>
      <c r="E76" s="114" t="s">
        <v>95</v>
      </c>
      <c r="F76" s="11"/>
      <c r="G76" s="22">
        <v>0</v>
      </c>
      <c r="H76" s="22">
        <v>7960000</v>
      </c>
      <c r="I76" s="22">
        <v>4990000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11810000</v>
      </c>
      <c r="P76" s="96">
        <v>0</v>
      </c>
      <c r="Q76" s="88">
        <v>0</v>
      </c>
      <c r="R76" s="103">
        <v>0</v>
      </c>
      <c r="S76" s="23">
        <f t="shared" si="48"/>
        <v>24760000</v>
      </c>
      <c r="T76" s="116">
        <f t="shared" si="49"/>
        <v>44710000</v>
      </c>
      <c r="U76" s="21">
        <f t="shared" si="57"/>
        <v>0.55379109818832473</v>
      </c>
      <c r="V76" s="24">
        <f t="shared" si="58"/>
        <v>2063333.3333333333</v>
      </c>
      <c r="Y76" s="117">
        <v>40710000</v>
      </c>
      <c r="Z76" s="117">
        <v>4000000</v>
      </c>
      <c r="AA76" s="117">
        <f t="shared" si="2"/>
        <v>44710000</v>
      </c>
    </row>
    <row r="77" spans="1:27" x14ac:dyDescent="0.25">
      <c r="A77" s="8"/>
      <c r="B77" s="9"/>
      <c r="C77" s="58"/>
      <c r="D77" s="6"/>
      <c r="E77" s="114" t="s">
        <v>96</v>
      </c>
      <c r="F77" s="11"/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1975000</v>
      </c>
      <c r="M77" s="22">
        <v>0</v>
      </c>
      <c r="N77" s="22">
        <v>0</v>
      </c>
      <c r="O77" s="22">
        <v>0</v>
      </c>
      <c r="P77" s="96">
        <v>0</v>
      </c>
      <c r="Q77" s="88">
        <v>0</v>
      </c>
      <c r="R77" s="103">
        <v>0</v>
      </c>
      <c r="S77" s="23">
        <f t="shared" si="48"/>
        <v>1975000</v>
      </c>
      <c r="T77" s="116">
        <f t="shared" si="49"/>
        <v>0</v>
      </c>
      <c r="U77" s="21" t="e">
        <f t="shared" si="57"/>
        <v>#DIV/0!</v>
      </c>
      <c r="V77" s="24">
        <f t="shared" si="58"/>
        <v>164583.33333333334</v>
      </c>
      <c r="Y77" s="117">
        <v>0</v>
      </c>
      <c r="Z77" s="117">
        <v>0</v>
      </c>
      <c r="AA77" s="117">
        <f t="shared" ref="AA77:AA100" si="59">Y77+Z77</f>
        <v>0</v>
      </c>
    </row>
    <row r="78" spans="1:27" x14ac:dyDescent="0.25">
      <c r="A78" s="8"/>
      <c r="B78" s="9"/>
      <c r="C78" s="58"/>
      <c r="D78" s="6"/>
      <c r="E78" s="114" t="s">
        <v>97</v>
      </c>
      <c r="F78" s="11"/>
      <c r="G78" s="22">
        <v>12900000</v>
      </c>
      <c r="H78" s="22">
        <v>0</v>
      </c>
      <c r="I78" s="22">
        <v>0</v>
      </c>
      <c r="J78" s="22">
        <v>0</v>
      </c>
      <c r="K78" s="22">
        <v>0</v>
      </c>
      <c r="L78" s="22">
        <v>14600000</v>
      </c>
      <c r="M78" s="22">
        <v>0</v>
      </c>
      <c r="N78" s="22">
        <v>0</v>
      </c>
      <c r="O78" s="22">
        <v>0</v>
      </c>
      <c r="P78" s="96">
        <v>0</v>
      </c>
      <c r="Q78" s="88">
        <v>5800000</v>
      </c>
      <c r="R78" s="103">
        <v>11992000</v>
      </c>
      <c r="S78" s="23">
        <f t="shared" si="48"/>
        <v>45292000</v>
      </c>
      <c r="T78" s="116">
        <f t="shared" si="49"/>
        <v>46100000</v>
      </c>
      <c r="U78" s="21">
        <f t="shared" si="57"/>
        <v>0.98247288503253793</v>
      </c>
      <c r="V78" s="24">
        <f t="shared" si="58"/>
        <v>3774333.3333333335</v>
      </c>
      <c r="Y78" s="117">
        <v>41950000</v>
      </c>
      <c r="Z78" s="117">
        <v>4150000</v>
      </c>
      <c r="AA78" s="117">
        <f t="shared" si="59"/>
        <v>46100000</v>
      </c>
    </row>
    <row r="79" spans="1:27" x14ac:dyDescent="0.25">
      <c r="A79" s="8"/>
      <c r="B79" s="9"/>
      <c r="C79" s="58"/>
      <c r="D79" s="6"/>
      <c r="E79" s="114" t="s">
        <v>98</v>
      </c>
      <c r="F79" s="11"/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96">
        <v>0</v>
      </c>
      <c r="Q79" s="88">
        <v>0</v>
      </c>
      <c r="R79" s="103">
        <v>0</v>
      </c>
      <c r="S79" s="23">
        <f t="shared" si="48"/>
        <v>0</v>
      </c>
      <c r="T79" s="116">
        <f>AA79</f>
        <v>0</v>
      </c>
      <c r="U79" s="21" t="e">
        <f t="shared" si="57"/>
        <v>#DIV/0!</v>
      </c>
      <c r="V79" s="24">
        <f t="shared" si="58"/>
        <v>0</v>
      </c>
      <c r="Y79" s="117">
        <v>0</v>
      </c>
      <c r="Z79" s="117">
        <v>0</v>
      </c>
      <c r="AA79" s="117">
        <f t="shared" si="59"/>
        <v>0</v>
      </c>
    </row>
    <row r="80" spans="1:27" x14ac:dyDescent="0.25">
      <c r="A80" s="8"/>
      <c r="B80" s="9"/>
      <c r="C80" s="58"/>
      <c r="D80" s="6"/>
      <c r="E80" s="114" t="s">
        <v>99</v>
      </c>
      <c r="F80" s="11"/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96">
        <v>0</v>
      </c>
      <c r="Q80" s="88">
        <v>0</v>
      </c>
      <c r="R80" s="103">
        <v>0</v>
      </c>
      <c r="S80" s="23">
        <f t="shared" si="48"/>
        <v>0</v>
      </c>
      <c r="T80" s="116">
        <f t="shared" si="49"/>
        <v>0</v>
      </c>
      <c r="U80" s="21" t="e">
        <f t="shared" si="57"/>
        <v>#DIV/0!</v>
      </c>
      <c r="V80" s="24">
        <f t="shared" si="58"/>
        <v>0</v>
      </c>
      <c r="Y80" s="117">
        <v>0</v>
      </c>
      <c r="Z80" s="117">
        <v>0</v>
      </c>
      <c r="AA80" s="117">
        <f t="shared" si="59"/>
        <v>0</v>
      </c>
    </row>
    <row r="81" spans="1:27" x14ac:dyDescent="0.25">
      <c r="A81" s="8"/>
      <c r="B81" s="9"/>
      <c r="C81" s="58"/>
      <c r="D81" s="6"/>
      <c r="E81" s="114" t="s">
        <v>100</v>
      </c>
      <c r="F81" s="11"/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96">
        <v>5421000</v>
      </c>
      <c r="Q81" s="88">
        <v>0</v>
      </c>
      <c r="R81" s="103">
        <v>0</v>
      </c>
      <c r="S81" s="23">
        <f t="shared" si="48"/>
        <v>5421000</v>
      </c>
      <c r="T81" s="116">
        <f t="shared" si="49"/>
        <v>0</v>
      </c>
      <c r="U81" s="21" t="e">
        <f t="shared" si="57"/>
        <v>#DIV/0!</v>
      </c>
      <c r="V81" s="24">
        <f t="shared" si="58"/>
        <v>451750</v>
      </c>
      <c r="Y81" s="117">
        <v>0</v>
      </c>
      <c r="Z81" s="117">
        <v>0</v>
      </c>
      <c r="AA81" s="117">
        <f t="shared" si="59"/>
        <v>0</v>
      </c>
    </row>
    <row r="82" spans="1:27" ht="15.75" thickBot="1" x14ac:dyDescent="0.3">
      <c r="A82" s="8"/>
      <c r="B82" s="9"/>
      <c r="C82" s="58"/>
      <c r="D82" s="6"/>
      <c r="E82" s="114" t="s">
        <v>101</v>
      </c>
      <c r="F82" s="11"/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96">
        <v>0</v>
      </c>
      <c r="Q82" s="88">
        <v>0</v>
      </c>
      <c r="R82" s="103">
        <v>0</v>
      </c>
      <c r="S82" s="23">
        <f t="shared" si="48"/>
        <v>0</v>
      </c>
      <c r="T82" s="116">
        <f t="shared" si="49"/>
        <v>0</v>
      </c>
      <c r="U82" s="21" t="e">
        <f t="shared" si="57"/>
        <v>#DIV/0!</v>
      </c>
      <c r="V82" s="24">
        <f t="shared" si="58"/>
        <v>0</v>
      </c>
      <c r="Y82" s="117">
        <v>0</v>
      </c>
      <c r="Z82" s="117">
        <v>0</v>
      </c>
      <c r="AA82" s="117">
        <f t="shared" si="59"/>
        <v>0</v>
      </c>
    </row>
    <row r="83" spans="1:27" ht="15.75" thickBot="1" x14ac:dyDescent="0.3">
      <c r="A83" s="54"/>
      <c r="B83" s="70"/>
      <c r="C83" s="71"/>
      <c r="D83" s="70"/>
      <c r="E83" s="72"/>
      <c r="F83" s="55"/>
      <c r="G83" s="76">
        <f>SUM(G71:G82)</f>
        <v>23700000</v>
      </c>
      <c r="H83" s="76">
        <f t="shared" ref="H83:T83" si="60">SUM(H71:H82)</f>
        <v>18010000</v>
      </c>
      <c r="I83" s="76">
        <f t="shared" si="60"/>
        <v>55816000</v>
      </c>
      <c r="J83" s="76">
        <f t="shared" si="60"/>
        <v>31352000</v>
      </c>
      <c r="K83" s="76">
        <f t="shared" si="60"/>
        <v>11150000</v>
      </c>
      <c r="L83" s="76">
        <f t="shared" si="60"/>
        <v>17175000</v>
      </c>
      <c r="M83" s="76">
        <f t="shared" si="60"/>
        <v>1050000</v>
      </c>
      <c r="N83" s="76">
        <f t="shared" si="60"/>
        <v>9900000</v>
      </c>
      <c r="O83" s="76">
        <f t="shared" si="60"/>
        <v>35560000</v>
      </c>
      <c r="P83" s="76">
        <f t="shared" si="60"/>
        <v>34246000</v>
      </c>
      <c r="Q83" s="76">
        <f t="shared" si="60"/>
        <v>50150000</v>
      </c>
      <c r="R83" s="76">
        <f t="shared" si="60"/>
        <v>13042000</v>
      </c>
      <c r="S83" s="76">
        <f t="shared" si="60"/>
        <v>301151000</v>
      </c>
      <c r="T83" s="76">
        <f t="shared" si="60"/>
        <v>363210000</v>
      </c>
      <c r="U83" s="79">
        <f>S83/T83</f>
        <v>0.82913741361746651</v>
      </c>
      <c r="V83" s="76">
        <f>SUM(V71:V82)</f>
        <v>25095916.666666664</v>
      </c>
      <c r="W83" s="83" t="s">
        <v>77</v>
      </c>
      <c r="Y83" s="117">
        <v>0</v>
      </c>
      <c r="AA83" s="117">
        <f t="shared" si="59"/>
        <v>0</v>
      </c>
    </row>
    <row r="84" spans="1:27" x14ac:dyDescent="0.25">
      <c r="A84" s="15"/>
      <c r="B84" s="16"/>
      <c r="C84" s="59"/>
      <c r="D84" s="74"/>
      <c r="E84" s="17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7"/>
      <c r="Q84" s="18"/>
      <c r="R84" s="16"/>
      <c r="S84" s="23"/>
      <c r="T84" s="23"/>
      <c r="U84" s="21"/>
      <c r="V84" s="24"/>
      <c r="Y84" s="117">
        <v>0</v>
      </c>
      <c r="AA84" s="117">
        <f t="shared" si="59"/>
        <v>0</v>
      </c>
    </row>
    <row r="85" spans="1:27" x14ac:dyDescent="0.25">
      <c r="A85" s="15">
        <v>9</v>
      </c>
      <c r="B85" s="16"/>
      <c r="C85" s="59"/>
      <c r="D85" s="2" t="s">
        <v>47</v>
      </c>
      <c r="E85" s="17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7"/>
      <c r="Q85" s="18"/>
      <c r="R85" s="16"/>
      <c r="S85" s="23"/>
      <c r="T85" s="113"/>
      <c r="U85" s="21"/>
      <c r="V85" s="24"/>
      <c r="Y85" s="117">
        <v>0</v>
      </c>
      <c r="AA85" s="117">
        <f t="shared" si="59"/>
        <v>0</v>
      </c>
    </row>
    <row r="86" spans="1:27" x14ac:dyDescent="0.25">
      <c r="A86" s="15"/>
      <c r="B86" s="16"/>
      <c r="C86" s="59"/>
      <c r="D86" s="16"/>
      <c r="E86" s="41" t="s">
        <v>49</v>
      </c>
      <c r="F86" s="19"/>
      <c r="G86" s="22">
        <v>1300000</v>
      </c>
      <c r="H86" s="22">
        <v>1605000</v>
      </c>
      <c r="I86" s="22">
        <v>660000</v>
      </c>
      <c r="J86" s="22">
        <v>7860000</v>
      </c>
      <c r="K86" s="22">
        <v>2950000</v>
      </c>
      <c r="L86" s="22">
        <v>230000</v>
      </c>
      <c r="M86" s="22">
        <v>0</v>
      </c>
      <c r="N86" s="22">
        <v>1600000</v>
      </c>
      <c r="O86" s="22">
        <v>1350000</v>
      </c>
      <c r="P86" s="96">
        <v>2600000</v>
      </c>
      <c r="Q86" s="88">
        <v>2445000</v>
      </c>
      <c r="R86" s="103">
        <v>550000</v>
      </c>
      <c r="S86" s="23">
        <f>SUM(G86:R86)</f>
        <v>23150000</v>
      </c>
      <c r="T86" s="116">
        <f t="shared" ref="T86:T100" si="61">AA86</f>
        <v>50114513</v>
      </c>
      <c r="U86" s="21">
        <f>S86/T86</f>
        <v>0.46194203264032518</v>
      </c>
      <c r="V86" s="24">
        <f t="shared" ref="V86:V100" si="62">S86/12</f>
        <v>1929166.6666666667</v>
      </c>
      <c r="Y86" s="117">
        <v>48914513</v>
      </c>
      <c r="Z86" s="117">
        <v>1200000</v>
      </c>
      <c r="AA86" s="117">
        <f t="shared" si="59"/>
        <v>50114513</v>
      </c>
    </row>
    <row r="87" spans="1:27" x14ac:dyDescent="0.25">
      <c r="A87" s="15"/>
      <c r="B87" s="16"/>
      <c r="C87" s="59"/>
      <c r="D87" s="16"/>
      <c r="E87" s="41" t="s">
        <v>50</v>
      </c>
      <c r="F87" s="19"/>
      <c r="G87" s="22">
        <v>0</v>
      </c>
      <c r="H87" s="22">
        <v>80000</v>
      </c>
      <c r="I87" s="22">
        <v>1000000</v>
      </c>
      <c r="J87" s="22">
        <v>0</v>
      </c>
      <c r="K87" s="22">
        <v>1170000</v>
      </c>
      <c r="L87" s="22">
        <v>1000000</v>
      </c>
      <c r="M87" s="22">
        <v>1000000</v>
      </c>
      <c r="N87" s="22">
        <v>1050000</v>
      </c>
      <c r="O87" s="22">
        <v>0</v>
      </c>
      <c r="P87" s="96">
        <v>1170000</v>
      </c>
      <c r="Q87" s="88">
        <v>0</v>
      </c>
      <c r="R87" s="103">
        <v>120000</v>
      </c>
      <c r="S87" s="23">
        <f t="shared" ref="S87:S98" si="63">SUM(G87:R87)</f>
        <v>6590000</v>
      </c>
      <c r="T87" s="116">
        <f t="shared" si="61"/>
        <v>3200000</v>
      </c>
      <c r="U87" s="21">
        <f>S87/T87</f>
        <v>2.0593750000000002</v>
      </c>
      <c r="V87" s="24">
        <f t="shared" si="62"/>
        <v>549166.66666666663</v>
      </c>
      <c r="Y87" s="117">
        <v>2800000</v>
      </c>
      <c r="Z87" s="117">
        <v>400000</v>
      </c>
      <c r="AA87" s="117">
        <f t="shared" si="59"/>
        <v>3200000</v>
      </c>
    </row>
    <row r="88" spans="1:27" x14ac:dyDescent="0.25">
      <c r="A88" s="15"/>
      <c r="B88" s="16"/>
      <c r="C88" s="59"/>
      <c r="D88" s="16"/>
      <c r="E88" s="41" t="s">
        <v>51</v>
      </c>
      <c r="F88" s="19"/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96">
        <v>0</v>
      </c>
      <c r="Q88" s="88">
        <v>0</v>
      </c>
      <c r="R88" s="103">
        <v>0</v>
      </c>
      <c r="S88" s="23">
        <f t="shared" si="63"/>
        <v>0</v>
      </c>
      <c r="T88" s="116">
        <f t="shared" si="61"/>
        <v>0</v>
      </c>
      <c r="U88" s="21" t="e">
        <f t="shared" ref="U88:U100" si="64">S88/T88</f>
        <v>#DIV/0!</v>
      </c>
      <c r="V88" s="24">
        <f t="shared" si="62"/>
        <v>0</v>
      </c>
      <c r="Y88" s="117">
        <v>0</v>
      </c>
      <c r="Z88" s="117">
        <v>0</v>
      </c>
      <c r="AA88" s="117">
        <f>Y88+Z88</f>
        <v>0</v>
      </c>
    </row>
    <row r="89" spans="1:27" x14ac:dyDescent="0.25">
      <c r="A89" s="15"/>
      <c r="B89" s="16"/>
      <c r="C89" s="59"/>
      <c r="D89" s="16"/>
      <c r="E89" s="41" t="s">
        <v>52</v>
      </c>
      <c r="F89" s="19"/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96">
        <v>0</v>
      </c>
      <c r="Q89" s="88">
        <v>0</v>
      </c>
      <c r="R89" s="103">
        <v>0</v>
      </c>
      <c r="S89" s="23">
        <f t="shared" si="63"/>
        <v>0</v>
      </c>
      <c r="T89" s="116">
        <f t="shared" si="61"/>
        <v>0</v>
      </c>
      <c r="U89" s="21" t="e">
        <f t="shared" si="64"/>
        <v>#DIV/0!</v>
      </c>
      <c r="V89" s="24">
        <f t="shared" si="62"/>
        <v>0</v>
      </c>
      <c r="Y89" s="117">
        <v>0</v>
      </c>
      <c r="Z89" s="117">
        <v>0</v>
      </c>
      <c r="AA89" s="117">
        <f t="shared" si="59"/>
        <v>0</v>
      </c>
    </row>
    <row r="90" spans="1:27" x14ac:dyDescent="0.25">
      <c r="A90" s="15"/>
      <c r="B90" s="16"/>
      <c r="C90" s="59"/>
      <c r="D90" s="16"/>
      <c r="E90" s="41" t="s">
        <v>53</v>
      </c>
      <c r="F90" s="19"/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96">
        <v>0</v>
      </c>
      <c r="Q90" s="88">
        <v>0</v>
      </c>
      <c r="R90" s="103">
        <v>0</v>
      </c>
      <c r="S90" s="23">
        <f t="shared" si="63"/>
        <v>0</v>
      </c>
      <c r="T90" s="116">
        <f t="shared" si="61"/>
        <v>0</v>
      </c>
      <c r="U90" s="21" t="e">
        <f t="shared" si="64"/>
        <v>#DIV/0!</v>
      </c>
      <c r="V90" s="24">
        <f t="shared" si="62"/>
        <v>0</v>
      </c>
      <c r="Y90" s="117">
        <v>0</v>
      </c>
      <c r="Z90" s="117">
        <v>0</v>
      </c>
      <c r="AA90" s="117">
        <f t="shared" si="59"/>
        <v>0</v>
      </c>
    </row>
    <row r="91" spans="1:27" x14ac:dyDescent="0.25">
      <c r="A91" s="15"/>
      <c r="B91" s="16"/>
      <c r="C91" s="59"/>
      <c r="D91" s="16"/>
      <c r="E91" s="41" t="s">
        <v>54</v>
      </c>
      <c r="F91" s="19"/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96">
        <v>0</v>
      </c>
      <c r="Q91" s="88">
        <v>0</v>
      </c>
      <c r="R91" s="103">
        <v>0</v>
      </c>
      <c r="S91" s="23">
        <f t="shared" si="63"/>
        <v>0</v>
      </c>
      <c r="T91" s="116">
        <f t="shared" si="61"/>
        <v>0</v>
      </c>
      <c r="U91" s="21" t="e">
        <f t="shared" si="64"/>
        <v>#DIV/0!</v>
      </c>
      <c r="V91" s="24">
        <f t="shared" si="62"/>
        <v>0</v>
      </c>
      <c r="Y91" s="117">
        <v>0</v>
      </c>
      <c r="Z91" s="117">
        <v>0</v>
      </c>
      <c r="AA91" s="117">
        <f t="shared" si="59"/>
        <v>0</v>
      </c>
    </row>
    <row r="92" spans="1:27" x14ac:dyDescent="0.25">
      <c r="A92" s="15"/>
      <c r="B92" s="16"/>
      <c r="C92" s="59"/>
      <c r="D92" s="16"/>
      <c r="E92" s="41" t="s">
        <v>55</v>
      </c>
      <c r="F92" s="19"/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96">
        <v>0</v>
      </c>
      <c r="Q92" s="88">
        <v>0</v>
      </c>
      <c r="R92" s="103">
        <v>0</v>
      </c>
      <c r="S92" s="23">
        <f t="shared" si="63"/>
        <v>0</v>
      </c>
      <c r="T92" s="116">
        <f t="shared" si="61"/>
        <v>0</v>
      </c>
      <c r="U92" s="21" t="e">
        <f t="shared" si="64"/>
        <v>#DIV/0!</v>
      </c>
      <c r="V92" s="24">
        <f t="shared" si="62"/>
        <v>0</v>
      </c>
      <c r="Y92" s="117">
        <v>0</v>
      </c>
      <c r="Z92" s="117">
        <v>0</v>
      </c>
      <c r="AA92" s="117">
        <f t="shared" si="59"/>
        <v>0</v>
      </c>
    </row>
    <row r="93" spans="1:27" x14ac:dyDescent="0.25">
      <c r="A93" s="15"/>
      <c r="B93" s="16"/>
      <c r="C93" s="59"/>
      <c r="D93" s="16"/>
      <c r="E93" s="41" t="s">
        <v>75</v>
      </c>
      <c r="F93" s="19"/>
      <c r="G93" s="22">
        <v>0</v>
      </c>
      <c r="H93" s="22">
        <v>0</v>
      </c>
      <c r="I93" s="22">
        <v>0</v>
      </c>
      <c r="J93" s="22">
        <v>997500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96">
        <v>0</v>
      </c>
      <c r="Q93" s="88">
        <v>0</v>
      </c>
      <c r="R93" s="103">
        <v>0</v>
      </c>
      <c r="S93" s="23">
        <f t="shared" si="63"/>
        <v>997500</v>
      </c>
      <c r="T93" s="116">
        <f t="shared" si="61"/>
        <v>0</v>
      </c>
      <c r="U93" s="21" t="e">
        <f t="shared" si="64"/>
        <v>#DIV/0!</v>
      </c>
      <c r="V93" s="24">
        <f t="shared" si="62"/>
        <v>83125</v>
      </c>
      <c r="Y93" s="117">
        <v>0</v>
      </c>
      <c r="Z93" s="117">
        <v>0</v>
      </c>
      <c r="AA93" s="117">
        <f t="shared" si="59"/>
        <v>0</v>
      </c>
    </row>
    <row r="94" spans="1:27" x14ac:dyDescent="0.25">
      <c r="A94" s="15"/>
      <c r="B94" s="16"/>
      <c r="C94" s="59"/>
      <c r="D94" s="16"/>
      <c r="E94" s="41" t="s">
        <v>56</v>
      </c>
      <c r="F94" s="19"/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1380000</v>
      </c>
      <c r="M94" s="22">
        <v>0</v>
      </c>
      <c r="N94" s="22">
        <v>0</v>
      </c>
      <c r="O94" s="22">
        <v>0</v>
      </c>
      <c r="P94" s="96">
        <v>0</v>
      </c>
      <c r="Q94" s="88">
        <v>0</v>
      </c>
      <c r="R94" s="103">
        <v>0</v>
      </c>
      <c r="S94" s="23">
        <f t="shared" si="63"/>
        <v>1380000</v>
      </c>
      <c r="T94" s="116">
        <f>AA94</f>
        <v>3365250</v>
      </c>
      <c r="U94" s="21">
        <f>S94/T94</f>
        <v>0.41007354579897481</v>
      </c>
      <c r="V94" s="24">
        <f t="shared" si="62"/>
        <v>115000</v>
      </c>
      <c r="Y94" s="117">
        <v>3365250</v>
      </c>
      <c r="Z94" s="117">
        <v>0</v>
      </c>
      <c r="AA94" s="117">
        <f t="shared" si="59"/>
        <v>3365250</v>
      </c>
    </row>
    <row r="95" spans="1:27" x14ac:dyDescent="0.25">
      <c r="A95" s="15"/>
      <c r="B95" s="16"/>
      <c r="C95" s="59"/>
      <c r="D95" s="16"/>
      <c r="E95" s="41" t="s">
        <v>76</v>
      </c>
      <c r="F95" s="19"/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96">
        <v>0</v>
      </c>
      <c r="Q95" s="88">
        <v>0</v>
      </c>
      <c r="R95" s="103">
        <v>0</v>
      </c>
      <c r="S95" s="23">
        <f t="shared" si="63"/>
        <v>0</v>
      </c>
      <c r="T95" s="116">
        <f t="shared" si="61"/>
        <v>577500</v>
      </c>
      <c r="U95" s="21">
        <f>S95/T95</f>
        <v>0</v>
      </c>
      <c r="V95" s="24">
        <f t="shared" si="62"/>
        <v>0</v>
      </c>
      <c r="Y95" s="117">
        <v>577500</v>
      </c>
      <c r="Z95" s="117">
        <v>0</v>
      </c>
      <c r="AA95" s="117">
        <f t="shared" si="59"/>
        <v>577500</v>
      </c>
    </row>
    <row r="96" spans="1:27" x14ac:dyDescent="0.25">
      <c r="A96" s="15"/>
      <c r="B96" s="16"/>
      <c r="C96" s="59"/>
      <c r="D96" s="16"/>
      <c r="E96" s="41" t="s">
        <v>57</v>
      </c>
      <c r="F96" s="19"/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96">
        <v>0</v>
      </c>
      <c r="Q96" s="88">
        <v>0</v>
      </c>
      <c r="R96" s="103">
        <v>0</v>
      </c>
      <c r="S96" s="23">
        <f t="shared" si="63"/>
        <v>0</v>
      </c>
      <c r="T96" s="116">
        <f t="shared" si="61"/>
        <v>105000</v>
      </c>
      <c r="U96" s="21">
        <f t="shared" si="64"/>
        <v>0</v>
      </c>
      <c r="V96" s="24">
        <f t="shared" si="62"/>
        <v>0</v>
      </c>
      <c r="Y96" s="117">
        <v>105000</v>
      </c>
      <c r="Z96" s="117">
        <v>0</v>
      </c>
      <c r="AA96" s="117">
        <f t="shared" si="59"/>
        <v>105000</v>
      </c>
    </row>
    <row r="97" spans="1:28" x14ac:dyDescent="0.25">
      <c r="A97" s="15"/>
      <c r="B97" s="16"/>
      <c r="C97" s="59"/>
      <c r="D97" s="16"/>
      <c r="E97" s="41" t="s">
        <v>58</v>
      </c>
      <c r="F97" s="19"/>
      <c r="G97" s="22">
        <v>0</v>
      </c>
      <c r="H97" s="22">
        <v>70000</v>
      </c>
      <c r="I97" s="22">
        <v>295000</v>
      </c>
      <c r="J97" s="22">
        <v>110000</v>
      </c>
      <c r="K97" s="22">
        <v>35000</v>
      </c>
      <c r="L97" s="22">
        <v>265000</v>
      </c>
      <c r="M97" s="22">
        <v>0</v>
      </c>
      <c r="N97" s="22">
        <v>259000</v>
      </c>
      <c r="O97" s="22">
        <v>250000</v>
      </c>
      <c r="P97" s="96">
        <v>150000</v>
      </c>
      <c r="Q97" s="88">
        <v>360000</v>
      </c>
      <c r="R97" s="103">
        <v>220000</v>
      </c>
      <c r="S97" s="23">
        <f t="shared" si="63"/>
        <v>2014000</v>
      </c>
      <c r="T97" s="116">
        <f t="shared" si="61"/>
        <v>1357500</v>
      </c>
      <c r="U97" s="21">
        <f t="shared" si="64"/>
        <v>1.4836095764272559</v>
      </c>
      <c r="V97" s="24">
        <f t="shared" si="62"/>
        <v>167833.33333333334</v>
      </c>
      <c r="Y97" s="117">
        <v>1207500</v>
      </c>
      <c r="Z97" s="117">
        <v>150000</v>
      </c>
      <c r="AA97" s="117">
        <f t="shared" si="59"/>
        <v>1357500</v>
      </c>
    </row>
    <row r="98" spans="1:28" x14ac:dyDescent="0.25">
      <c r="A98" s="15"/>
      <c r="B98" s="16"/>
      <c r="C98" s="59"/>
      <c r="D98" s="16"/>
      <c r="E98" s="41" t="s">
        <v>59</v>
      </c>
      <c r="F98" s="19"/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96">
        <v>0</v>
      </c>
      <c r="Q98" s="88">
        <v>0</v>
      </c>
      <c r="R98" s="103">
        <v>0</v>
      </c>
      <c r="S98" s="23">
        <f t="shared" si="63"/>
        <v>0</v>
      </c>
      <c r="T98" s="116">
        <f t="shared" si="61"/>
        <v>0</v>
      </c>
      <c r="U98" s="21" t="e">
        <f t="shared" si="64"/>
        <v>#DIV/0!</v>
      </c>
      <c r="V98" s="24">
        <f t="shared" si="62"/>
        <v>0</v>
      </c>
      <c r="Y98" s="117">
        <v>0</v>
      </c>
      <c r="Z98" s="117">
        <v>0</v>
      </c>
      <c r="AA98" s="117">
        <f t="shared" si="59"/>
        <v>0</v>
      </c>
    </row>
    <row r="99" spans="1:28" x14ac:dyDescent="0.25">
      <c r="A99" s="15"/>
      <c r="B99" s="16"/>
      <c r="C99" s="59"/>
      <c r="D99" s="16"/>
      <c r="E99" s="41" t="s">
        <v>60</v>
      </c>
      <c r="F99" s="19"/>
      <c r="G99" s="22">
        <v>5058000</v>
      </c>
      <c r="H99" s="22">
        <v>2470000</v>
      </c>
      <c r="I99" s="22">
        <v>4870000</v>
      </c>
      <c r="J99" s="22">
        <v>4904480</v>
      </c>
      <c r="K99" s="22">
        <v>3276000</v>
      </c>
      <c r="L99" s="22">
        <v>3812000</v>
      </c>
      <c r="M99" s="22">
        <v>1650000</v>
      </c>
      <c r="N99" s="22">
        <v>5160000</v>
      </c>
      <c r="O99" s="22">
        <v>5290000</v>
      </c>
      <c r="P99" s="96">
        <v>7850000</v>
      </c>
      <c r="Q99" s="88">
        <v>6500000</v>
      </c>
      <c r="R99" s="103">
        <v>1200000</v>
      </c>
      <c r="S99" s="23">
        <f>SUM(G99:R99)</f>
        <v>52040480</v>
      </c>
      <c r="T99" s="116">
        <f t="shared" si="61"/>
        <v>52921500</v>
      </c>
      <c r="U99" s="21">
        <f t="shared" si="64"/>
        <v>0.98335232372476211</v>
      </c>
      <c r="V99" s="24">
        <f t="shared" si="62"/>
        <v>4336706.666666667</v>
      </c>
      <c r="Y99" s="117">
        <v>48721500</v>
      </c>
      <c r="Z99" s="117">
        <v>4200000</v>
      </c>
      <c r="AA99" s="117">
        <f t="shared" si="59"/>
        <v>52921500</v>
      </c>
    </row>
    <row r="100" spans="1:28" ht="15.75" thickBot="1" x14ac:dyDescent="0.3">
      <c r="A100" s="35"/>
      <c r="B100" s="36"/>
      <c r="C100" s="62"/>
      <c r="D100" s="36"/>
      <c r="E100" s="42" t="s">
        <v>61</v>
      </c>
      <c r="F100" s="37"/>
      <c r="G100" s="32">
        <v>0</v>
      </c>
      <c r="H100" s="32">
        <v>100000</v>
      </c>
      <c r="I100" s="32">
        <v>40000</v>
      </c>
      <c r="J100" s="32">
        <v>0</v>
      </c>
      <c r="K100" s="32">
        <v>0</v>
      </c>
      <c r="L100" s="32">
        <v>1500000</v>
      </c>
      <c r="M100" s="32">
        <v>4537500</v>
      </c>
      <c r="N100" s="32">
        <v>825000</v>
      </c>
      <c r="O100" s="32">
        <v>0</v>
      </c>
      <c r="P100" s="100">
        <v>100000</v>
      </c>
      <c r="Q100" s="91">
        <v>0</v>
      </c>
      <c r="R100" s="109">
        <v>0</v>
      </c>
      <c r="S100" s="23">
        <f>SUM(G100:R100)</f>
        <v>7102500</v>
      </c>
      <c r="T100" s="116">
        <f t="shared" si="61"/>
        <v>3626650</v>
      </c>
      <c r="U100" s="21">
        <f t="shared" si="64"/>
        <v>1.9584189265575669</v>
      </c>
      <c r="V100" s="24">
        <f t="shared" si="62"/>
        <v>591875</v>
      </c>
      <c r="Y100" s="117">
        <v>3576650</v>
      </c>
      <c r="Z100" s="117">
        <v>50000</v>
      </c>
      <c r="AA100" s="117">
        <f t="shared" si="59"/>
        <v>3626650</v>
      </c>
    </row>
    <row r="101" spans="1:28" s="51" customFormat="1" ht="15.75" thickBot="1" x14ac:dyDescent="0.3">
      <c r="A101" s="54"/>
      <c r="B101" s="55"/>
      <c r="C101" s="64"/>
      <c r="D101" s="55"/>
      <c r="E101" s="55"/>
      <c r="F101" s="55"/>
      <c r="G101" s="75">
        <f t="shared" ref="G101:S101" si="65">SUM(G86:G100)</f>
        <v>6358000</v>
      </c>
      <c r="H101" s="75">
        <f t="shared" si="65"/>
        <v>4325000</v>
      </c>
      <c r="I101" s="75">
        <f t="shared" si="65"/>
        <v>6865000</v>
      </c>
      <c r="J101" s="75">
        <f>SUM(J86:J100)</f>
        <v>13871980</v>
      </c>
      <c r="K101" s="75">
        <f t="shared" ref="K101" si="66">SUM(K86:K100)</f>
        <v>7431000</v>
      </c>
      <c r="L101" s="75">
        <f t="shared" ref="L101:P101" si="67">SUM(L86:L100)</f>
        <v>8187000</v>
      </c>
      <c r="M101" s="75">
        <f>SUM(M86:M100)</f>
        <v>7187500</v>
      </c>
      <c r="N101" s="75">
        <f t="shared" si="67"/>
        <v>8894000</v>
      </c>
      <c r="O101" s="75">
        <f t="shared" si="67"/>
        <v>6890000</v>
      </c>
      <c r="P101" s="75">
        <f t="shared" si="67"/>
        <v>11870000</v>
      </c>
      <c r="Q101" s="75">
        <f>SUM(Q86:Q100)</f>
        <v>9305000</v>
      </c>
      <c r="R101" s="75">
        <f>SUM(R86:R100)</f>
        <v>2090000</v>
      </c>
      <c r="S101" s="56">
        <f t="shared" si="65"/>
        <v>93274480</v>
      </c>
      <c r="T101" s="78">
        <f>SUM(T86:T100)</f>
        <v>115267913</v>
      </c>
      <c r="U101" s="79">
        <f>S101/T101</f>
        <v>0.80919726550440796</v>
      </c>
      <c r="V101" s="75">
        <f>SUM(V86:V100)</f>
        <v>7772873.333333334</v>
      </c>
      <c r="Y101" s="119"/>
      <c r="Z101" s="119"/>
      <c r="AA101" s="119"/>
      <c r="AB101" s="119"/>
    </row>
    <row r="102" spans="1:28" s="51" customFormat="1" ht="15.75" thickBot="1" x14ac:dyDescent="0.3">
      <c r="A102" s="43"/>
      <c r="B102" s="46"/>
      <c r="C102" s="63"/>
      <c r="D102" s="46"/>
      <c r="E102" s="46"/>
      <c r="F102" s="46"/>
      <c r="G102" s="81">
        <f>G27+G62+G69+G83+G101</f>
        <v>187577000</v>
      </c>
      <c r="H102" s="81">
        <f t="shared" ref="H102:V102" si="68">H27+H62+H69+H83+H101</f>
        <v>176191000</v>
      </c>
      <c r="I102" s="81">
        <f t="shared" si="68"/>
        <v>195409345</v>
      </c>
      <c r="J102" s="81">
        <f t="shared" si="68"/>
        <v>150865980</v>
      </c>
      <c r="K102" s="81">
        <f t="shared" si="68"/>
        <v>157116900</v>
      </c>
      <c r="L102" s="81">
        <f t="shared" si="68"/>
        <v>149967000</v>
      </c>
      <c r="M102" s="81">
        <f t="shared" si="68"/>
        <v>156043825</v>
      </c>
      <c r="N102" s="81">
        <f t="shared" si="68"/>
        <v>162145100</v>
      </c>
      <c r="O102" s="81">
        <f t="shared" si="68"/>
        <v>151386200</v>
      </c>
      <c r="P102" s="81">
        <f t="shared" si="68"/>
        <v>136884800</v>
      </c>
      <c r="Q102" s="81">
        <f t="shared" si="68"/>
        <v>199293100</v>
      </c>
      <c r="R102" s="81">
        <f t="shared" si="68"/>
        <v>149209174</v>
      </c>
      <c r="S102" s="81">
        <f t="shared" si="68"/>
        <v>1972089424</v>
      </c>
      <c r="T102" s="81">
        <f t="shared" si="68"/>
        <v>3196656364</v>
      </c>
      <c r="U102" s="124">
        <f>S102/T102</f>
        <v>0.61692255889910852</v>
      </c>
      <c r="V102" s="48">
        <f t="shared" si="68"/>
        <v>164340785.33333334</v>
      </c>
      <c r="Y102" s="119">
        <f>SUM(Y8:Y100)</f>
        <v>2966656364</v>
      </c>
      <c r="Z102" s="119">
        <f>SUM(Z8:Z100)</f>
        <v>230000000</v>
      </c>
      <c r="AA102" s="119">
        <f>SUM(AA8:AA100)</f>
        <v>3196656364</v>
      </c>
      <c r="AB102" s="119"/>
    </row>
    <row r="103" spans="1:28" x14ac:dyDescent="0.25">
      <c r="A103" s="5"/>
      <c r="B103" s="6"/>
      <c r="C103" s="57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7"/>
      <c r="V103" s="6"/>
    </row>
    <row r="104" spans="1:28" ht="9" customHeight="1" x14ac:dyDescent="0.25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125"/>
      <c r="V104" s="125"/>
    </row>
    <row r="105" spans="1:28" ht="1.5" hidden="1" customHeight="1" x14ac:dyDescent="0.25">
      <c r="B105" s="67" t="s">
        <v>92</v>
      </c>
      <c r="C105" s="57"/>
      <c r="D105" s="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84"/>
      <c r="V105" s="84"/>
    </row>
    <row r="106" spans="1:28" ht="15" hidden="1" customHeight="1" x14ac:dyDescent="0.25">
      <c r="B106" s="6" t="s">
        <v>73</v>
      </c>
      <c r="C106" s="57">
        <v>299775369</v>
      </c>
      <c r="D106" s="6"/>
      <c r="E106" s="6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84"/>
      <c r="V106" s="84"/>
    </row>
    <row r="107" spans="1:28" ht="15" hidden="1" customHeight="1" thickBot="1" x14ac:dyDescent="0.3">
      <c r="B107" s="6" t="s">
        <v>74</v>
      </c>
      <c r="C107" s="66">
        <v>2941444</v>
      </c>
      <c r="D107" s="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84"/>
      <c r="V107" s="84"/>
    </row>
    <row r="108" spans="1:28" ht="15" hidden="1" customHeight="1" thickTop="1" x14ac:dyDescent="0.25">
      <c r="B108" s="6"/>
      <c r="C108" s="68">
        <f>SUM(C106:C107)</f>
        <v>302716813</v>
      </c>
      <c r="D108" s="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84"/>
      <c r="V108" s="84"/>
    </row>
    <row r="109" spans="1:28" ht="15" hidden="1" customHeight="1" x14ac:dyDescent="0.25">
      <c r="B109" s="6"/>
      <c r="C109" s="57"/>
      <c r="D109" s="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84"/>
      <c r="V109" s="84"/>
    </row>
    <row r="110" spans="1:28" ht="15" hidden="1" customHeight="1" x14ac:dyDescent="0.25">
      <c r="B110" s="6"/>
      <c r="C110" s="69">
        <f>C108-R102</f>
        <v>153507639</v>
      </c>
      <c r="D110" s="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84"/>
      <c r="V110" s="84"/>
    </row>
    <row r="111" spans="1:28" ht="15" hidden="1" customHeight="1" x14ac:dyDescent="0.25">
      <c r="B111" s="67" t="s">
        <v>115</v>
      </c>
      <c r="C111" s="57"/>
      <c r="D111" s="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84"/>
      <c r="V111" s="84"/>
    </row>
    <row r="112" spans="1:28" ht="15" hidden="1" customHeight="1" x14ac:dyDescent="0.25">
      <c r="B112" s="6" t="s">
        <v>73</v>
      </c>
      <c r="C112" s="57">
        <v>0</v>
      </c>
      <c r="D112" s="6"/>
      <c r="E112" s="6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84"/>
      <c r="V112" s="84"/>
    </row>
    <row r="113" spans="2:22" ht="15" hidden="1" customHeight="1" thickBot="1" x14ac:dyDescent="0.3">
      <c r="B113" s="6" t="s">
        <v>74</v>
      </c>
      <c r="C113" s="66">
        <v>0</v>
      </c>
      <c r="D113" s="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84"/>
      <c r="V113" s="84"/>
    </row>
    <row r="114" spans="2:22" ht="15" hidden="1" customHeight="1" thickTop="1" x14ac:dyDescent="0.25">
      <c r="B114" s="6"/>
      <c r="C114" s="68">
        <f>SUM(C112:C113)</f>
        <v>0</v>
      </c>
      <c r="D114" s="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84"/>
      <c r="V114" s="84"/>
    </row>
    <row r="115" spans="2:22" ht="15" hidden="1" customHeight="1" x14ac:dyDescent="0.25">
      <c r="B115" s="6"/>
      <c r="C115" s="57"/>
      <c r="D115" s="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84"/>
      <c r="V115" s="84"/>
    </row>
    <row r="116" spans="2:22" ht="15" hidden="1" customHeight="1" x14ac:dyDescent="0.25">
      <c r="B116" s="6"/>
      <c r="C116" s="69">
        <f>C114-Q102</f>
        <v>-199293100</v>
      </c>
      <c r="D116" s="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84"/>
      <c r="V116" s="84"/>
    </row>
    <row r="117" spans="2:22" ht="15" hidden="1" customHeight="1" x14ac:dyDescent="0.25">
      <c r="B117" s="67" t="s">
        <v>114</v>
      </c>
      <c r="C117" s="57"/>
      <c r="D117" s="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84"/>
      <c r="V117" s="84"/>
    </row>
    <row r="118" spans="2:22" ht="15" hidden="1" customHeight="1" x14ac:dyDescent="0.25">
      <c r="B118" s="6" t="s">
        <v>73</v>
      </c>
      <c r="C118" s="57">
        <v>235451500</v>
      </c>
      <c r="D118" s="6"/>
      <c r="E118" s="6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84"/>
      <c r="V118" s="84"/>
    </row>
    <row r="119" spans="2:22" ht="15" hidden="1" customHeight="1" thickBot="1" x14ac:dyDescent="0.3">
      <c r="B119" s="6" t="s">
        <v>74</v>
      </c>
      <c r="C119" s="66">
        <v>415000</v>
      </c>
      <c r="D119" s="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84"/>
      <c r="V119" s="84"/>
    </row>
    <row r="120" spans="2:22" ht="3" customHeight="1" x14ac:dyDescent="0.25">
      <c r="B120" s="6"/>
      <c r="C120" s="68">
        <f>SUM(C118:C119)</f>
        <v>235866500</v>
      </c>
      <c r="D120" s="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84"/>
      <c r="V120" s="84"/>
    </row>
    <row r="121" spans="2:22" ht="15" hidden="1" customHeight="1" x14ac:dyDescent="0.25">
      <c r="B121" s="6"/>
      <c r="C121" s="57"/>
      <c r="D121" s="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84"/>
      <c r="V121" s="84"/>
    </row>
    <row r="122" spans="2:22" ht="15" hidden="1" customHeight="1" x14ac:dyDescent="0.25">
      <c r="B122" s="6"/>
      <c r="C122" s="69">
        <f>C120-P102</f>
        <v>98981700</v>
      </c>
      <c r="D122" s="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84"/>
      <c r="V122" s="84"/>
    </row>
    <row r="123" spans="2:22" ht="15" hidden="1" customHeight="1" x14ac:dyDescent="0.25">
      <c r="B123" s="67" t="s">
        <v>113</v>
      </c>
      <c r="C123" s="57"/>
      <c r="D123" s="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84"/>
      <c r="V123" s="84"/>
    </row>
    <row r="124" spans="2:22" ht="15" hidden="1" customHeight="1" x14ac:dyDescent="0.25">
      <c r="B124" s="6" t="s">
        <v>73</v>
      </c>
      <c r="C124" s="57">
        <v>211947090</v>
      </c>
      <c r="D124" s="6"/>
      <c r="E124" s="6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84"/>
      <c r="V124" s="84"/>
    </row>
    <row r="125" spans="2:22" ht="15" hidden="1" customHeight="1" thickBot="1" x14ac:dyDescent="0.3">
      <c r="B125" s="6" t="s">
        <v>74</v>
      </c>
      <c r="C125" s="66">
        <v>597000</v>
      </c>
      <c r="D125" s="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84"/>
      <c r="V125" s="84"/>
    </row>
    <row r="126" spans="2:22" ht="15" hidden="1" customHeight="1" thickTop="1" x14ac:dyDescent="0.25">
      <c r="B126" s="6"/>
      <c r="C126" s="68">
        <f>SUM(C124:C125)</f>
        <v>212544090</v>
      </c>
      <c r="D126" s="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84"/>
      <c r="V126" s="84"/>
    </row>
    <row r="127" spans="2:22" ht="15" hidden="1" customHeight="1" x14ac:dyDescent="0.25">
      <c r="B127" s="6"/>
      <c r="C127" s="57"/>
      <c r="D127" s="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84"/>
      <c r="V127" s="84"/>
    </row>
    <row r="128" spans="2:22" ht="15" hidden="1" customHeight="1" x14ac:dyDescent="0.25">
      <c r="B128" s="6"/>
      <c r="C128" s="69">
        <f>C126-O102</f>
        <v>61157890</v>
      </c>
      <c r="D128" s="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84"/>
      <c r="V128" s="84"/>
    </row>
    <row r="129" spans="2:22" ht="15" hidden="1" customHeight="1" x14ac:dyDescent="0.25">
      <c r="B129" s="67" t="s">
        <v>111</v>
      </c>
      <c r="C129" s="57"/>
      <c r="D129" s="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84"/>
      <c r="V129" s="84"/>
    </row>
    <row r="130" spans="2:22" ht="12.75" hidden="1" customHeight="1" x14ac:dyDescent="0.25">
      <c r="B130" s="6" t="s">
        <v>73</v>
      </c>
      <c r="C130" s="57">
        <v>262329032</v>
      </c>
      <c r="D130" s="6"/>
      <c r="E130" s="6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84"/>
      <c r="V130" s="84"/>
    </row>
    <row r="131" spans="2:22" ht="12.75" hidden="1" customHeight="1" thickBot="1" x14ac:dyDescent="0.3">
      <c r="B131" s="6" t="s">
        <v>74</v>
      </c>
      <c r="C131" s="66">
        <v>1012000</v>
      </c>
      <c r="D131" s="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84"/>
      <c r="V131" s="84"/>
    </row>
    <row r="132" spans="2:22" ht="12.75" hidden="1" customHeight="1" thickTop="1" x14ac:dyDescent="0.25">
      <c r="B132" s="6"/>
      <c r="C132" s="68">
        <f>SUM(C130:C131)</f>
        <v>263341032</v>
      </c>
      <c r="D132" s="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84"/>
      <c r="V132" s="84"/>
    </row>
    <row r="133" spans="2:22" ht="12.75" hidden="1" customHeight="1" x14ac:dyDescent="0.25">
      <c r="B133" s="6"/>
      <c r="C133" s="57"/>
      <c r="D133" s="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84"/>
      <c r="V133" s="84"/>
    </row>
    <row r="134" spans="2:22" ht="12.75" hidden="1" customHeight="1" x14ac:dyDescent="0.25">
      <c r="B134" s="6"/>
      <c r="C134" s="69">
        <f>C132-N102</f>
        <v>101195932</v>
      </c>
      <c r="D134" s="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84"/>
      <c r="V134" s="84"/>
    </row>
    <row r="135" spans="2:22" ht="12.75" hidden="1" customHeight="1" x14ac:dyDescent="0.25">
      <c r="B135" s="67" t="s">
        <v>112</v>
      </c>
      <c r="C135" s="57"/>
      <c r="D135" s="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84"/>
      <c r="V135" s="84"/>
    </row>
    <row r="136" spans="2:22" ht="17.25" hidden="1" customHeight="1" x14ac:dyDescent="0.25">
      <c r="B136" s="6" t="s">
        <v>73</v>
      </c>
      <c r="C136" s="57">
        <v>242017050</v>
      </c>
      <c r="D136" s="6"/>
      <c r="E136" s="6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84"/>
      <c r="V136" s="84"/>
    </row>
    <row r="137" spans="2:22" ht="15" hidden="1" customHeight="1" thickBot="1" x14ac:dyDescent="0.3">
      <c r="B137" s="6" t="s">
        <v>74</v>
      </c>
      <c r="C137" s="66">
        <v>1380500</v>
      </c>
      <c r="D137" s="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84"/>
      <c r="V137" s="84"/>
    </row>
    <row r="138" spans="2:22" ht="15.75" hidden="1" customHeight="1" thickTop="1" x14ac:dyDescent="0.25">
      <c r="B138" s="6"/>
      <c r="C138" s="68">
        <f>SUM(C136:C137)</f>
        <v>243397550</v>
      </c>
      <c r="D138" s="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84"/>
      <c r="V138" s="84"/>
    </row>
    <row r="139" spans="2:22" ht="18" hidden="1" customHeight="1" x14ac:dyDescent="0.25">
      <c r="B139" s="6"/>
      <c r="C139" s="57"/>
      <c r="D139" s="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84"/>
      <c r="V139" s="84"/>
    </row>
    <row r="140" spans="2:22" ht="15" hidden="1" customHeight="1" x14ac:dyDescent="0.25">
      <c r="B140" s="6"/>
      <c r="C140" s="69">
        <f>C138-M102</f>
        <v>87353725</v>
      </c>
      <c r="D140" s="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84"/>
      <c r="V140" s="84"/>
    </row>
    <row r="141" spans="2:22" ht="12" hidden="1" customHeight="1" x14ac:dyDescent="0.25">
      <c r="B141" s="67" t="s">
        <v>110</v>
      </c>
      <c r="C141" s="57"/>
      <c r="D141" s="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84"/>
      <c r="V141" s="84"/>
    </row>
    <row r="142" spans="2:22" ht="15" hidden="1" customHeight="1" x14ac:dyDescent="0.25">
      <c r="B142" s="6" t="s">
        <v>73</v>
      </c>
      <c r="C142" s="57">
        <v>249253500</v>
      </c>
      <c r="D142" s="6"/>
      <c r="E142" s="6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84"/>
      <c r="V142" s="84"/>
    </row>
    <row r="143" spans="2:22" ht="15" hidden="1" customHeight="1" thickBot="1" x14ac:dyDescent="0.3">
      <c r="B143" s="6" t="s">
        <v>74</v>
      </c>
      <c r="C143" s="66">
        <v>710000</v>
      </c>
      <c r="D143" s="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84"/>
      <c r="V143" s="84"/>
    </row>
    <row r="144" spans="2:22" ht="15" hidden="1" customHeight="1" thickTop="1" x14ac:dyDescent="0.25">
      <c r="B144" s="6"/>
      <c r="C144" s="68">
        <f>SUM(C142:C143)</f>
        <v>249963500</v>
      </c>
      <c r="D144" s="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84"/>
      <c r="V144" s="84"/>
    </row>
    <row r="145" spans="2:22" ht="15" hidden="1" customHeight="1" x14ac:dyDescent="0.25">
      <c r="B145" s="6"/>
      <c r="C145" s="57"/>
      <c r="D145" s="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84"/>
      <c r="V145" s="84"/>
    </row>
    <row r="146" spans="2:22" ht="15" hidden="1" customHeight="1" x14ac:dyDescent="0.25">
      <c r="B146" s="6"/>
      <c r="C146" s="69">
        <f>C144-L102</f>
        <v>99996500</v>
      </c>
      <c r="D146" s="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84"/>
      <c r="V146" s="84"/>
    </row>
    <row r="147" spans="2:22" ht="15" hidden="1" customHeight="1" x14ac:dyDescent="0.25">
      <c r="B147" s="67" t="s">
        <v>109</v>
      </c>
      <c r="C147" s="57"/>
      <c r="D147" s="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84"/>
      <c r="V147" s="84"/>
    </row>
    <row r="148" spans="2:22" ht="15" hidden="1" customHeight="1" x14ac:dyDescent="0.25">
      <c r="B148" s="6" t="s">
        <v>73</v>
      </c>
      <c r="C148" s="57">
        <v>278921700</v>
      </c>
      <c r="D148" s="6"/>
      <c r="E148" s="6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84"/>
      <c r="V148" s="84"/>
    </row>
    <row r="149" spans="2:22" ht="6" hidden="1" customHeight="1" thickBot="1" x14ac:dyDescent="0.3">
      <c r="B149" s="6" t="s">
        <v>74</v>
      </c>
      <c r="C149" s="66">
        <v>1867000</v>
      </c>
      <c r="D149" s="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84"/>
      <c r="V149" s="84"/>
    </row>
    <row r="150" spans="2:22" ht="15" hidden="1" customHeight="1" thickTop="1" x14ac:dyDescent="0.25">
      <c r="B150" s="6"/>
      <c r="C150" s="68">
        <f>SUM(C148:C149)</f>
        <v>280788700</v>
      </c>
      <c r="D150" s="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84"/>
      <c r="V150" s="84"/>
    </row>
    <row r="151" spans="2:22" ht="15" hidden="1" customHeight="1" x14ac:dyDescent="0.25">
      <c r="B151" s="6"/>
      <c r="C151" s="57"/>
      <c r="D151" s="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84"/>
      <c r="V151" s="84"/>
    </row>
    <row r="152" spans="2:22" ht="15" hidden="1" customHeight="1" x14ac:dyDescent="0.25">
      <c r="B152" s="6"/>
      <c r="C152" s="69">
        <f>C150-K102</f>
        <v>123671800</v>
      </c>
      <c r="D152" s="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84"/>
      <c r="V152" s="84"/>
    </row>
    <row r="153" spans="2:22" ht="15" hidden="1" customHeight="1" x14ac:dyDescent="0.25">
      <c r="B153" s="67" t="s">
        <v>108</v>
      </c>
      <c r="C153" s="57"/>
      <c r="D153" s="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84"/>
      <c r="V153" s="84"/>
    </row>
    <row r="154" spans="2:22" ht="15" hidden="1" customHeight="1" x14ac:dyDescent="0.25">
      <c r="B154" s="6" t="s">
        <v>73</v>
      </c>
      <c r="C154" s="57">
        <v>274646065</v>
      </c>
      <c r="D154" s="6"/>
      <c r="E154" s="6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84"/>
      <c r="V154" s="84"/>
    </row>
    <row r="155" spans="2:22" ht="15" hidden="1" customHeight="1" thickBot="1" x14ac:dyDescent="0.3">
      <c r="B155" s="6" t="s">
        <v>74</v>
      </c>
      <c r="C155" s="66">
        <v>2400400</v>
      </c>
      <c r="D155" s="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84"/>
      <c r="V155" s="84"/>
    </row>
    <row r="156" spans="2:22" ht="15" hidden="1" customHeight="1" thickTop="1" x14ac:dyDescent="0.25">
      <c r="B156" s="6"/>
      <c r="C156" s="68">
        <f>SUM(C154:C155)</f>
        <v>277046465</v>
      </c>
      <c r="D156" s="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84"/>
      <c r="V156" s="84"/>
    </row>
    <row r="157" spans="2:22" ht="15" hidden="1" customHeight="1" x14ac:dyDescent="0.25">
      <c r="B157" s="6"/>
      <c r="C157" s="57"/>
      <c r="D157" s="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84"/>
      <c r="V157" s="84"/>
    </row>
    <row r="158" spans="2:22" ht="15" hidden="1" customHeight="1" x14ac:dyDescent="0.25">
      <c r="B158" s="6"/>
      <c r="C158" s="69">
        <f>C156-J102</f>
        <v>126180485</v>
      </c>
      <c r="D158" s="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84"/>
      <c r="V158" s="84"/>
    </row>
    <row r="159" spans="2:22" ht="15" hidden="1" customHeight="1" x14ac:dyDescent="0.25">
      <c r="B159" s="67" t="s">
        <v>106</v>
      </c>
      <c r="C159" s="57"/>
      <c r="D159" s="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84"/>
      <c r="V159" s="84"/>
    </row>
    <row r="160" spans="2:22" ht="15" hidden="1" customHeight="1" x14ac:dyDescent="0.25">
      <c r="B160" s="6" t="s">
        <v>73</v>
      </c>
      <c r="C160" s="57">
        <v>304986400</v>
      </c>
      <c r="D160" s="6"/>
      <c r="E160" s="6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84"/>
      <c r="V160" s="84"/>
    </row>
    <row r="161" spans="2:22" ht="15" hidden="1" customHeight="1" thickBot="1" x14ac:dyDescent="0.3">
      <c r="B161" s="6" t="s">
        <v>74</v>
      </c>
      <c r="C161" s="66">
        <v>2300600</v>
      </c>
      <c r="D161" s="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84"/>
      <c r="V161" s="84"/>
    </row>
    <row r="162" spans="2:22" ht="15" hidden="1" customHeight="1" thickTop="1" x14ac:dyDescent="0.25">
      <c r="B162" s="6"/>
      <c r="C162" s="68">
        <f>SUM(C160:C161)</f>
        <v>307287000</v>
      </c>
      <c r="D162" s="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84"/>
      <c r="V162" s="84"/>
    </row>
    <row r="163" spans="2:22" ht="15" hidden="1" customHeight="1" x14ac:dyDescent="0.25">
      <c r="B163" s="6"/>
      <c r="C163" s="57"/>
      <c r="D163" s="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84"/>
      <c r="V163" s="84"/>
    </row>
    <row r="164" spans="2:22" ht="15" hidden="1" customHeight="1" x14ac:dyDescent="0.25">
      <c r="B164" s="6"/>
      <c r="C164" s="69">
        <f>C162-I102</f>
        <v>111877655</v>
      </c>
      <c r="D164" s="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84"/>
      <c r="V164" s="84"/>
    </row>
    <row r="165" spans="2:22" ht="15" hidden="1" customHeight="1" x14ac:dyDescent="0.25">
      <c r="B165" s="67" t="s">
        <v>105</v>
      </c>
      <c r="C165" s="57"/>
      <c r="D165" s="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84"/>
      <c r="V165" s="84"/>
    </row>
    <row r="166" spans="2:22" ht="15" hidden="1" customHeight="1" x14ac:dyDescent="0.25">
      <c r="B166" s="6" t="s">
        <v>73</v>
      </c>
      <c r="C166" s="57">
        <v>276617850</v>
      </c>
      <c r="D166" s="6"/>
      <c r="E166" s="6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84"/>
      <c r="V166" s="84"/>
    </row>
    <row r="167" spans="2:22" ht="15" hidden="1" customHeight="1" thickBot="1" x14ac:dyDescent="0.3">
      <c r="B167" s="6" t="s">
        <v>74</v>
      </c>
      <c r="C167" s="66">
        <v>1626000</v>
      </c>
      <c r="D167" s="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84"/>
      <c r="V167" s="84"/>
    </row>
    <row r="168" spans="2:22" ht="15" hidden="1" customHeight="1" thickTop="1" x14ac:dyDescent="0.25">
      <c r="B168" s="6"/>
      <c r="C168" s="68">
        <f>SUM(C166:C167)</f>
        <v>278243850</v>
      </c>
      <c r="D168" s="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84"/>
      <c r="V168" s="84"/>
    </row>
    <row r="169" spans="2:22" ht="15" hidden="1" customHeight="1" x14ac:dyDescent="0.25">
      <c r="B169" s="6"/>
      <c r="C169" s="57"/>
      <c r="D169" s="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84"/>
      <c r="V169" s="84"/>
    </row>
    <row r="170" spans="2:22" ht="15" hidden="1" customHeight="1" x14ac:dyDescent="0.25">
      <c r="B170" s="6"/>
      <c r="C170" s="69">
        <f>C168-H102</f>
        <v>102052850</v>
      </c>
      <c r="D170" s="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84"/>
      <c r="V170" s="84"/>
    </row>
    <row r="171" spans="2:22" ht="15" hidden="1" customHeight="1" x14ac:dyDescent="0.25">
      <c r="B171" s="67" t="s">
        <v>103</v>
      </c>
      <c r="C171" s="57"/>
      <c r="D171" s="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84"/>
      <c r="V171" s="84"/>
    </row>
    <row r="172" spans="2:22" ht="15" hidden="1" customHeight="1" x14ac:dyDescent="0.25">
      <c r="B172" s="6" t="s">
        <v>73</v>
      </c>
      <c r="C172" s="57">
        <v>326557071</v>
      </c>
      <c r="D172" s="6"/>
      <c r="E172" s="6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84"/>
      <c r="V172" s="84"/>
    </row>
    <row r="173" spans="2:22" ht="15.75" hidden="1" thickBot="1" x14ac:dyDescent="0.3">
      <c r="B173" s="6" t="s">
        <v>74</v>
      </c>
      <c r="C173" s="66">
        <v>2561200</v>
      </c>
      <c r="D173" s="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84"/>
      <c r="V173" s="84"/>
    </row>
    <row r="174" spans="2:22" ht="15.75" hidden="1" thickTop="1" x14ac:dyDescent="0.25">
      <c r="B174" s="6"/>
      <c r="C174" s="68">
        <f>SUM(C172:C173)</f>
        <v>329118271</v>
      </c>
      <c r="D174" s="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84"/>
      <c r="V174" s="84"/>
    </row>
    <row r="175" spans="2:22" hidden="1" x14ac:dyDescent="0.25">
      <c r="B175" s="6"/>
      <c r="C175" s="57"/>
      <c r="D175" s="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84"/>
      <c r="V175" s="84"/>
    </row>
    <row r="176" spans="2:22" hidden="1" x14ac:dyDescent="0.25">
      <c r="B176" s="6"/>
      <c r="C176" s="69">
        <f>C174-G102</f>
        <v>141541271</v>
      </c>
      <c r="D176" s="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84"/>
      <c r="V176" s="84"/>
    </row>
    <row r="177" spans="1:28" s="6" customFormat="1" ht="14.25" hidden="1" x14ac:dyDescent="0.2">
      <c r="A177" s="5"/>
      <c r="C177" s="57"/>
      <c r="U177" s="7"/>
      <c r="Y177" s="120"/>
      <c r="Z177" s="120"/>
      <c r="AA177" s="120"/>
      <c r="AB177" s="120"/>
    </row>
    <row r="178" spans="1:28" s="6" customFormat="1" hidden="1" thickTop="1" x14ac:dyDescent="0.2">
      <c r="A178" s="5"/>
      <c r="C178" s="57"/>
      <c r="U178" s="7"/>
      <c r="Y178" s="120"/>
      <c r="Z178" s="120"/>
      <c r="AA178" s="120"/>
      <c r="AB178" s="120"/>
    </row>
    <row r="179" spans="1:28" s="6" customFormat="1" x14ac:dyDescent="0.25">
      <c r="A179" s="5"/>
      <c r="C179" s="57"/>
      <c r="T179" s="57">
        <f>Y102+Z102</f>
        <v>3196656364</v>
      </c>
      <c r="U179" s="7"/>
      <c r="Y179" s="120"/>
      <c r="Z179" s="119"/>
      <c r="AA179" s="120"/>
      <c r="AB179" s="120"/>
    </row>
    <row r="180" spans="1:28" x14ac:dyDescent="0.25">
      <c r="T180" s="65">
        <f>T179-AA102</f>
        <v>0</v>
      </c>
    </row>
    <row r="181" spans="1:28" x14ac:dyDescent="0.25">
      <c r="S181" s="117"/>
      <c r="T181" s="65"/>
      <c r="AA181" s="117">
        <f>Z102+AA102</f>
        <v>3426656364</v>
      </c>
    </row>
    <row r="182" spans="1:28" x14ac:dyDescent="0.25">
      <c r="S182" s="3"/>
      <c r="T182" s="117">
        <v>2966656364</v>
      </c>
    </row>
    <row r="184" spans="1:28" x14ac:dyDescent="0.25">
      <c r="T184" s="65"/>
    </row>
  </sheetData>
  <mergeCells count="12">
    <mergeCell ref="U104:V104"/>
    <mergeCell ref="U4:U5"/>
    <mergeCell ref="A2:V2"/>
    <mergeCell ref="A1:V1"/>
    <mergeCell ref="A4:A5"/>
    <mergeCell ref="B4:C5"/>
    <mergeCell ref="D4:E5"/>
    <mergeCell ref="F4:F5"/>
    <mergeCell ref="S4:S5"/>
    <mergeCell ref="V4:V5"/>
    <mergeCell ref="T4:T5"/>
    <mergeCell ref="G4:R4"/>
  </mergeCells>
  <printOptions horizontalCentered="1"/>
  <pageMargins left="0.11811023622047245" right="0.15748031496062992" top="0.15748031496062992" bottom="0.39370078740157483" header="0.11811023622047245" footer="0.11811023622047245"/>
  <pageSetup paperSize="9" scale="68" fitToHeight="0" orientation="landscape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RPD 2024</vt:lpstr>
      <vt:lpstr>Sheet5</vt:lpstr>
      <vt:lpstr>'RPD 2024'!Print_Area</vt:lpstr>
      <vt:lpstr>'RPD 2024'!Print_Titles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APRIZALDI</cp:lastModifiedBy>
  <cp:lastPrinted>2021-06-07T00:07:07Z</cp:lastPrinted>
  <dcterms:created xsi:type="dcterms:W3CDTF">2020-01-06T01:47:07Z</dcterms:created>
  <dcterms:modified xsi:type="dcterms:W3CDTF">2025-01-02T06:47:37Z</dcterms:modified>
</cp:coreProperties>
</file>