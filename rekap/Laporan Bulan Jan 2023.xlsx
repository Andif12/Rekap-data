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PU PEMASARAN\KAMALIA\LAPORAN TAHUN 2023\LAP JANUARI 2023\"/>
    </mc:Choice>
  </mc:AlternateContent>
  <bookViews>
    <workbookView xWindow="240" yWindow="90" windowWidth="20055" windowHeight="7905" activeTab="4"/>
  </bookViews>
  <sheets>
    <sheet name="Wil 1" sheetId="1" r:id="rId1"/>
    <sheet name="Wil 2" sheetId="2" r:id="rId2"/>
    <sheet name="MP" sheetId="3" r:id="rId3"/>
    <sheet name="Nener" sheetId="4" r:id="rId4"/>
    <sheet name="Tabulasi Harian" sheetId="9" r:id="rId5"/>
  </sheets>
  <definedNames>
    <definedName name="_xlnm.Print_Area" localSheetId="2">MP!$A$1:$I$35</definedName>
    <definedName name="_xlnm.Print_Area" localSheetId="3">Nener!$A$1:$K$203</definedName>
    <definedName name="_xlnm.Print_Area" localSheetId="1">'Wil 2'!$A$1:$K$392</definedName>
  </definedNames>
  <calcPr calcId="152511"/>
</workbook>
</file>

<file path=xl/calcChain.xml><?xml version="1.0" encoding="utf-8"?>
<calcChain xmlns="http://schemas.openxmlformats.org/spreadsheetml/2006/main">
  <c r="L40" i="9" l="1"/>
  <c r="J75" i="4"/>
  <c r="J76" i="4"/>
  <c r="G77" i="4"/>
  <c r="H77" i="4"/>
  <c r="I77" i="4"/>
  <c r="F77" i="4"/>
  <c r="J137" i="4"/>
  <c r="J166" i="4"/>
  <c r="J167" i="4"/>
  <c r="J168" i="4"/>
  <c r="J89" i="4"/>
  <c r="J61" i="4"/>
  <c r="P39" i="9"/>
  <c r="P40" i="9" s="1"/>
  <c r="O39" i="9"/>
  <c r="O40" i="9" s="1"/>
  <c r="N39" i="9"/>
  <c r="N40" i="9" s="1"/>
  <c r="M39" i="9"/>
  <c r="M40" i="9" s="1"/>
  <c r="K39" i="9"/>
  <c r="K40" i="9" s="1"/>
  <c r="J39" i="9"/>
  <c r="J40" i="9" s="1"/>
  <c r="I39" i="9"/>
  <c r="I40" i="9" s="1"/>
  <c r="H39" i="9"/>
  <c r="G39" i="9"/>
  <c r="G40" i="9" s="1"/>
  <c r="F39" i="9"/>
  <c r="F40" i="9" s="1"/>
  <c r="E39" i="9"/>
  <c r="E40" i="9" s="1"/>
  <c r="D39" i="9"/>
  <c r="L39" i="9" s="1"/>
  <c r="C39" i="9"/>
  <c r="C40" i="9" s="1"/>
  <c r="L38" i="9"/>
  <c r="H38" i="9"/>
  <c r="L37" i="9"/>
  <c r="H37" i="9"/>
  <c r="L36" i="9"/>
  <c r="H36" i="9"/>
  <c r="L35" i="9"/>
  <c r="H35" i="9"/>
  <c r="L34" i="9"/>
  <c r="H34" i="9"/>
  <c r="L33" i="9"/>
  <c r="H33" i="9"/>
  <c r="L32" i="9"/>
  <c r="H32" i="9"/>
  <c r="L31" i="9"/>
  <c r="H31" i="9"/>
  <c r="L30" i="9"/>
  <c r="H30" i="9"/>
  <c r="L29" i="9"/>
  <c r="H29" i="9"/>
  <c r="P28" i="9"/>
  <c r="O28" i="9"/>
  <c r="N28" i="9"/>
  <c r="M28" i="9"/>
  <c r="K28" i="9"/>
  <c r="J28" i="9"/>
  <c r="I28" i="9"/>
  <c r="H28" i="9"/>
  <c r="G28" i="9"/>
  <c r="F28" i="9"/>
  <c r="E28" i="9"/>
  <c r="D28" i="9"/>
  <c r="C28" i="9"/>
  <c r="L27" i="9"/>
  <c r="H27" i="9"/>
  <c r="L26" i="9"/>
  <c r="H26" i="9"/>
  <c r="L25" i="9"/>
  <c r="H25" i="9"/>
  <c r="L24" i="9"/>
  <c r="H24" i="9"/>
  <c r="L23" i="9"/>
  <c r="H23" i="9"/>
  <c r="L22" i="9"/>
  <c r="H22" i="9"/>
  <c r="L21" i="9"/>
  <c r="L28" i="9" s="1"/>
  <c r="H21" i="9"/>
  <c r="P20" i="9"/>
  <c r="O20" i="9"/>
  <c r="N20" i="9"/>
  <c r="M20" i="9"/>
  <c r="K20" i="9"/>
  <c r="J20" i="9"/>
  <c r="I20" i="9"/>
  <c r="H20" i="9"/>
  <c r="G20" i="9"/>
  <c r="F20" i="9"/>
  <c r="E20" i="9"/>
  <c r="D20" i="9"/>
  <c r="C20" i="9"/>
  <c r="L19" i="9"/>
  <c r="H19" i="9"/>
  <c r="L18" i="9"/>
  <c r="H18" i="9"/>
  <c r="L17" i="9"/>
  <c r="H17" i="9"/>
  <c r="L16" i="9"/>
  <c r="H16" i="9"/>
  <c r="L15" i="9"/>
  <c r="H15" i="9"/>
  <c r="L14" i="9"/>
  <c r="L20" i="9" s="1"/>
  <c r="H14" i="9"/>
  <c r="L13" i="9"/>
  <c r="H13" i="9"/>
  <c r="P12" i="9"/>
  <c r="O12" i="9"/>
  <c r="N12" i="9"/>
  <c r="M12" i="9"/>
  <c r="K12" i="9"/>
  <c r="J12" i="9"/>
  <c r="I12" i="9"/>
  <c r="H12" i="9"/>
  <c r="G12" i="9"/>
  <c r="F12" i="9"/>
  <c r="E12" i="9"/>
  <c r="D12" i="9"/>
  <c r="C12" i="9"/>
  <c r="L11" i="9"/>
  <c r="H11" i="9"/>
  <c r="L10" i="9"/>
  <c r="H10" i="9"/>
  <c r="L9" i="9"/>
  <c r="H9" i="9"/>
  <c r="L8" i="9"/>
  <c r="H8" i="9"/>
  <c r="L7" i="9"/>
  <c r="H7" i="9"/>
  <c r="L6" i="9"/>
  <c r="L12" i="9" s="1"/>
  <c r="H6" i="9"/>
  <c r="L5" i="9"/>
  <c r="H5" i="9"/>
  <c r="I21" i="3"/>
  <c r="I13" i="3"/>
  <c r="I14" i="3"/>
  <c r="I15" i="3"/>
  <c r="H40" i="9" l="1"/>
  <c r="D40" i="9"/>
  <c r="K145" i="1" l="1"/>
  <c r="K45" i="1" l="1"/>
  <c r="K46" i="1"/>
  <c r="K47" i="1"/>
  <c r="K48" i="1"/>
  <c r="K49" i="1"/>
  <c r="K25" i="1"/>
  <c r="K26" i="1"/>
  <c r="K27" i="1"/>
  <c r="K28" i="1"/>
  <c r="K29" i="1"/>
  <c r="K311" i="2" l="1"/>
  <c r="K312" i="2"/>
  <c r="K307" i="2"/>
  <c r="K308" i="2"/>
  <c r="K309" i="2"/>
  <c r="K310" i="2"/>
  <c r="K313" i="2"/>
  <c r="K314" i="2"/>
  <c r="K138" i="2"/>
  <c r="K139" i="2"/>
  <c r="K140" i="2"/>
  <c r="K141" i="2"/>
  <c r="K142" i="2"/>
  <c r="K143" i="2"/>
  <c r="K79" i="2"/>
  <c r="K60" i="2"/>
  <c r="K61" i="2"/>
  <c r="K126" i="1" l="1"/>
  <c r="K127" i="1"/>
  <c r="K128" i="1"/>
  <c r="K129" i="1"/>
  <c r="K130" i="1"/>
  <c r="K131" i="1"/>
  <c r="K98" i="1"/>
  <c r="K99" i="1"/>
  <c r="K100" i="1"/>
  <c r="K101" i="1"/>
  <c r="K68" i="1"/>
  <c r="K69" i="1"/>
  <c r="K70" i="1"/>
  <c r="K71" i="1"/>
  <c r="K72" i="1"/>
  <c r="K73" i="1"/>
  <c r="K74" i="1"/>
  <c r="K75" i="1"/>
  <c r="K326" i="2"/>
  <c r="K327" i="2"/>
  <c r="K328" i="2"/>
  <c r="K329" i="2"/>
  <c r="K330" i="2"/>
  <c r="K289" i="2"/>
  <c r="K290" i="2"/>
  <c r="K291" i="2"/>
  <c r="K292" i="2"/>
  <c r="K293" i="2"/>
  <c r="K294" i="2"/>
  <c r="K295" i="2"/>
  <c r="K296" i="2"/>
  <c r="K297" i="2"/>
  <c r="K93" i="2"/>
  <c r="K94" i="2"/>
  <c r="K95" i="2"/>
  <c r="K96" i="2"/>
  <c r="I10" i="3" l="1"/>
  <c r="I11" i="3"/>
  <c r="I12" i="3"/>
  <c r="J120" i="4" l="1"/>
  <c r="K374" i="2" l="1"/>
  <c r="K375" i="2"/>
  <c r="K376" i="2"/>
  <c r="K377" i="2"/>
  <c r="K151" i="1" l="1"/>
  <c r="K152" i="1"/>
  <c r="K153" i="1"/>
  <c r="K154" i="1"/>
  <c r="K107" i="1"/>
  <c r="K108" i="1"/>
  <c r="K109" i="1"/>
  <c r="K94" i="1"/>
  <c r="K95" i="1"/>
  <c r="K96" i="1"/>
  <c r="J134" i="4" l="1"/>
  <c r="J135" i="4"/>
  <c r="J136" i="4"/>
  <c r="J147" i="2"/>
  <c r="K364" i="2" l="1"/>
  <c r="K365" i="2"/>
  <c r="K366" i="2"/>
  <c r="K268" i="2"/>
  <c r="K269" i="2"/>
  <c r="K270" i="2"/>
  <c r="K271" i="2"/>
  <c r="K272" i="2"/>
  <c r="K273" i="2"/>
  <c r="K274" i="2"/>
  <c r="K275" i="2"/>
  <c r="K276" i="2"/>
  <c r="K277" i="2"/>
  <c r="K169" i="1" l="1"/>
  <c r="K170" i="1"/>
  <c r="K171" i="1"/>
  <c r="K361" i="2"/>
  <c r="K362" i="2"/>
  <c r="K363" i="2"/>
  <c r="J105" i="4" l="1"/>
  <c r="J191" i="4" l="1"/>
  <c r="G192" i="4"/>
  <c r="H192" i="4"/>
  <c r="I192" i="4"/>
  <c r="F192" i="4"/>
  <c r="J190" i="4"/>
  <c r="J165" i="4"/>
  <c r="J40" i="4"/>
  <c r="J41" i="4"/>
  <c r="J42" i="4"/>
  <c r="J43" i="4"/>
  <c r="J44" i="4"/>
  <c r="G80" i="4"/>
  <c r="H80" i="4"/>
  <c r="I80" i="4"/>
  <c r="F80" i="4"/>
  <c r="J80" i="4" l="1"/>
  <c r="K85" i="2"/>
  <c r="K86" i="2"/>
  <c r="K87" i="2"/>
  <c r="H88" i="2"/>
  <c r="I88" i="2"/>
  <c r="J88" i="2"/>
  <c r="G88" i="2"/>
  <c r="H7" i="2"/>
  <c r="I7" i="2"/>
  <c r="J7" i="2"/>
  <c r="G7" i="2"/>
  <c r="K180" i="1"/>
  <c r="H147" i="1"/>
  <c r="I147" i="1"/>
  <c r="J147" i="1"/>
  <c r="G147" i="1"/>
  <c r="K144" i="1"/>
  <c r="K146" i="1"/>
  <c r="K137" i="1"/>
  <c r="K7" i="2" l="1"/>
  <c r="K190" i="1"/>
  <c r="I20" i="3" l="1"/>
  <c r="I22" i="3"/>
  <c r="K136" i="1" l="1"/>
  <c r="K123" i="1"/>
  <c r="K124" i="1"/>
  <c r="K125" i="1"/>
  <c r="K102" i="1"/>
  <c r="K84" i="1"/>
  <c r="K85" i="1"/>
  <c r="K86" i="1"/>
  <c r="K87" i="1"/>
  <c r="K59" i="1"/>
  <c r="K60" i="1"/>
  <c r="K61" i="1"/>
  <c r="K62" i="1"/>
  <c r="K63" i="1"/>
  <c r="K64" i="1"/>
  <c r="K65" i="1"/>
  <c r="K66" i="1"/>
  <c r="K67" i="1"/>
  <c r="K76" i="1"/>
  <c r="K38" i="1"/>
  <c r="K39" i="1"/>
  <c r="K40" i="1"/>
  <c r="K41" i="1"/>
  <c r="K42" i="1"/>
  <c r="K43" i="1"/>
  <c r="K44" i="1"/>
  <c r="J127" i="4" l="1"/>
  <c r="J128" i="4"/>
  <c r="J129" i="4"/>
  <c r="J130" i="4"/>
  <c r="J131" i="4"/>
  <c r="J132" i="4"/>
  <c r="J133" i="4"/>
  <c r="J185" i="4"/>
  <c r="J27" i="4" l="1"/>
  <c r="J28" i="4"/>
  <c r="J29" i="4"/>
  <c r="J30" i="4"/>
  <c r="J31" i="4"/>
  <c r="J32" i="4"/>
  <c r="G33" i="4"/>
  <c r="G106" i="4"/>
  <c r="H106" i="4"/>
  <c r="I106" i="4"/>
  <c r="F106" i="4"/>
  <c r="J52" i="4"/>
  <c r="J53" i="4"/>
  <c r="J54" i="4"/>
  <c r="J55" i="4"/>
  <c r="J56" i="4"/>
  <c r="J77" i="4" l="1"/>
  <c r="I45" i="4"/>
  <c r="K187" i="1" l="1"/>
  <c r="K188" i="1"/>
  <c r="K189" i="1"/>
  <c r="K370" i="2" l="1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127" i="2"/>
  <c r="K128" i="2"/>
  <c r="K129" i="2"/>
  <c r="K130" i="2"/>
  <c r="K131" i="2"/>
  <c r="K132" i="2"/>
  <c r="K133" i="2"/>
  <c r="K134" i="2"/>
  <c r="K135" i="2"/>
  <c r="K136" i="2"/>
  <c r="K137" i="2"/>
  <c r="K144" i="2"/>
  <c r="K145" i="2"/>
  <c r="K146" i="2"/>
  <c r="H57" i="4" l="1"/>
  <c r="H33" i="4"/>
  <c r="H102" i="4"/>
  <c r="H99" i="4"/>
  <c r="K143" i="1" l="1"/>
  <c r="K147" i="1" s="1"/>
  <c r="E199" i="1" s="1"/>
  <c r="K52" i="1"/>
  <c r="K164" i="1"/>
  <c r="K165" i="1"/>
  <c r="K166" i="1"/>
  <c r="K167" i="1"/>
  <c r="K156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17" i="2"/>
  <c r="K320" i="2"/>
  <c r="K321" i="2"/>
  <c r="K322" i="2"/>
  <c r="K323" i="2"/>
  <c r="K324" i="2"/>
  <c r="K325" i="2"/>
  <c r="K284" i="2"/>
  <c r="K285" i="2"/>
  <c r="K286" i="2"/>
  <c r="K287" i="2"/>
  <c r="K288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92" i="2"/>
  <c r="D31" i="3" l="1"/>
  <c r="E387" i="2"/>
  <c r="J156" i="4" l="1"/>
  <c r="J157" i="4"/>
  <c r="J158" i="4"/>
  <c r="J164" i="4" l="1"/>
  <c r="J153" i="4"/>
  <c r="J154" i="4"/>
  <c r="J155" i="4"/>
  <c r="J183" i="4"/>
  <c r="J184" i="4"/>
  <c r="J118" i="4"/>
  <c r="J119" i="4"/>
  <c r="J121" i="4"/>
  <c r="J122" i="4"/>
  <c r="J123" i="4"/>
  <c r="J124" i="4"/>
  <c r="J125" i="4"/>
  <c r="J126" i="4"/>
  <c r="J26" i="4" l="1"/>
  <c r="K155" i="1" l="1"/>
  <c r="K37" i="1"/>
  <c r="K121" i="1" l="1"/>
  <c r="K122" i="1"/>
  <c r="H110" i="1"/>
  <c r="I110" i="1"/>
  <c r="J110" i="1"/>
  <c r="G110" i="1"/>
  <c r="F23" i="3"/>
  <c r="G23" i="3"/>
  <c r="H23" i="3"/>
  <c r="E23" i="3"/>
  <c r="J71" i="4" l="1"/>
  <c r="J91" i="4" l="1"/>
  <c r="K91" i="1" l="1"/>
  <c r="K92" i="1"/>
  <c r="K93" i="1"/>
  <c r="K97" i="1"/>
  <c r="K90" i="1"/>
  <c r="I172" i="1"/>
  <c r="I191" i="1"/>
  <c r="K176" i="1"/>
  <c r="K177" i="1"/>
  <c r="K178" i="1"/>
  <c r="K179" i="1"/>
  <c r="H367" i="2" l="1"/>
  <c r="I367" i="2"/>
  <c r="J367" i="2"/>
  <c r="G367" i="2"/>
  <c r="H331" i="2"/>
  <c r="I331" i="2"/>
  <c r="J331" i="2"/>
  <c r="G331" i="2"/>
  <c r="H97" i="2"/>
  <c r="I97" i="2"/>
  <c r="J97" i="2"/>
  <c r="G97" i="2"/>
  <c r="H138" i="1"/>
  <c r="I138" i="1"/>
  <c r="J138" i="1"/>
  <c r="G138" i="1"/>
  <c r="K331" i="2" l="1"/>
  <c r="H30" i="1"/>
  <c r="I30" i="1"/>
  <c r="J30" i="1"/>
  <c r="G30" i="1"/>
  <c r="K116" i="1" l="1"/>
  <c r="K185" i="1"/>
  <c r="K186" i="1"/>
  <c r="K162" i="1"/>
  <c r="K163" i="1"/>
  <c r="K168" i="1"/>
  <c r="H371" i="2"/>
  <c r="I371" i="2"/>
  <c r="J371" i="2"/>
  <c r="G371" i="2"/>
  <c r="K303" i="2"/>
  <c r="K304" i="2"/>
  <c r="K305" i="2"/>
  <c r="K306" i="2"/>
  <c r="J69" i="4" l="1"/>
  <c r="J70" i="4"/>
  <c r="J60" i="4" l="1"/>
  <c r="E389" i="2" l="1"/>
  <c r="E388" i="2"/>
  <c r="H379" i="2" l="1"/>
  <c r="I16" i="3" l="1"/>
  <c r="K135" i="1" l="1"/>
  <c r="K150" i="1"/>
  <c r="K106" i="1"/>
  <c r="I64" i="2"/>
  <c r="I33" i="4" l="1"/>
  <c r="I172" i="4"/>
  <c r="I159" i="4"/>
  <c r="I138" i="4"/>
  <c r="I92" i="4"/>
  <c r="I57" i="4"/>
  <c r="K74" i="2" l="1"/>
  <c r="K75" i="2"/>
  <c r="K76" i="2"/>
  <c r="K77" i="2"/>
  <c r="K78" i="2"/>
  <c r="K80" i="2"/>
  <c r="K81" i="2"/>
  <c r="K54" i="2" l="1"/>
  <c r="K55" i="2"/>
  <c r="K56" i="2"/>
  <c r="K57" i="2"/>
  <c r="K58" i="2"/>
  <c r="K59" i="2"/>
  <c r="K62" i="2"/>
  <c r="K63" i="2"/>
  <c r="G102" i="4" l="1"/>
  <c r="G62" i="4"/>
  <c r="J68" i="4"/>
  <c r="I102" i="4"/>
  <c r="F102" i="4"/>
  <c r="J151" i="4" l="1"/>
  <c r="J152" i="4"/>
  <c r="J97" i="4"/>
  <c r="J98" i="4"/>
  <c r="J87" i="4"/>
  <c r="J88" i="4"/>
  <c r="J90" i="4"/>
  <c r="J163" i="4"/>
  <c r="H191" i="1" l="1"/>
  <c r="J191" i="1"/>
  <c r="G191" i="1"/>
  <c r="G92" i="4" l="1"/>
  <c r="H92" i="4"/>
  <c r="F92" i="4"/>
  <c r="G169" i="4"/>
  <c r="H169" i="4"/>
  <c r="I169" i="4"/>
  <c r="F169" i="4"/>
  <c r="I379" i="2" l="1"/>
  <c r="J379" i="2"/>
  <c r="G379" i="2"/>
  <c r="K378" i="2"/>
  <c r="K335" i="2"/>
  <c r="K336" i="2"/>
  <c r="K337" i="2"/>
  <c r="K338" i="2"/>
  <c r="K339" i="2"/>
  <c r="K340" i="2"/>
  <c r="K354" i="2"/>
  <c r="K355" i="2"/>
  <c r="K356" i="2"/>
  <c r="K357" i="2"/>
  <c r="K358" i="2"/>
  <c r="K359" i="2"/>
  <c r="K360" i="2"/>
  <c r="H315" i="2"/>
  <c r="I315" i="2"/>
  <c r="J315" i="2"/>
  <c r="G315" i="2"/>
  <c r="K301" i="2"/>
  <c r="K302" i="2"/>
  <c r="K281" i="2"/>
  <c r="K282" i="2"/>
  <c r="K283" i="2"/>
  <c r="H298" i="2"/>
  <c r="I298" i="2"/>
  <c r="J298" i="2"/>
  <c r="G298" i="2"/>
  <c r="K223" i="2"/>
  <c r="K243" i="2"/>
  <c r="K244" i="2"/>
  <c r="K245" i="2"/>
  <c r="K246" i="2"/>
  <c r="K318" i="2"/>
  <c r="K319" i="2"/>
  <c r="K334" i="2"/>
  <c r="K369" i="2"/>
  <c r="K333" i="2"/>
  <c r="K300" i="2"/>
  <c r="K280" i="2"/>
  <c r="K371" i="2" l="1"/>
  <c r="K298" i="2"/>
  <c r="K315" i="2"/>
  <c r="K367" i="2"/>
  <c r="K120" i="1" l="1"/>
  <c r="J23" i="4" l="1"/>
  <c r="J24" i="4"/>
  <c r="J117" i="4"/>
  <c r="J181" i="4"/>
  <c r="J182" i="4"/>
  <c r="J50" i="4"/>
  <c r="J51" i="4"/>
  <c r="I186" i="4"/>
  <c r="H186" i="4"/>
  <c r="G186" i="4"/>
  <c r="F186" i="4"/>
  <c r="J180" i="4"/>
  <c r="J179" i="4"/>
  <c r="J178" i="4"/>
  <c r="J177" i="4"/>
  <c r="J176" i="4"/>
  <c r="J175" i="4"/>
  <c r="J174" i="4"/>
  <c r="H172" i="4"/>
  <c r="G172" i="4"/>
  <c r="F172" i="4"/>
  <c r="J171" i="4"/>
  <c r="J162" i="4"/>
  <c r="J161" i="4"/>
  <c r="J186" i="4" l="1"/>
  <c r="J169" i="4"/>
  <c r="J172" i="4"/>
  <c r="H17" i="3" l="1"/>
  <c r="J278" i="2"/>
  <c r="I278" i="2"/>
  <c r="K218" i="2"/>
  <c r="K219" i="2"/>
  <c r="K220" i="2"/>
  <c r="K221" i="2"/>
  <c r="K222" i="2"/>
  <c r="J150" i="4" l="1"/>
  <c r="K206" i="2" l="1"/>
  <c r="K207" i="2"/>
  <c r="K208" i="2"/>
  <c r="K209" i="2"/>
  <c r="K210" i="2"/>
  <c r="K211" i="2"/>
  <c r="J113" i="4" l="1"/>
  <c r="J114" i="4"/>
  <c r="J115" i="4"/>
  <c r="J116" i="4"/>
  <c r="J67" i="4"/>
  <c r="J112" i="4" l="1"/>
  <c r="F62" i="4" l="1"/>
  <c r="J110" i="4" l="1"/>
  <c r="J111" i="4"/>
  <c r="H62" i="4"/>
  <c r="I62" i="4"/>
  <c r="H88" i="1"/>
  <c r="I88" i="1"/>
  <c r="J88" i="1"/>
  <c r="G88" i="1"/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50" i="2" l="1"/>
  <c r="K51" i="2"/>
  <c r="K52" i="2"/>
  <c r="K53" i="2"/>
  <c r="J66" i="4" l="1"/>
  <c r="I46" i="2" l="1"/>
  <c r="J46" i="2"/>
  <c r="H46" i="2"/>
  <c r="H181" i="1" l="1"/>
  <c r="I181" i="1"/>
  <c r="J181" i="1"/>
  <c r="G181" i="1"/>
  <c r="K214" i="2"/>
  <c r="K215" i="2"/>
  <c r="K216" i="2"/>
  <c r="K217" i="2"/>
  <c r="H157" i="1" l="1"/>
  <c r="K119" i="1"/>
  <c r="J172" i="1" l="1"/>
  <c r="K203" i="2"/>
  <c r="K204" i="2"/>
  <c r="K205" i="2"/>
  <c r="K212" i="2"/>
  <c r="K213" i="2"/>
  <c r="F17" i="3"/>
  <c r="G17" i="3"/>
  <c r="E17" i="3"/>
  <c r="J104" i="4" l="1"/>
  <c r="J106" i="4" s="1"/>
  <c r="J192" i="4" l="1"/>
  <c r="K108" i="2" l="1"/>
  <c r="K109" i="2"/>
  <c r="K110" i="2"/>
  <c r="K125" i="2"/>
  <c r="K126" i="2"/>
  <c r="J109" i="4" l="1"/>
  <c r="K198" i="2" l="1"/>
  <c r="K199" i="2"/>
  <c r="K200" i="2"/>
  <c r="K201" i="2"/>
  <c r="K202" i="2"/>
  <c r="K185" i="2"/>
  <c r="K186" i="2"/>
  <c r="K187" i="2"/>
  <c r="K188" i="2"/>
  <c r="K189" i="2"/>
  <c r="K190" i="2"/>
  <c r="K191" i="2"/>
  <c r="K192" i="2"/>
  <c r="K193" i="2"/>
  <c r="K194" i="2"/>
  <c r="K195" i="2"/>
  <c r="K180" i="2" l="1"/>
  <c r="K181" i="2"/>
  <c r="J82" i="2"/>
  <c r="H82" i="2" l="1"/>
  <c r="I82" i="2"/>
  <c r="G82" i="2"/>
  <c r="K73" i="2"/>
  <c r="J39" i="4" l="1"/>
  <c r="K91" i="2" l="1"/>
  <c r="K19" i="2"/>
  <c r="K22" i="2" l="1"/>
  <c r="I8" i="3"/>
  <c r="I9" i="3"/>
  <c r="K118" i="1"/>
  <c r="K32" i="1"/>
  <c r="K33" i="1"/>
  <c r="K34" i="1"/>
  <c r="K35" i="1"/>
  <c r="K36" i="1"/>
  <c r="G50" i="1"/>
  <c r="H50" i="1"/>
  <c r="I50" i="1"/>
  <c r="J50" i="1"/>
  <c r="K50" i="1" l="1"/>
  <c r="J25" i="4" l="1"/>
  <c r="J79" i="4" l="1"/>
  <c r="J74" i="4"/>
  <c r="J65" i="4"/>
  <c r="J64" i="4"/>
  <c r="G72" i="4"/>
  <c r="H72" i="4"/>
  <c r="I72" i="4"/>
  <c r="F72" i="4"/>
  <c r="J72" i="4" l="1"/>
  <c r="J149" i="4" l="1"/>
  <c r="J146" i="4"/>
  <c r="J147" i="4"/>
  <c r="J148" i="4"/>
  <c r="F159" i="4"/>
  <c r="J144" i="4"/>
  <c r="J145" i="4"/>
  <c r="G157" i="1" l="1"/>
  <c r="J157" i="1"/>
  <c r="H193" i="4" l="1"/>
  <c r="G138" i="4"/>
  <c r="H138" i="4"/>
  <c r="F138" i="4"/>
  <c r="K160" i="1" l="1"/>
  <c r="K161" i="1"/>
  <c r="K159" i="1"/>
  <c r="K183" i="2" l="1"/>
  <c r="K184" i="2"/>
  <c r="K196" i="2"/>
  <c r="K197" i="2"/>
  <c r="G193" i="4" l="1"/>
  <c r="K184" i="1" l="1"/>
  <c r="K183" i="1"/>
  <c r="K191" i="1" l="1"/>
  <c r="G57" i="4" l="1"/>
  <c r="J142" i="4"/>
  <c r="J143" i="4"/>
  <c r="I157" i="1" l="1"/>
  <c r="K6" i="1"/>
  <c r="K7" i="1"/>
  <c r="K30" i="1" l="1"/>
  <c r="K68" i="2"/>
  <c r="J64" i="2" l="1"/>
  <c r="K175" i="2"/>
  <c r="K176" i="2"/>
  <c r="K177" i="2"/>
  <c r="K178" i="2"/>
  <c r="K179" i="2"/>
  <c r="K182" i="2"/>
  <c r="K9" i="2"/>
  <c r="K10" i="2"/>
  <c r="K11" i="2"/>
  <c r="K12" i="2"/>
  <c r="K13" i="2"/>
  <c r="K14" i="2"/>
  <c r="K15" i="2"/>
  <c r="K16" i="2"/>
  <c r="K17" i="2"/>
  <c r="K18" i="2"/>
  <c r="K175" i="1" l="1"/>
  <c r="K174" i="1"/>
  <c r="K149" i="1"/>
  <c r="K140" i="1"/>
  <c r="K134" i="1"/>
  <c r="G132" i="1"/>
  <c r="K113" i="1"/>
  <c r="K114" i="1"/>
  <c r="K115" i="1"/>
  <c r="K117" i="1"/>
  <c r="K112" i="1"/>
  <c r="K157" i="1" l="1"/>
  <c r="J96" i="4" l="1"/>
  <c r="K90" i="2" l="1"/>
  <c r="K97" i="2" l="1"/>
  <c r="H141" i="1" l="1"/>
  <c r="I141" i="1"/>
  <c r="J141" i="1"/>
  <c r="G141" i="1"/>
  <c r="H132" i="1"/>
  <c r="I132" i="1"/>
  <c r="J132" i="1"/>
  <c r="K138" i="1" l="1"/>
  <c r="K132" i="1"/>
  <c r="K170" i="2" l="1"/>
  <c r="K171" i="2"/>
  <c r="K172" i="2"/>
  <c r="K173" i="2"/>
  <c r="K174" i="2"/>
  <c r="F193" i="4" l="1"/>
  <c r="K106" i="2" l="1"/>
  <c r="K107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J49" i="4" l="1"/>
  <c r="J22" i="4"/>
  <c r="F57" i="4" l="1"/>
  <c r="J57" i="4" l="1"/>
  <c r="G45" i="4" l="1"/>
  <c r="G81" i="4" s="1"/>
  <c r="H45" i="4"/>
  <c r="H81" i="4" s="1"/>
  <c r="I81" i="4"/>
  <c r="F45" i="4"/>
  <c r="J95" i="4" l="1"/>
  <c r="J86" i="4"/>
  <c r="G103" i="1" l="1"/>
  <c r="K155" i="2"/>
  <c r="K169" i="2"/>
  <c r="K71" i="2"/>
  <c r="K72" i="2"/>
  <c r="H147" i="2" l="1"/>
  <c r="I147" i="2"/>
  <c r="G147" i="2"/>
  <c r="K100" i="2"/>
  <c r="K101" i="2"/>
  <c r="K102" i="2"/>
  <c r="K103" i="2"/>
  <c r="K104" i="2"/>
  <c r="K105" i="2"/>
  <c r="K69" i="2"/>
  <c r="K70" i="2"/>
  <c r="K20" i="2"/>
  <c r="K21" i="2"/>
  <c r="K23" i="2"/>
  <c r="K24" i="2"/>
  <c r="K25" i="2"/>
  <c r="K49" i="2" l="1"/>
  <c r="J138" i="4" l="1"/>
  <c r="K82" i="1" l="1"/>
  <c r="K83" i="1"/>
  <c r="H64" i="2"/>
  <c r="G64" i="2"/>
  <c r="K154" i="2" l="1"/>
  <c r="K53" i="1" l="1"/>
  <c r="J38" i="4" l="1"/>
  <c r="G46" i="2" l="1"/>
  <c r="K151" i="2" l="1"/>
  <c r="K152" i="2"/>
  <c r="K153" i="2"/>
  <c r="I193" i="4" l="1"/>
  <c r="J189" i="4"/>
  <c r="H159" i="4"/>
  <c r="G159" i="4"/>
  <c r="J141" i="4"/>
  <c r="J140" i="4"/>
  <c r="J108" i="4"/>
  <c r="J101" i="4"/>
  <c r="I99" i="4"/>
  <c r="G99" i="4"/>
  <c r="F99" i="4"/>
  <c r="F187" i="4" s="1"/>
  <c r="J94" i="4"/>
  <c r="J85" i="4"/>
  <c r="J84" i="4"/>
  <c r="J83" i="4"/>
  <c r="J59" i="4"/>
  <c r="J62" i="4" s="1"/>
  <c r="J48" i="4"/>
  <c r="J47" i="4"/>
  <c r="J37" i="4"/>
  <c r="J36" i="4"/>
  <c r="J35" i="4"/>
  <c r="F33" i="4"/>
  <c r="F81" i="4" s="1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F194" i="4" l="1"/>
  <c r="G187" i="4"/>
  <c r="I187" i="4"/>
  <c r="H187" i="4"/>
  <c r="J159" i="4"/>
  <c r="J33" i="4"/>
  <c r="G199" i="4"/>
  <c r="J45" i="4"/>
  <c r="J193" i="4"/>
  <c r="J102" i="4"/>
  <c r="J99" i="4"/>
  <c r="J92" i="4"/>
  <c r="H194" i="4" l="1"/>
  <c r="G194" i="4"/>
  <c r="J187" i="4"/>
  <c r="G198" i="4" s="1"/>
  <c r="I194" i="4"/>
  <c r="J81" i="4"/>
  <c r="G197" i="4" s="1"/>
  <c r="J194" i="4" l="1"/>
  <c r="G196" i="4"/>
  <c r="I380" i="2" l="1"/>
  <c r="J380" i="2"/>
  <c r="G77" i="1"/>
  <c r="H172" i="1"/>
  <c r="G172" i="1"/>
  <c r="H77" i="1"/>
  <c r="I77" i="1"/>
  <c r="J77" i="1"/>
  <c r="K81" i="1"/>
  <c r="K80" i="1"/>
  <c r="K79" i="1"/>
  <c r="K48" i="2"/>
  <c r="K373" i="2"/>
  <c r="G278" i="2"/>
  <c r="G380" i="2" s="1"/>
  <c r="K99" i="2"/>
  <c r="K147" i="2" s="1"/>
  <c r="H278" i="2"/>
  <c r="K150" i="2"/>
  <c r="K149" i="2"/>
  <c r="I19" i="3"/>
  <c r="I7" i="3"/>
  <c r="I6" i="3"/>
  <c r="K84" i="2"/>
  <c r="K88" i="2" s="1"/>
  <c r="K67" i="2"/>
  <c r="K66" i="2"/>
  <c r="K6" i="2"/>
  <c r="G192" i="1" l="1"/>
  <c r="H380" i="2"/>
  <c r="K172" i="1"/>
  <c r="H24" i="3"/>
  <c r="F24" i="3"/>
  <c r="G24" i="3"/>
  <c r="E24" i="3"/>
  <c r="I23" i="3"/>
  <c r="K64" i="2"/>
  <c r="K278" i="2"/>
  <c r="K77" i="1"/>
  <c r="K46" i="2"/>
  <c r="I17" i="3"/>
  <c r="K82" i="2"/>
  <c r="K380" i="2" l="1"/>
  <c r="I24" i="3"/>
  <c r="K379" i="2"/>
  <c r="D29" i="3" l="1"/>
  <c r="E197" i="1"/>
  <c r="E194" i="1" s="1"/>
  <c r="E384" i="2"/>
  <c r="D28" i="3"/>
  <c r="E385" i="2"/>
  <c r="E196" i="1"/>
  <c r="K141" i="1"/>
  <c r="E198" i="1" s="1"/>
  <c r="D30" i="3" l="1"/>
  <c r="E386" i="2"/>
  <c r="K105" i="1"/>
  <c r="J103" i="1"/>
  <c r="J192" i="1" s="1"/>
  <c r="I103" i="1"/>
  <c r="I192" i="1" s="1"/>
  <c r="H103" i="1"/>
  <c r="H192" i="1" s="1"/>
  <c r="K58" i="1"/>
  <c r="K57" i="1"/>
  <c r="K56" i="1"/>
  <c r="K55" i="1"/>
  <c r="K54" i="1"/>
  <c r="K181" i="1" l="1"/>
  <c r="K110" i="1"/>
  <c r="K103" i="1"/>
  <c r="K88" i="1"/>
  <c r="K192" i="1" l="1"/>
  <c r="D27" i="3" l="1"/>
  <c r="D26" i="3" s="1"/>
  <c r="E383" i="2"/>
  <c r="E382" i="2" s="1"/>
  <c r="E195" i="1"/>
  <c r="E390" i="2" l="1"/>
  <c r="D34" i="3"/>
  <c r="E202" i="1"/>
</calcChain>
</file>

<file path=xl/sharedStrings.xml><?xml version="1.0" encoding="utf-8"?>
<sst xmlns="http://schemas.openxmlformats.org/spreadsheetml/2006/main" count="3263" uniqueCount="753">
  <si>
    <t>NO</t>
  </si>
  <si>
    <t>NAMA NASABAH</t>
  </si>
  <si>
    <t xml:space="preserve">MINGGU </t>
  </si>
  <si>
    <t>TOTAL</t>
  </si>
  <si>
    <t>PERTAMA</t>
  </si>
  <si>
    <t>PINRANG</t>
  </si>
  <si>
    <t>POLMAN</t>
  </si>
  <si>
    <t>MAMUJU UTARA</t>
  </si>
  <si>
    <t xml:space="preserve">TOTAL </t>
  </si>
  <si>
    <t>MOROWALI</t>
  </si>
  <si>
    <t>LUWU UTARA</t>
  </si>
  <si>
    <t>LUWU TIMUR</t>
  </si>
  <si>
    <t>PALOPO</t>
  </si>
  <si>
    <t>KOLAKA UTARA</t>
  </si>
  <si>
    <t>WAJO</t>
  </si>
  <si>
    <t>GRAND TOTAL</t>
  </si>
  <si>
    <t>BARRU</t>
  </si>
  <si>
    <t>PANGKEP</t>
  </si>
  <si>
    <t>GORONTALO</t>
  </si>
  <si>
    <t>SUB TOTAL</t>
  </si>
  <si>
    <t>ALAMAT</t>
  </si>
  <si>
    <t>KETERANGAN</t>
  </si>
  <si>
    <t>KE DUA</t>
  </si>
  <si>
    <t>KE TIGA</t>
  </si>
  <si>
    <t>KE EMPAT</t>
  </si>
  <si>
    <t>PARIGI</t>
  </si>
  <si>
    <t>DONGGALA</t>
  </si>
  <si>
    <t>TGL 1 S/D 7</t>
  </si>
  <si>
    <t>TGL 8 S/D 14</t>
  </si>
  <si>
    <t>TGL 15 S/D 21</t>
  </si>
  <si>
    <t>MAROS</t>
  </si>
  <si>
    <t>PARE-PARE</t>
  </si>
  <si>
    <t>TUJUAN BENUR</t>
  </si>
  <si>
    <t>KEDUA</t>
  </si>
  <si>
    <t>KETIGA</t>
  </si>
  <si>
    <t>KEEMPAT</t>
  </si>
  <si>
    <t>JAWA &amp; SUMATRA</t>
  </si>
  <si>
    <t>KALIMANTAN,MALUKU &amp; PAPUA</t>
  </si>
  <si>
    <t>TUJUAN</t>
  </si>
  <si>
    <t>MINGGU</t>
  </si>
  <si>
    <t>MINGGU I</t>
  </si>
  <si>
    <t>MINGGU II</t>
  </si>
  <si>
    <t>MINGGU III</t>
  </si>
  <si>
    <t>MINGGU IV</t>
  </si>
  <si>
    <t>TGL  1 S/D 7</t>
  </si>
  <si>
    <t>TGL  8 S/D 14</t>
  </si>
  <si>
    <t>TGL  15 S/D 21</t>
  </si>
  <si>
    <t>MIDDLE PRICE</t>
  </si>
  <si>
    <t>GRAND TOTAL :</t>
  </si>
  <si>
    <t>REALISASI PENJUALAN NENER MANKO PEMASARAN WILAYAH 1     :</t>
  </si>
  <si>
    <t>REALISASI PENJUALAN NENER MANAGER PEMASARAN WILAYAH 2 :</t>
  </si>
  <si>
    <t>REALISASI PENJUALAN NENER WILAYAH MIDDLE PRICE :</t>
  </si>
  <si>
    <t>MAMUJU TENGAH</t>
  </si>
  <si>
    <t>LUWU</t>
  </si>
  <si>
    <t>PALOPO &amp; LUWU</t>
  </si>
  <si>
    <t>PALU,PARIGI,POSO</t>
  </si>
  <si>
    <t>KOLAKA KOTA &amp; BOMBANA</t>
  </si>
  <si>
    <t>SATELIT</t>
  </si>
  <si>
    <t xml:space="preserve">                           Manager Sales &amp; Delivery</t>
  </si>
  <si>
    <t>BULUKUMBA,BANTAENG &amp; JENEPONTO</t>
  </si>
  <si>
    <t>MAJENE &amp; MAMUJU</t>
  </si>
  <si>
    <t>WILAYAH 1</t>
  </si>
  <si>
    <t>WILAYAH 2</t>
  </si>
  <si>
    <t>CASHBACK</t>
  </si>
  <si>
    <t>PERGANTIAN</t>
  </si>
  <si>
    <t>5.</t>
  </si>
  <si>
    <t>3.</t>
  </si>
  <si>
    <t>1.</t>
  </si>
  <si>
    <t xml:space="preserve">2. </t>
  </si>
  <si>
    <t>ANTAR PULAU</t>
  </si>
  <si>
    <t>MAMUJU &amp; MATENG</t>
  </si>
  <si>
    <t xml:space="preserve">MOUTONG </t>
  </si>
  <si>
    <t>KOLAKA, RAHA &amp; KONAWE</t>
  </si>
  <si>
    <t xml:space="preserve">                Manager Sales &amp; Delivery</t>
  </si>
  <si>
    <t>MAMUJU UTARA &amp; DONGGALA</t>
  </si>
  <si>
    <t>PETAMBAK</t>
  </si>
  <si>
    <t>HACHERY</t>
  </si>
  <si>
    <t>LUWU TIMUR &amp; MOROWALI</t>
  </si>
  <si>
    <t>POLMAN &amp; MAJENE</t>
  </si>
  <si>
    <t>POSO,PARIGI &amp; MOUTONG</t>
  </si>
  <si>
    <t>HIDAYAT SYAH</t>
  </si>
  <si>
    <t>GORONTALO &amp; TOLI-TOLI</t>
  </si>
  <si>
    <t>BONE &amp; SINJAI</t>
  </si>
  <si>
    <t>LUWUK BANGGAI</t>
  </si>
  <si>
    <t xml:space="preserve">4. </t>
  </si>
  <si>
    <t>BARRU &amp; PARE-PARE</t>
  </si>
  <si>
    <t>RAHA, KONAWE &amp; KENDARI</t>
  </si>
  <si>
    <t>MAKASSAR,TAKALAR &amp; SELAYAR</t>
  </si>
  <si>
    <t>BONE</t>
  </si>
  <si>
    <t>TGL  22 S/D 31</t>
  </si>
  <si>
    <t>TAMBAK EPU SUPRA INTENSIF</t>
  </si>
  <si>
    <t>BULUKUMBA,JENEPONTO,SELAYAR</t>
  </si>
  <si>
    <t>NOMOR KONTAK</t>
  </si>
  <si>
    <t>TGL 22 S/D 31</t>
  </si>
  <si>
    <t>BURHAN/OGGO</t>
  </si>
  <si>
    <t>PENGGELONDONG</t>
  </si>
  <si>
    <t>DISTRIBUTOR</t>
  </si>
  <si>
    <t>HALIM</t>
  </si>
  <si>
    <t>AMIRUDDIN</t>
  </si>
  <si>
    <t>MAMUJU</t>
  </si>
  <si>
    <t>SYARIF KORSEK</t>
  </si>
  <si>
    <t>SAPMARNA</t>
  </si>
  <si>
    <t>ARHAM</t>
  </si>
  <si>
    <t>USMAN/LISA</t>
  </si>
  <si>
    <t>MANSYUR/SAHAR</t>
  </si>
  <si>
    <t>MATENG</t>
  </si>
  <si>
    <t>MATRA</t>
  </si>
  <si>
    <t>SABIR</t>
  </si>
  <si>
    <t>H.JAMAL</t>
  </si>
  <si>
    <t>PALU</t>
  </si>
  <si>
    <t>TAMBAK EPU</t>
  </si>
  <si>
    <t>A.DARSO</t>
  </si>
  <si>
    <t>KOLUT</t>
  </si>
  <si>
    <t>ERDI</t>
  </si>
  <si>
    <t>SUDIRMAN</t>
  </si>
  <si>
    <t>RAHMAT</t>
  </si>
  <si>
    <t>ABDULLAH</t>
  </si>
  <si>
    <t>TAMRIN</t>
  </si>
  <si>
    <t>ACO</t>
  </si>
  <si>
    <t>AHMAD</t>
  </si>
  <si>
    <t>RUSTAM</t>
  </si>
  <si>
    <t>ISKANDAR BEDO</t>
  </si>
  <si>
    <t>ANSAR</t>
  </si>
  <si>
    <t>IRWAN</t>
  </si>
  <si>
    <t>ARIFUDDIN</t>
  </si>
  <si>
    <t>UNDING</t>
  </si>
  <si>
    <t>EMMANG</t>
  </si>
  <si>
    <t>MUHLIS</t>
  </si>
  <si>
    <t>BAKRI</t>
  </si>
  <si>
    <t>H.ARAS</t>
  </si>
  <si>
    <t>CATTUNG</t>
  </si>
  <si>
    <t>ALIF</t>
  </si>
  <si>
    <t>ARFAH</t>
  </si>
  <si>
    <t>ALI</t>
  </si>
  <si>
    <t>ISMAIL</t>
  </si>
  <si>
    <t>4.</t>
  </si>
  <si>
    <t>6.</t>
  </si>
  <si>
    <t>7.</t>
  </si>
  <si>
    <t>SUDIRMAN Data</t>
  </si>
  <si>
    <t>ANTOS</t>
  </si>
  <si>
    <t>KOLTA</t>
  </si>
  <si>
    <t>DG KALLO</t>
  </si>
  <si>
    <t>AMBO ANNU</t>
  </si>
  <si>
    <t>LUTRA</t>
  </si>
  <si>
    <t>LUTIM</t>
  </si>
  <si>
    <t>KALTIM</t>
  </si>
  <si>
    <t>ARIF</t>
  </si>
  <si>
    <t>IR.USMAN</t>
  </si>
  <si>
    <t>IPATI</t>
  </si>
  <si>
    <t>SAING</t>
  </si>
  <si>
    <t>ASRI</t>
  </si>
  <si>
    <t>USMAN/BP.MULI</t>
  </si>
  <si>
    <t>SITTIARA</t>
  </si>
  <si>
    <t>SAMARINDA</t>
  </si>
  <si>
    <t>MUHAMMAD</t>
  </si>
  <si>
    <t>ANUGRAH</t>
  </si>
  <si>
    <t>H.MUHAMMAD</t>
  </si>
  <si>
    <t>WAHID</t>
  </si>
  <si>
    <t>MAJENE</t>
  </si>
  <si>
    <t>ANDI ERWIN</t>
  </si>
  <si>
    <t>SAHARUDDIN</t>
  </si>
  <si>
    <t>CEGE</t>
  </si>
  <si>
    <t>RIZAL</t>
  </si>
  <si>
    <t>SULTAN</t>
  </si>
  <si>
    <t>DAHRIS</t>
  </si>
  <si>
    <t>IBRAHIM</t>
  </si>
  <si>
    <t xml:space="preserve"> PENJUALAN NENER BULAN JANUARI 2023</t>
  </si>
  <si>
    <t>TOTAL PENJUALAN NENER  BULAN JANUARI 2023 :</t>
  </si>
  <si>
    <t xml:space="preserve">                       Jalange', 01 Februari 2023</t>
  </si>
  <si>
    <t>IHSAN</t>
  </si>
  <si>
    <t>H.DAHLAN</t>
  </si>
  <si>
    <t>H.SYARIF</t>
  </si>
  <si>
    <t>RASYID</t>
  </si>
  <si>
    <t>PN BASRI</t>
  </si>
  <si>
    <t>SYARIF KORSEK/MUNIR</t>
  </si>
  <si>
    <t>HEDRIK/RUDDIN</t>
  </si>
  <si>
    <t>HUSAIN</t>
  </si>
  <si>
    <t>AHMADI</t>
  </si>
  <si>
    <t>H.MUH NUR</t>
  </si>
  <si>
    <t>HJ.MUNIRA</t>
  </si>
  <si>
    <t>MUSTAMIN</t>
  </si>
  <si>
    <t>ABD GAFFAR/KARTINI</t>
  </si>
  <si>
    <t>ANDI UNDING</t>
  </si>
  <si>
    <t>RAHMAN YATO</t>
  </si>
  <si>
    <t>HJ.JUWITA</t>
  </si>
  <si>
    <t>ANDI PATURUSI</t>
  </si>
  <si>
    <t>KALLO</t>
  </si>
  <si>
    <t>H.SUDIRMAN</t>
  </si>
  <si>
    <t>H.RAMLAN</t>
  </si>
  <si>
    <t>WILAYAH 1; LAPORAN PENJUALAN BENUR VANNAMEI BULAN JANUARI 2023</t>
  </si>
  <si>
    <t>WILAYAH 2; LAPORAN PENJUALAN BENUR VANNAMEI BULAN JANUARI 2023</t>
  </si>
  <si>
    <t xml:space="preserve">  DIRECT ORDER; LAPORAN PENJUALAN BENUR VANNAMEI BULAN JANUARI 2023</t>
  </si>
  <si>
    <t>TOTAL PENJUALAN BULAN JANUARI 2023 :</t>
  </si>
  <si>
    <t>TOTAL PRODUKSI BULAN JANUARI 2023:</t>
  </si>
  <si>
    <t>ANDI ACO</t>
  </si>
  <si>
    <t>AWAL/SUKRI</t>
  </si>
  <si>
    <t>HJ.NASI/GM</t>
  </si>
  <si>
    <t>SYARIFUDDIN</t>
  </si>
  <si>
    <t>KORD/DISTRIBUTOR</t>
  </si>
  <si>
    <t>SITTIARAH</t>
  </si>
  <si>
    <t>H.DULLAH</t>
  </si>
  <si>
    <t>BURHAN/YUHAR</t>
  </si>
  <si>
    <t>MALILI</t>
  </si>
  <si>
    <t>ACO/JUFRI</t>
  </si>
  <si>
    <t>LATANG</t>
  </si>
  <si>
    <t>BURHAN</t>
  </si>
  <si>
    <t>ACA</t>
  </si>
  <si>
    <t>RISWAN</t>
  </si>
  <si>
    <t>ANDI GANEFO</t>
  </si>
  <si>
    <t>USMAN</t>
  </si>
  <si>
    <t>USMAN/ALGI</t>
  </si>
  <si>
    <t>H.FADLY</t>
  </si>
  <si>
    <t>ABD.GAFFAR</t>
  </si>
  <si>
    <t>USMAN/RAFLI</t>
  </si>
  <si>
    <t>SAPRI</t>
  </si>
  <si>
    <t>KARTINI</t>
  </si>
  <si>
    <t>USMAN/H.DARWIS</t>
  </si>
  <si>
    <t>SYAMSUL</t>
  </si>
  <si>
    <t>SYARIF/HAFID</t>
  </si>
  <si>
    <t>TIARA</t>
  </si>
  <si>
    <t>NAWIR</t>
  </si>
  <si>
    <t>PAK BAGUS</t>
  </si>
  <si>
    <t>PAK KADIR</t>
  </si>
  <si>
    <t>IBU DWI</t>
  </si>
  <si>
    <t>USMAN/DULLAH</t>
  </si>
  <si>
    <t>ALWI</t>
  </si>
  <si>
    <t>WOTU</t>
  </si>
  <si>
    <t>BURHAN/TIYUS</t>
  </si>
  <si>
    <t>SYARIF/EMMANG</t>
  </si>
  <si>
    <t>BAHRI</t>
  </si>
  <si>
    <t>SABIR/MADONG</t>
  </si>
  <si>
    <t>SABIR/MUSLIMIN</t>
  </si>
  <si>
    <t>SABIR/DALLE</t>
  </si>
  <si>
    <t>SABIR/IWAN</t>
  </si>
  <si>
    <t>SYARIF/KAHAR</t>
  </si>
  <si>
    <t>SABIR/FAJAR</t>
  </si>
  <si>
    <t>SABIR/GONDRONG</t>
  </si>
  <si>
    <t>ASMAR/ARMAN EPU</t>
  </si>
  <si>
    <t>POSO</t>
  </si>
  <si>
    <t>MARNOWO</t>
  </si>
  <si>
    <t>ARDI/GM</t>
  </si>
  <si>
    <t>ILYAS</t>
  </si>
  <si>
    <t>H.RUSLI</t>
  </si>
  <si>
    <t>ANDIKA/AWAL EPU</t>
  </si>
  <si>
    <t>FAISAL</t>
  </si>
  <si>
    <t>H.RAMLI</t>
  </si>
  <si>
    <t>PAK RARA</t>
  </si>
  <si>
    <t>PUTU</t>
  </si>
  <si>
    <t>MUH.ZAINU</t>
  </si>
  <si>
    <t>MOUTONG</t>
  </si>
  <si>
    <t>TAMBAK EPU DONGGULU</t>
  </si>
  <si>
    <t>INTENSIF</t>
  </si>
  <si>
    <t>SUANDI/BANGKIT</t>
  </si>
  <si>
    <t>TOLI-TOLI</t>
  </si>
  <si>
    <t>SUANDI/DAMPAL</t>
  </si>
  <si>
    <t>SUANDI</t>
  </si>
  <si>
    <t>MAMING</t>
  </si>
  <si>
    <t>GAFUR</t>
  </si>
  <si>
    <t>LUKMAN</t>
  </si>
  <si>
    <t>LALI</t>
  </si>
  <si>
    <t>SAHNAWATI</t>
  </si>
  <si>
    <t>H.BAHAR</t>
  </si>
  <si>
    <t>KOLKOT</t>
  </si>
  <si>
    <t>H.RIDWAN</t>
  </si>
  <si>
    <t>H.ANSAR</t>
  </si>
  <si>
    <t>KAMARUDDIN</t>
  </si>
  <si>
    <t>BOMBANA</t>
  </si>
  <si>
    <t>H.DG.SIRUA</t>
  </si>
  <si>
    <t>KONSEL</t>
  </si>
  <si>
    <t>HENDRA/ABI</t>
  </si>
  <si>
    <t>BAMBANA</t>
  </si>
  <si>
    <t>RAMAYANA</t>
  </si>
  <si>
    <t>ASDAR</t>
  </si>
  <si>
    <t>YUSRAN</t>
  </si>
  <si>
    <t>SIRAJUDDIN</t>
  </si>
  <si>
    <t>ZULKIFLI</t>
  </si>
  <si>
    <t>TALIB</t>
  </si>
  <si>
    <t>HASRAN</t>
  </si>
  <si>
    <t>H.MUH.TAHIR</t>
  </si>
  <si>
    <t>AMRULLAH</t>
  </si>
  <si>
    <t>TOYYIB</t>
  </si>
  <si>
    <t>FIRMAN</t>
  </si>
  <si>
    <t>ANWAR</t>
  </si>
  <si>
    <t>MAPPIARE</t>
  </si>
  <si>
    <t>AMRAN</t>
  </si>
  <si>
    <t>081 342154521</t>
  </si>
  <si>
    <t>082 187970562</t>
  </si>
  <si>
    <t>082 350717772</t>
  </si>
  <si>
    <t>085 255201886</t>
  </si>
  <si>
    <t>085 396148552</t>
  </si>
  <si>
    <t>081 232131836</t>
  </si>
  <si>
    <t>085 397949241</t>
  </si>
  <si>
    <t>082 344015485</t>
  </si>
  <si>
    <t>SYAMSUDDIN</t>
  </si>
  <si>
    <t>H.SUBAIR</t>
  </si>
  <si>
    <t>SAHARUDDIN/P.MANSYUR</t>
  </si>
  <si>
    <t>082 345773271</t>
  </si>
  <si>
    <t>085 342268737</t>
  </si>
  <si>
    <t>ASWAR</t>
  </si>
  <si>
    <t>MAKASSAR</t>
  </si>
  <si>
    <t>BULUKUMBA</t>
  </si>
  <si>
    <t>ANTO</t>
  </si>
  <si>
    <t>H.MAHDI</t>
  </si>
  <si>
    <t>081 342107913</t>
  </si>
  <si>
    <t>085 145621835</t>
  </si>
  <si>
    <t>HJ.ROSMINI</t>
  </si>
  <si>
    <t>GUNTUR</t>
  </si>
  <si>
    <t>TAUFIK</t>
  </si>
  <si>
    <t>SYARIF/MUNIR</t>
  </si>
  <si>
    <t>H.AGUSTINA</t>
  </si>
  <si>
    <t>H.MULIADI</t>
  </si>
  <si>
    <t>RUSDIN</t>
  </si>
  <si>
    <t>TAJRI</t>
  </si>
  <si>
    <t>ALFIAN</t>
  </si>
  <si>
    <t>RANDI</t>
  </si>
  <si>
    <t>AMBO SENNANG</t>
  </si>
  <si>
    <t>PT.BUMI MENARA INTERNUSA</t>
  </si>
  <si>
    <t>KAMELIA WAYANG EPU</t>
  </si>
  <si>
    <t>H.AKIS</t>
  </si>
  <si>
    <t>ARIFIN</t>
  </si>
  <si>
    <t>SALMIAH</t>
  </si>
  <si>
    <t>BASO</t>
  </si>
  <si>
    <t>H.BURHAN</t>
  </si>
  <si>
    <t>NASFAN</t>
  </si>
  <si>
    <t>WAHAB</t>
  </si>
  <si>
    <t>ANDI RAZAK</t>
  </si>
  <si>
    <t>H.BAHRA</t>
  </si>
  <si>
    <t>SALIM</t>
  </si>
  <si>
    <t>ADI</t>
  </si>
  <si>
    <t>HARIS</t>
  </si>
  <si>
    <t>WADA</t>
  </si>
  <si>
    <t>RUKKU</t>
  </si>
  <si>
    <t>IMAM</t>
  </si>
  <si>
    <t>RAHMAN</t>
  </si>
  <si>
    <t>NIAR</t>
  </si>
  <si>
    <t>SUNDING</t>
  </si>
  <si>
    <t>SAHRUL</t>
  </si>
  <si>
    <t>RAMING</t>
  </si>
  <si>
    <t>HAMZAH</t>
  </si>
  <si>
    <t>TAMING</t>
  </si>
  <si>
    <t>RATNA</t>
  </si>
  <si>
    <t>H.NUR</t>
  </si>
  <si>
    <t>MANSYUR</t>
  </si>
  <si>
    <t>WAHYU</t>
  </si>
  <si>
    <t>IKSAN</t>
  </si>
  <si>
    <t>WARDI</t>
  </si>
  <si>
    <t>ESA</t>
  </si>
  <si>
    <t>SUARDI</t>
  </si>
  <si>
    <t>IRFAN</t>
  </si>
  <si>
    <t>SAMAD</t>
  </si>
  <si>
    <t>RUDI</t>
  </si>
  <si>
    <t>IWAN</t>
  </si>
  <si>
    <t>H.KAMA</t>
  </si>
  <si>
    <t>TAMBAK KADIN</t>
  </si>
  <si>
    <t>A.UNDING</t>
  </si>
  <si>
    <t>HASAN</t>
  </si>
  <si>
    <t>ABANG</t>
  </si>
  <si>
    <t>TAJANG</t>
  </si>
  <si>
    <t>ARDI</t>
  </si>
  <si>
    <t>AMIR</t>
  </si>
  <si>
    <t>PANDI</t>
  </si>
  <si>
    <t>ASIS</t>
  </si>
  <si>
    <t>KANDA</t>
  </si>
  <si>
    <t>KASMIR</t>
  </si>
  <si>
    <t>MUKSIN</t>
  </si>
  <si>
    <t>HAFIZ</t>
  </si>
  <si>
    <t>ARSAM</t>
  </si>
  <si>
    <t>ARI</t>
  </si>
  <si>
    <t>HAKIM</t>
  </si>
  <si>
    <t>RUHUT</t>
  </si>
  <si>
    <t>ANDI DADDI</t>
  </si>
  <si>
    <t>H.DONGKA</t>
  </si>
  <si>
    <t>HJ.NASPA</t>
  </si>
  <si>
    <t>085 299348553</t>
  </si>
  <si>
    <t>085 255893129</t>
  </si>
  <si>
    <t>085 210638079</t>
  </si>
  <si>
    <t>081 242988456</t>
  </si>
  <si>
    <t>081 383734465</t>
  </si>
  <si>
    <t>081 24156669</t>
  </si>
  <si>
    <t>0811 426173</t>
  </si>
  <si>
    <t>085 242239100</t>
  </si>
  <si>
    <t>085 343738258</t>
  </si>
  <si>
    <t>082 353208502</t>
  </si>
  <si>
    <t>082 216063537</t>
  </si>
  <si>
    <t>085 298573833</t>
  </si>
  <si>
    <t>085 255338177</t>
  </si>
  <si>
    <t>082 394243270</t>
  </si>
  <si>
    <t>085 256408867</t>
  </si>
  <si>
    <t>085 299202872</t>
  </si>
  <si>
    <t>082 398779456</t>
  </si>
  <si>
    <t>082 320147066</t>
  </si>
  <si>
    <t>085 215021343</t>
  </si>
  <si>
    <t>082 213096998</t>
  </si>
  <si>
    <t>085 255370344</t>
  </si>
  <si>
    <t>085 342693904</t>
  </si>
  <si>
    <t>085 255086775</t>
  </si>
  <si>
    <t>081 342127120</t>
  </si>
  <si>
    <t>085 398046779</t>
  </si>
  <si>
    <t>085 345415484</t>
  </si>
  <si>
    <t>081 342593333</t>
  </si>
  <si>
    <t>082 258013733</t>
  </si>
  <si>
    <t>085 396505966</t>
  </si>
  <si>
    <t>082 347682023</t>
  </si>
  <si>
    <t>081 245227115</t>
  </si>
  <si>
    <t>082 136963032</t>
  </si>
  <si>
    <t>082 190887229</t>
  </si>
  <si>
    <t>081 23431063</t>
  </si>
  <si>
    <t>081 342344761</t>
  </si>
  <si>
    <t>085 241185965</t>
  </si>
  <si>
    <t>085 256755454</t>
  </si>
  <si>
    <t>081 244202370</t>
  </si>
  <si>
    <t>082 328056101</t>
  </si>
  <si>
    <t>085 241671909</t>
  </si>
  <si>
    <t>081 14632409</t>
  </si>
  <si>
    <t>082 192042487</t>
  </si>
  <si>
    <t>082 335298246</t>
  </si>
  <si>
    <t>082 348842555</t>
  </si>
  <si>
    <t>082 188163789</t>
  </si>
  <si>
    <t>085 394574545</t>
  </si>
  <si>
    <t>085 255343084</t>
  </si>
  <si>
    <t>082 344178029</t>
  </si>
  <si>
    <t>085 2420361</t>
  </si>
  <si>
    <t>082 347254598</t>
  </si>
  <si>
    <t>082 231233396</t>
  </si>
  <si>
    <t>082 347509273</t>
  </si>
  <si>
    <t>082 341492110</t>
  </si>
  <si>
    <t>081 333332279</t>
  </si>
  <si>
    <t>082 190489240</t>
  </si>
  <si>
    <t>082 395107000</t>
  </si>
  <si>
    <t>081 355311979</t>
  </si>
  <si>
    <t>085 242828160</t>
  </si>
  <si>
    <t>085 230730666</t>
  </si>
  <si>
    <t>085 340313044</t>
  </si>
  <si>
    <t>085 600910490</t>
  </si>
  <si>
    <t>085 282950367</t>
  </si>
  <si>
    <t>085 398319217</t>
  </si>
  <si>
    <t>085 299564413</t>
  </si>
  <si>
    <t>085 398514379</t>
  </si>
  <si>
    <t>085 242948540</t>
  </si>
  <si>
    <t>085 338351917</t>
  </si>
  <si>
    <t>081 342468425</t>
  </si>
  <si>
    <t>BPK.KIKI</t>
  </si>
  <si>
    <t>MUHAMMAD YUSUF</t>
  </si>
  <si>
    <t>MUIS</t>
  </si>
  <si>
    <t>HENDRIK/RUDDIN</t>
  </si>
  <si>
    <t>MASAMBA</t>
  </si>
  <si>
    <t>SABIR/NASRI</t>
  </si>
  <si>
    <t>IR.NAWAWI</t>
  </si>
  <si>
    <t>HERLING</t>
  </si>
  <si>
    <t>ZAENAL</t>
  </si>
  <si>
    <t>MUH.YUNUS NASIR</t>
  </si>
  <si>
    <t>SUPARLAN</t>
  </si>
  <si>
    <t>NASIR</t>
  </si>
  <si>
    <t>SYARIF/LUKMAN</t>
  </si>
  <si>
    <t>HENDRIK/BP.PUTRI</t>
  </si>
  <si>
    <t>BPK.FAIS</t>
  </si>
  <si>
    <t>HENDRIK</t>
  </si>
  <si>
    <t>IKBAL</t>
  </si>
  <si>
    <t>LARISI/GM</t>
  </si>
  <si>
    <t>SULAEMAN/GM</t>
  </si>
  <si>
    <t>KAHAR 3 PUTRI</t>
  </si>
  <si>
    <t>SYARIF/MAMA KIKI</t>
  </si>
  <si>
    <t>LABABA/GM</t>
  </si>
  <si>
    <t>BASO EDI</t>
  </si>
  <si>
    <t>UMMANG/GM</t>
  </si>
  <si>
    <t>SYARIF/BP.RESKY</t>
  </si>
  <si>
    <t>H.SIRAJUDDIN</t>
  </si>
  <si>
    <t>L.BANGGAI</t>
  </si>
  <si>
    <t>ABD.KARIM.S.P</t>
  </si>
  <si>
    <t>MUH.KASIM</t>
  </si>
  <si>
    <t>085 341235217</t>
  </si>
  <si>
    <t>085 396758527</t>
  </si>
  <si>
    <t>KORD/PENGGELONDONG</t>
  </si>
  <si>
    <t>085 333377205</t>
  </si>
  <si>
    <t>085 244778228</t>
  </si>
  <si>
    <t>085 395896939</t>
  </si>
  <si>
    <t>085 399093000</t>
  </si>
  <si>
    <t>085 255531454</t>
  </si>
  <si>
    <t>082 265594708</t>
  </si>
  <si>
    <t>082 271570731</t>
  </si>
  <si>
    <t>081 343971114</t>
  </si>
  <si>
    <t>085 215246357</t>
  </si>
  <si>
    <t>085 394173334</t>
  </si>
  <si>
    <t>085 391419887</t>
  </si>
  <si>
    <t>082 393858590</t>
  </si>
  <si>
    <t>081 24279097</t>
  </si>
  <si>
    <t>081 354944947</t>
  </si>
  <si>
    <t>081 342569671</t>
  </si>
  <si>
    <t>082 191111185</t>
  </si>
  <si>
    <t>085 341910597</t>
  </si>
  <si>
    <t>082 193544667</t>
  </si>
  <si>
    <t>082 343939559</t>
  </si>
  <si>
    <t>PEY</t>
  </si>
  <si>
    <t>SAHIDIN</t>
  </si>
  <si>
    <t>IR.TUWU</t>
  </si>
  <si>
    <t>ONE</t>
  </si>
  <si>
    <t>MILA</t>
  </si>
  <si>
    <t>TAKING</t>
  </si>
  <si>
    <t>FIRDAUS</t>
  </si>
  <si>
    <t>YUSUF</t>
  </si>
  <si>
    <t>SAFAR</t>
  </si>
  <si>
    <t>HJ.JUMRIAH</t>
  </si>
  <si>
    <t>HJ.JASA</t>
  </si>
  <si>
    <t>AKIS</t>
  </si>
  <si>
    <t>ROKHIMAN</t>
  </si>
  <si>
    <t>YOGYAKARTA</t>
  </si>
  <si>
    <t>SUYONO</t>
  </si>
  <si>
    <t>INDRA YUDIANTO</t>
  </si>
  <si>
    <t>BALIKPAPAN</t>
  </si>
  <si>
    <t>AJI DARMAJI</t>
  </si>
  <si>
    <t>HERMANTO</t>
  </si>
  <si>
    <t>BENGKALIS</t>
  </si>
  <si>
    <t>RIDWAN BASUKI</t>
  </si>
  <si>
    <t>ROZIKIN</t>
  </si>
  <si>
    <t>BONTANG</t>
  </si>
  <si>
    <t>KALSEL</t>
  </si>
  <si>
    <t>H.HANISI</t>
  </si>
  <si>
    <t>M.SALENG</t>
  </si>
  <si>
    <t>SULAEMAN</t>
  </si>
  <si>
    <t>ABD.SAFAR</t>
  </si>
  <si>
    <t>H.CUKKU</t>
  </si>
  <si>
    <t>H.HALUDDIN</t>
  </si>
  <si>
    <t>H.LERE</t>
  </si>
  <si>
    <t>HENDRA EPU</t>
  </si>
  <si>
    <t>DANIAL</t>
  </si>
  <si>
    <t>H.MAJID</t>
  </si>
  <si>
    <t>SULTAN/PMANSYUR</t>
  </si>
  <si>
    <t>NUR ALAM</t>
  </si>
  <si>
    <t>FITRAH</t>
  </si>
  <si>
    <t>SELAYAR</t>
  </si>
  <si>
    <t>H.ADI</t>
  </si>
  <si>
    <t>PT.GGA</t>
  </si>
  <si>
    <t>DG.ROLA</t>
  </si>
  <si>
    <t>H.KAMARUDDIN</t>
  </si>
  <si>
    <t>H.IDRIS</t>
  </si>
  <si>
    <t>RIDWAN</t>
  </si>
  <si>
    <t>ANCU</t>
  </si>
  <si>
    <t>SAENAL</t>
  </si>
  <si>
    <t>A.ARWAN</t>
  </si>
  <si>
    <t>MADE</t>
  </si>
  <si>
    <t>H.SAPRI</t>
  </si>
  <si>
    <t>SYARIF</t>
  </si>
  <si>
    <t>ANDI HARUN</t>
  </si>
  <si>
    <t>SENONG</t>
  </si>
  <si>
    <t>H.MASSEUD</t>
  </si>
  <si>
    <t>MELONG</t>
  </si>
  <si>
    <t>RAJAB</t>
  </si>
  <si>
    <t>SURYADI</t>
  </si>
  <si>
    <t>AGUS</t>
  </si>
  <si>
    <t>ANCI</t>
  </si>
  <si>
    <t>H.SYAMSUDDIN</t>
  </si>
  <si>
    <t>MADI</t>
  </si>
  <si>
    <t>SALDI</t>
  </si>
  <si>
    <t>RUKIAH</t>
  </si>
  <si>
    <t>MUSTANG</t>
  </si>
  <si>
    <t>BEDDU</t>
  </si>
  <si>
    <t>ABD.MUIS</t>
  </si>
  <si>
    <t>MUH.YUNUS/ANDRI EPU</t>
  </si>
  <si>
    <t>HENDRIK/DAFI</t>
  </si>
  <si>
    <t>ALIMUDDIN</t>
  </si>
  <si>
    <t>ABD.RAHMAN</t>
  </si>
  <si>
    <t>HENDRIK/DAVID</t>
  </si>
  <si>
    <t>HENDRIK/KAHFI</t>
  </si>
  <si>
    <t>SYARIF/HERMAN</t>
  </si>
  <si>
    <t>WASIR</t>
  </si>
  <si>
    <t>SUDIRMAN/GM</t>
  </si>
  <si>
    <t>ERNAWATI</t>
  </si>
  <si>
    <t>USMAN/ARW</t>
  </si>
  <si>
    <t>ARLAN</t>
  </si>
  <si>
    <t>IBU DORCE</t>
  </si>
  <si>
    <t>LAKUDE/GM</t>
  </si>
  <si>
    <t>SUHENDI</t>
  </si>
  <si>
    <t>RAJA</t>
  </si>
  <si>
    <t>USMAN/JANNAH</t>
  </si>
  <si>
    <t>EDI ALI</t>
  </si>
  <si>
    <t>ANDI RAKA</t>
  </si>
  <si>
    <t>TASRI</t>
  </si>
  <si>
    <t>ANDI LIPU</t>
  </si>
  <si>
    <t>AKBAR</t>
  </si>
  <si>
    <t>H.RAHIM/GM</t>
  </si>
  <si>
    <t>ACCA</t>
  </si>
  <si>
    <t>USMAN/TAHIR</t>
  </si>
  <si>
    <t>AMMANG/LUKA</t>
  </si>
  <si>
    <t>ASMAR</t>
  </si>
  <si>
    <t>TAMBAK EPU TOMOLI</t>
  </si>
  <si>
    <t>MUH.YUSUF</t>
  </si>
  <si>
    <t>BPK.KEMBAR</t>
  </si>
  <si>
    <t>081 355330111</t>
  </si>
  <si>
    <t>085 341080777</t>
  </si>
  <si>
    <t>082 290595508</t>
  </si>
  <si>
    <t>082 189173648</t>
  </si>
  <si>
    <t>082 214141549</t>
  </si>
  <si>
    <t>082 188184040</t>
  </si>
  <si>
    <t>081 355458989</t>
  </si>
  <si>
    <t>082 348744874</t>
  </si>
  <si>
    <t>087 838594698</t>
  </si>
  <si>
    <t>085 230186713</t>
  </si>
  <si>
    <t>985 242828160</t>
  </si>
  <si>
    <t>085 240739518</t>
  </si>
  <si>
    <t>082 193521396</t>
  </si>
  <si>
    <t>085 299562081</t>
  </si>
  <si>
    <t>085 299932457</t>
  </si>
  <si>
    <t>082 188045478</t>
  </si>
  <si>
    <t>085 256385388</t>
  </si>
  <si>
    <t>085 340654153</t>
  </si>
  <si>
    <t>085 342257852</t>
  </si>
  <si>
    <t>085 299929480</t>
  </si>
  <si>
    <t>085 299771179</t>
  </si>
  <si>
    <t>082 347149889</t>
  </si>
  <si>
    <t>082 346580476</t>
  </si>
  <si>
    <t>085 397292205</t>
  </si>
  <si>
    <t>085 240644994</t>
  </si>
  <si>
    <t>081 356929093</t>
  </si>
  <si>
    <t>081 355461786</t>
  </si>
  <si>
    <t>081 353560367</t>
  </si>
  <si>
    <t>085 242275161</t>
  </si>
  <si>
    <t>085 280713905</t>
  </si>
  <si>
    <t>085 228444533</t>
  </si>
  <si>
    <t>085 342486533</t>
  </si>
  <si>
    <t>081 355066042</t>
  </si>
  <si>
    <t>081 242737981</t>
  </si>
  <si>
    <t>085 242344597</t>
  </si>
  <si>
    <t>081 241210844</t>
  </si>
  <si>
    <t>081 355558558</t>
  </si>
  <si>
    <t>ZUL</t>
  </si>
  <si>
    <t>KAMINUDDIN</t>
  </si>
  <si>
    <t>NASARUDDIN</t>
  </si>
  <si>
    <t>BAHAR/H.BAHAR</t>
  </si>
  <si>
    <t>JALIL</t>
  </si>
  <si>
    <t>RISAL</t>
  </si>
  <si>
    <t>H.FATTA</t>
  </si>
  <si>
    <t>ERWIN</t>
  </si>
  <si>
    <t>H.MAMING</t>
  </si>
  <si>
    <t>ARMAN</t>
  </si>
  <si>
    <t>PALEWAI</t>
  </si>
  <si>
    <t>KAHAR</t>
  </si>
  <si>
    <t>BAKHTIAR</t>
  </si>
  <si>
    <t>KAHAR/DONANG</t>
  </si>
  <si>
    <t>NOLLENG</t>
  </si>
  <si>
    <t>SANDI</t>
  </si>
  <si>
    <t>NURDIN</t>
  </si>
  <si>
    <t>H.BAHARUDDIN</t>
  </si>
  <si>
    <t>MUSDALIFAH</t>
  </si>
  <si>
    <t>H.TAHIR</t>
  </si>
  <si>
    <t>MAHMUD</t>
  </si>
  <si>
    <t>FARHAN</t>
  </si>
  <si>
    <t xml:space="preserve">IDU </t>
  </si>
  <si>
    <t>NUR</t>
  </si>
  <si>
    <t>H.SUKRY</t>
  </si>
  <si>
    <t>SAPARUDDIN</t>
  </si>
  <si>
    <t>KAHARUDDIN</t>
  </si>
  <si>
    <t>H.MANAI</t>
  </si>
  <si>
    <t>M.NUR</t>
  </si>
  <si>
    <t>H.IDRUS</t>
  </si>
  <si>
    <t>ASHAR</t>
  </si>
  <si>
    <t>IBU LINDA</t>
  </si>
  <si>
    <t>BEDDU RAHIM</t>
  </si>
  <si>
    <t>H.BATE</t>
  </si>
  <si>
    <t>HERUDDIN</t>
  </si>
  <si>
    <t>RUSLI</t>
  </si>
  <si>
    <t>MANABUNG</t>
  </si>
  <si>
    <t>HERI</t>
  </si>
  <si>
    <t>RELY</t>
  </si>
  <si>
    <t>TIRO</t>
  </si>
  <si>
    <t>H.SUDI</t>
  </si>
  <si>
    <t>ARSYAD</t>
  </si>
  <si>
    <t>H.BENNU</t>
  </si>
  <si>
    <t>H.TANANNAG</t>
  </si>
  <si>
    <t>ROBY</t>
  </si>
  <si>
    <t>JUFRI</t>
  </si>
  <si>
    <t>TAWANG</t>
  </si>
  <si>
    <t>H.SAJOANG</t>
  </si>
  <si>
    <t>HIDAYAT</t>
  </si>
  <si>
    <t>H.LEA</t>
  </si>
  <si>
    <t>ASFIAR</t>
  </si>
  <si>
    <t>H.SURO</t>
  </si>
  <si>
    <t>SENAL</t>
  </si>
  <si>
    <t>WALANG</t>
  </si>
  <si>
    <t>ALI IMRAN</t>
  </si>
  <si>
    <t>DUBIR</t>
  </si>
  <si>
    <t>BPK.RAFIKA</t>
  </si>
  <si>
    <t>KIRAN</t>
  </si>
  <si>
    <t>HENDRIK/RAFIKA</t>
  </si>
  <si>
    <t>HENDRIK/SANDI</t>
  </si>
  <si>
    <t>HILAL</t>
  </si>
  <si>
    <t>HENDRIK/KAFFI</t>
  </si>
  <si>
    <t>NURDIN/GM</t>
  </si>
  <si>
    <t>SYARIF/ABDI</t>
  </si>
  <si>
    <t>LAKUNDE/GM</t>
  </si>
  <si>
    <t>SYARIF/DANAS</t>
  </si>
  <si>
    <t>ABDULLAH KARIM</t>
  </si>
  <si>
    <t>ARIFIN RADJAH</t>
  </si>
  <si>
    <t>BURHAN/UMAR</t>
  </si>
  <si>
    <t>BURHAN/AIDIL</t>
  </si>
  <si>
    <t>USMAN/KULLANG</t>
  </si>
  <si>
    <t>HATTA</t>
  </si>
  <si>
    <t>SUDI</t>
  </si>
  <si>
    <t>USMAN/MULI</t>
  </si>
  <si>
    <t>UMAR</t>
  </si>
  <si>
    <t>SABIR/PALI</t>
  </si>
  <si>
    <t>P.ISMA</t>
  </si>
  <si>
    <t>SYAM</t>
  </si>
  <si>
    <t>ABD.MUTHALIB</t>
  </si>
  <si>
    <t>TAMBAK EPU SINEI</t>
  </si>
  <si>
    <t>TAMBAK EPU LINGADAN</t>
  </si>
  <si>
    <t>NASWAN/ABI</t>
  </si>
  <si>
    <t>SULTAN/ABI</t>
  </si>
  <si>
    <t>H.ARMAN</t>
  </si>
  <si>
    <t>THOMAS ROMBE LAYUK</t>
  </si>
  <si>
    <t>RAHA</t>
  </si>
  <si>
    <t>MATAMAQIN</t>
  </si>
  <si>
    <t>SEMARANG</t>
  </si>
  <si>
    <t>EKO AGUNG PURNAMA</t>
  </si>
  <si>
    <t>MAULANA MUKHLIS</t>
  </si>
  <si>
    <t>SAWON</t>
  </si>
  <si>
    <t>SAIDIN</t>
  </si>
  <si>
    <t>SORONG</t>
  </si>
  <si>
    <t>TABULASI PENJUALAN HARIAN PERIODE JANUARI 2023</t>
  </si>
  <si>
    <t>HARI/TANGGAL</t>
  </si>
  <si>
    <t>D. ORDER</t>
  </si>
  <si>
    <t>ALLOWANCE</t>
  </si>
  <si>
    <t>TOTAL PRODUKSI</t>
  </si>
  <si>
    <t>UNIT 1</t>
  </si>
  <si>
    <t>UNIT 2</t>
  </si>
  <si>
    <t>UNIT 3</t>
  </si>
  <si>
    <t>UNIT 4</t>
  </si>
  <si>
    <t>PENJUALAN</t>
  </si>
  <si>
    <t>JUMLAH</t>
  </si>
  <si>
    <t>DODING/WAHAB</t>
  </si>
  <si>
    <t>YUSRI</t>
  </si>
  <si>
    <t>ASKORWIL</t>
  </si>
  <si>
    <t>A.RAZAK</t>
  </si>
  <si>
    <t>PARMAN</t>
  </si>
  <si>
    <t>HALIM/ACO</t>
  </si>
  <si>
    <t>MURSAM</t>
  </si>
  <si>
    <t>SUPRI</t>
  </si>
  <si>
    <t>H.MURSALIM</t>
  </si>
  <si>
    <t>ABD HAYAT</t>
  </si>
  <si>
    <t>AZIS/GM</t>
  </si>
  <si>
    <t>SURYANTI</t>
  </si>
  <si>
    <t>NAJIB</t>
  </si>
  <si>
    <t>IBU LIS</t>
  </si>
  <si>
    <t>JABIR/GM</t>
  </si>
  <si>
    <t>ISHAK CAE</t>
  </si>
  <si>
    <t>H.HAMKA</t>
  </si>
  <si>
    <t>ELLY PUTRA</t>
  </si>
  <si>
    <t>HJ.ROSMIATI</t>
  </si>
  <si>
    <t>ENNING</t>
  </si>
  <si>
    <t>SUMARDI</t>
  </si>
  <si>
    <t>A.BASO</t>
  </si>
  <si>
    <t>RUSMAN</t>
  </si>
  <si>
    <t>IDRUS</t>
  </si>
  <si>
    <t>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</si>
</sst>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2"/>
      <color rgb="FFC00000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charset val="1"/>
      <scheme val="minor"/>
    </font>
    <font>
      <b/>
      <sz val="11"/>
      <color rgb="FFFF0000"/>
      <name val="Calibri"/>
      <family val="2"/>
      <charset val="1"/>
      <scheme val="minor"/>
    </font>
    <font>
      <b/>
      <sz val="1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78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6" fillId="0" borderId="0"/>
    <xf numFmtId="0" fontId="3" fillId="0" borderId="0"/>
  </cellStyleXfs>
  <cellXfs count="406">
    <xf numFmtId="0" fontId="0" fillId="0" borderId="0" xfId="0"/>
    <xf numFmtId="0" fontId="9" fillId="0" borderId="0" xfId="0" applyFont="1"/>
    <xf numFmtId="0" fontId="0" fillId="0" borderId="0" xfId="0"/>
    <xf numFmtId="41" fontId="7" fillId="0" borderId="0" xfId="1" applyFont="1"/>
    <xf numFmtId="0" fontId="0" fillId="0" borderId="0" xfId="0"/>
    <xf numFmtId="0" fontId="0" fillId="0" borderId="0" xfId="0"/>
    <xf numFmtId="41" fontId="0" fillId="0" borderId="0" xfId="1" applyFont="1"/>
    <xf numFmtId="0" fontId="3" fillId="0" borderId="0" xfId="0" applyFont="1" applyAlignment="1">
      <alignment horizontal="left"/>
    </xf>
    <xf numFmtId="41" fontId="2" fillId="0" borderId="0" xfId="1" applyFont="1"/>
    <xf numFmtId="0" fontId="3" fillId="0" borderId="3" xfId="0" applyFont="1" applyBorder="1"/>
    <xf numFmtId="0" fontId="15" fillId="0" borderId="3" xfId="0" applyFont="1" applyBorder="1" applyAlignment="1">
      <alignment horizontal="left" vertical="center"/>
    </xf>
    <xf numFmtId="0" fontId="3" fillId="0" borderId="0" xfId="0" applyFont="1" applyAlignment="1"/>
    <xf numFmtId="41" fontId="7" fillId="3" borderId="3" xfId="1" applyFont="1" applyFill="1" applyBorder="1" applyAlignment="1">
      <alignment horizontal="center" vertical="center"/>
    </xf>
    <xf numFmtId="41" fontId="7" fillId="3" borderId="3" xfId="1" applyFont="1" applyFill="1" applyBorder="1" applyAlignment="1">
      <alignment horizontal="center"/>
    </xf>
    <xf numFmtId="41" fontId="7" fillId="3" borderId="3" xfId="1" applyFont="1" applyFill="1" applyBorder="1"/>
    <xf numFmtId="0" fontId="7" fillId="7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/>
    </xf>
    <xf numFmtId="0" fontId="8" fillId="4" borderId="3" xfId="0" applyFont="1" applyFill="1" applyBorder="1" applyAlignment="1"/>
    <xf numFmtId="41" fontId="13" fillId="0" borderId="0" xfId="0" applyNumberFormat="1" applyFont="1" applyAlignment="1">
      <alignment vertical="center"/>
    </xf>
    <xf numFmtId="41" fontId="13" fillId="0" borderId="0" xfId="1" applyFont="1" applyAlignment="1">
      <alignment vertical="center"/>
    </xf>
    <xf numFmtId="41" fontId="16" fillId="0" borderId="0" xfId="1" applyFont="1" applyAlignment="1">
      <alignment vertical="center"/>
    </xf>
    <xf numFmtId="41" fontId="4" fillId="3" borderId="3" xfId="1" applyFont="1" applyFill="1" applyBorder="1" applyAlignment="1">
      <alignment horizontal="center" vertical="center"/>
    </xf>
    <xf numFmtId="41" fontId="4" fillId="3" borderId="3" xfId="1" applyFont="1" applyFill="1" applyBorder="1" applyAlignment="1">
      <alignment horizontal="center"/>
    </xf>
    <xf numFmtId="41" fontId="4" fillId="3" borderId="3" xfId="1" applyFont="1" applyFill="1" applyBorder="1"/>
    <xf numFmtId="0" fontId="15" fillId="0" borderId="3" xfId="0" applyFont="1" applyBorder="1"/>
    <xf numFmtId="41" fontId="3" fillId="3" borderId="3" xfId="1" applyFont="1" applyFill="1" applyBorder="1" applyAlignment="1">
      <alignment horizontal="left" vertical="center"/>
    </xf>
    <xf numFmtId="41" fontId="3" fillId="0" borderId="3" xfId="1" applyFont="1" applyBorder="1"/>
    <xf numFmtId="41" fontId="15" fillId="0" borderId="3" xfId="1" applyFont="1" applyBorder="1"/>
    <xf numFmtId="41" fontId="2" fillId="0" borderId="12" xfId="1" applyFont="1" applyBorder="1"/>
    <xf numFmtId="0" fontId="15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41" fontId="15" fillId="0" borderId="8" xfId="1" applyFont="1" applyBorder="1"/>
    <xf numFmtId="41" fontId="2" fillId="0" borderId="19" xfId="1" applyFont="1" applyBorder="1"/>
    <xf numFmtId="41" fontId="3" fillId="3" borderId="3" xfId="1" applyFont="1" applyFill="1" applyBorder="1"/>
    <xf numFmtId="41" fontId="3" fillId="3" borderId="3" xfId="1" applyFont="1" applyFill="1" applyBorder="1" applyAlignment="1">
      <alignment horizontal="center"/>
    </xf>
    <xf numFmtId="41" fontId="2" fillId="3" borderId="12" xfId="1" applyFont="1" applyFill="1" applyBorder="1" applyAlignment="1">
      <alignment horizontal="center"/>
    </xf>
    <xf numFmtId="41" fontId="15" fillId="3" borderId="3" xfId="1" applyFont="1" applyFill="1" applyBorder="1" applyAlignment="1">
      <alignment horizontal="left"/>
    </xf>
    <xf numFmtId="0" fontId="7" fillId="8" borderId="0" xfId="0" applyFont="1" applyFill="1" applyBorder="1" applyAlignment="1"/>
    <xf numFmtId="41" fontId="3" fillId="3" borderId="3" xfId="0" applyNumberFormat="1" applyFont="1" applyFill="1" applyBorder="1" applyAlignment="1">
      <alignment horizontal="center" vertical="center"/>
    </xf>
    <xf numFmtId="41" fontId="3" fillId="3" borderId="1" xfId="1" applyFont="1" applyFill="1" applyBorder="1"/>
    <xf numFmtId="41" fontId="7" fillId="3" borderId="3" xfId="1" applyFont="1" applyFill="1" applyBorder="1" applyAlignment="1"/>
    <xf numFmtId="0" fontId="3" fillId="0" borderId="3" xfId="0" applyFont="1" applyFill="1" applyBorder="1" applyAlignment="1">
      <alignment horizontal="left" vertical="center"/>
    </xf>
    <xf numFmtId="41" fontId="15" fillId="0" borderId="3" xfId="1" applyFont="1" applyBorder="1" applyAlignment="1">
      <alignment horizontal="left"/>
    </xf>
    <xf numFmtId="0" fontId="15" fillId="0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0" fillId="0" borderId="3" xfId="0" applyFont="1" applyBorder="1"/>
    <xf numFmtId="41" fontId="13" fillId="0" borderId="12" xfId="1" applyFont="1" applyBorder="1"/>
    <xf numFmtId="41" fontId="2" fillId="0" borderId="12" xfId="1" applyFont="1" applyBorder="1" applyAlignment="1">
      <alignment horizontal="left"/>
    </xf>
    <xf numFmtId="41" fontId="3" fillId="0" borderId="5" xfId="1" applyFont="1" applyBorder="1"/>
    <xf numFmtId="41" fontId="15" fillId="0" borderId="5" xfId="1" applyFont="1" applyBorder="1"/>
    <xf numFmtId="41" fontId="2" fillId="0" borderId="14" xfId="1" applyFont="1" applyBorder="1"/>
    <xf numFmtId="41" fontId="15" fillId="3" borderId="3" xfId="1" applyFont="1" applyFill="1" applyBorder="1"/>
    <xf numFmtId="41" fontId="13" fillId="3" borderId="0" xfId="0" applyNumberFormat="1" applyFont="1" applyFill="1" applyAlignment="1"/>
    <xf numFmtId="41" fontId="9" fillId="12" borderId="3" xfId="1" applyFont="1" applyFill="1" applyBorder="1"/>
    <xf numFmtId="41" fontId="10" fillId="12" borderId="3" xfId="1" applyFont="1" applyFill="1" applyBorder="1"/>
    <xf numFmtId="41" fontId="9" fillId="12" borderId="8" xfId="1" applyFont="1" applyFill="1" applyBorder="1"/>
    <xf numFmtId="41" fontId="16" fillId="0" borderId="20" xfId="1" applyFont="1" applyBorder="1"/>
    <xf numFmtId="41" fontId="16" fillId="0" borderId="15" xfId="1" applyFont="1" applyBorder="1"/>
    <xf numFmtId="41" fontId="21" fillId="0" borderId="3" xfId="1" applyFont="1" applyBorder="1"/>
    <xf numFmtId="0" fontId="3" fillId="0" borderId="0" xfId="0" applyFont="1"/>
    <xf numFmtId="41" fontId="18" fillId="6" borderId="0" xfId="0" applyNumberFormat="1" applyFont="1" applyFill="1"/>
    <xf numFmtId="41" fontId="2" fillId="0" borderId="21" xfId="1" applyFont="1" applyBorder="1" applyAlignment="1">
      <alignment horizontal="center"/>
    </xf>
    <xf numFmtId="41" fontId="2" fillId="3" borderId="0" xfId="1" applyFont="1" applyFill="1"/>
    <xf numFmtId="0" fontId="21" fillId="0" borderId="3" xfId="0" applyFont="1" applyBorder="1" applyAlignment="1">
      <alignment horizontal="left" vertical="center"/>
    </xf>
    <xf numFmtId="0" fontId="21" fillId="0" borderId="3" xfId="0" applyFont="1" applyFill="1" applyBorder="1" applyAlignment="1">
      <alignment horizontal="left" vertical="center"/>
    </xf>
    <xf numFmtId="41" fontId="23" fillId="0" borderId="12" xfId="0" applyNumberFormat="1" applyFont="1" applyFill="1" applyBorder="1" applyAlignment="1">
      <alignment horizontal="center"/>
    </xf>
    <xf numFmtId="41" fontId="16" fillId="15" borderId="18" xfId="0" applyNumberFormat="1" applyFont="1" applyFill="1" applyBorder="1" applyAlignment="1">
      <alignment horizontal="center"/>
    </xf>
    <xf numFmtId="41" fontId="13" fillId="0" borderId="21" xfId="0" applyNumberFormat="1" applyFont="1" applyBorder="1" applyAlignment="1">
      <alignment horizontal="center"/>
    </xf>
    <xf numFmtId="41" fontId="0" fillId="0" borderId="0" xfId="0" applyNumberFormat="1"/>
    <xf numFmtId="0" fontId="15" fillId="0" borderId="3" xfId="0" applyFont="1" applyBorder="1" applyAlignment="1">
      <alignment horizontal="center"/>
    </xf>
    <xf numFmtId="41" fontId="16" fillId="3" borderId="21" xfId="0" applyNumberFormat="1" applyFont="1" applyFill="1" applyBorder="1" applyAlignment="1">
      <alignment horizontal="center"/>
    </xf>
    <xf numFmtId="41" fontId="16" fillId="0" borderId="23" xfId="0" applyNumberFormat="1" applyFont="1" applyBorder="1" applyAlignment="1">
      <alignment horizontal="center"/>
    </xf>
    <xf numFmtId="41" fontId="16" fillId="0" borderId="24" xfId="0" applyNumberFormat="1" applyFont="1" applyBorder="1" applyAlignment="1">
      <alignment horizontal="center"/>
    </xf>
    <xf numFmtId="41" fontId="5" fillId="6" borderId="23" xfId="0" applyNumberFormat="1" applyFont="1" applyFill="1" applyBorder="1" applyAlignment="1">
      <alignment horizontal="center"/>
    </xf>
    <xf numFmtId="41" fontId="5" fillId="6" borderId="24" xfId="0" applyNumberFormat="1" applyFont="1" applyFill="1" applyBorder="1" applyAlignment="1">
      <alignment horizontal="center"/>
    </xf>
    <xf numFmtId="41" fontId="5" fillId="4" borderId="18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0" fillId="0" borderId="37" xfId="0" applyBorder="1"/>
    <xf numFmtId="41" fontId="15" fillId="3" borderId="3" xfId="1" applyFont="1" applyFill="1" applyBorder="1" applyAlignment="1">
      <alignment horizontal="left" vertical="center"/>
    </xf>
    <xf numFmtId="41" fontId="18" fillId="3" borderId="0" xfId="0" applyNumberFormat="1" applyFont="1" applyFill="1" applyBorder="1" applyAlignment="1">
      <alignment vertical="center"/>
    </xf>
    <xf numFmtId="0" fontId="2" fillId="0" borderId="0" xfId="5" applyFont="1"/>
    <xf numFmtId="41" fontId="3" fillId="3" borderId="40" xfId="1" applyFont="1" applyFill="1" applyBorder="1"/>
    <xf numFmtId="0" fontId="3" fillId="3" borderId="48" xfId="0" applyFont="1" applyFill="1" applyBorder="1" applyAlignment="1">
      <alignment horizontal="center"/>
    </xf>
    <xf numFmtId="41" fontId="15" fillId="0" borderId="52" xfId="1" applyFont="1" applyBorder="1"/>
    <xf numFmtId="41" fontId="16" fillId="0" borderId="53" xfId="1" applyFont="1" applyBorder="1"/>
    <xf numFmtId="41" fontId="3" fillId="0" borderId="52" xfId="1" applyFont="1" applyBorder="1"/>
    <xf numFmtId="0" fontId="3" fillId="0" borderId="48" xfId="0" applyFont="1" applyBorder="1" applyAlignment="1">
      <alignment horizontal="center"/>
    </xf>
    <xf numFmtId="1" fontId="3" fillId="3" borderId="48" xfId="1" applyNumberFormat="1" applyFont="1" applyFill="1" applyBorder="1" applyAlignment="1">
      <alignment horizontal="center" vertical="center"/>
    </xf>
    <xf numFmtId="41" fontId="3" fillId="3" borderId="52" xfId="1" applyFont="1" applyFill="1" applyBorder="1" applyAlignment="1">
      <alignment horizontal="center"/>
    </xf>
    <xf numFmtId="0" fontId="7" fillId="8" borderId="58" xfId="0" applyFont="1" applyFill="1" applyBorder="1" applyAlignment="1"/>
    <xf numFmtId="41" fontId="13" fillId="0" borderId="53" xfId="1" applyFont="1" applyBorder="1"/>
    <xf numFmtId="41" fontId="3" fillId="0" borderId="60" xfId="1" applyFont="1" applyBorder="1"/>
    <xf numFmtId="0" fontId="3" fillId="0" borderId="48" xfId="0" applyFont="1" applyFill="1" applyBorder="1" applyAlignment="1">
      <alignment horizontal="center"/>
    </xf>
    <xf numFmtId="41" fontId="3" fillId="3" borderId="52" xfId="0" applyNumberFormat="1" applyFont="1" applyFill="1" applyBorder="1" applyAlignment="1">
      <alignment horizontal="center" vertical="center"/>
    </xf>
    <xf numFmtId="41" fontId="13" fillId="3" borderId="53" xfId="0" applyNumberFormat="1" applyFont="1" applyFill="1" applyBorder="1" applyAlignment="1">
      <alignment horizontal="center" vertical="center"/>
    </xf>
    <xf numFmtId="41" fontId="9" fillId="12" borderId="52" xfId="0" applyNumberFormat="1" applyFont="1" applyFill="1" applyBorder="1" applyAlignment="1">
      <alignment horizontal="center" vertical="center"/>
    </xf>
    <xf numFmtId="41" fontId="13" fillId="0" borderId="64" xfId="1" applyFont="1" applyBorder="1"/>
    <xf numFmtId="41" fontId="5" fillId="6" borderId="65" xfId="1" applyFont="1" applyFill="1" applyBorder="1"/>
    <xf numFmtId="41" fontId="2" fillId="3" borderId="3" xfId="1" applyFont="1" applyFill="1" applyBorder="1" applyAlignment="1">
      <alignment horizontal="center" vertical="center"/>
    </xf>
    <xf numFmtId="41" fontId="2" fillId="3" borderId="3" xfId="1" applyFont="1" applyFill="1" applyBorder="1" applyAlignment="1">
      <alignment horizontal="center"/>
    </xf>
    <xf numFmtId="41" fontId="2" fillId="3" borderId="3" xfId="1" applyFont="1" applyFill="1" applyBorder="1"/>
    <xf numFmtId="41" fontId="0" fillId="0" borderId="0" xfId="1" applyFont="1" applyFill="1" applyBorder="1"/>
    <xf numFmtId="41" fontId="16" fillId="0" borderId="57" xfId="0" applyNumberFormat="1" applyFont="1" applyBorder="1"/>
    <xf numFmtId="41" fontId="5" fillId="6" borderId="64" xfId="1" applyFont="1" applyFill="1" applyBorder="1"/>
    <xf numFmtId="41" fontId="13" fillId="16" borderId="21" xfId="1" applyFont="1" applyFill="1" applyBorder="1" applyAlignment="1">
      <alignment vertical="center"/>
    </xf>
    <xf numFmtId="41" fontId="13" fillId="3" borderId="21" xfId="1" applyFont="1" applyFill="1" applyBorder="1"/>
    <xf numFmtId="41" fontId="15" fillId="3" borderId="5" xfId="1" applyFont="1" applyFill="1" applyBorder="1"/>
    <xf numFmtId="41" fontId="24" fillId="6" borderId="64" xfId="1" applyFont="1" applyFill="1" applyBorder="1"/>
    <xf numFmtId="0" fontId="3" fillId="0" borderId="56" xfId="0" applyFont="1" applyBorder="1" applyAlignment="1">
      <alignment horizontal="center"/>
    </xf>
    <xf numFmtId="41" fontId="3" fillId="3" borderId="5" xfId="1" applyFont="1" applyFill="1" applyBorder="1" applyAlignment="1">
      <alignment horizontal="center"/>
    </xf>
    <xf numFmtId="41" fontId="3" fillId="3" borderId="5" xfId="1" applyFont="1" applyFill="1" applyBorder="1"/>
    <xf numFmtId="1" fontId="3" fillId="3" borderId="56" xfId="1" applyNumberFormat="1" applyFont="1" applyFill="1" applyBorder="1" applyAlignment="1">
      <alignment horizontal="center" vertical="center"/>
    </xf>
    <xf numFmtId="41" fontId="15" fillId="0" borderId="3" xfId="0" applyNumberFormat="1" applyFont="1" applyBorder="1" applyAlignment="1">
      <alignment horizontal="left"/>
    </xf>
    <xf numFmtId="41" fontId="15" fillId="3" borderId="3" xfId="0" applyNumberFormat="1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41" fontId="9" fillId="0" borderId="3" xfId="1" applyFont="1" applyBorder="1"/>
    <xf numFmtId="0" fontId="20" fillId="0" borderId="3" xfId="0" applyFont="1" applyFill="1" applyBorder="1" applyAlignment="1">
      <alignment horizontal="left" vertical="center"/>
    </xf>
    <xf numFmtId="0" fontId="20" fillId="0" borderId="3" xfId="0" applyFont="1" applyBorder="1" applyAlignment="1">
      <alignment horizontal="left"/>
    </xf>
    <xf numFmtId="41" fontId="18" fillId="6" borderId="0" xfId="0" applyNumberFormat="1" applyFont="1" applyFill="1" applyAlignment="1"/>
    <xf numFmtId="0" fontId="0" fillId="0" borderId="3" xfId="0" applyFont="1" applyBorder="1"/>
    <xf numFmtId="0" fontId="21" fillId="0" borderId="3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21" fillId="0" borderId="8" xfId="0" applyFont="1" applyBorder="1"/>
    <xf numFmtId="0" fontId="0" fillId="0" borderId="0" xfId="0"/>
    <xf numFmtId="0" fontId="3" fillId="3" borderId="50" xfId="0" applyFont="1" applyFill="1" applyBorder="1" applyAlignment="1">
      <alignment horizontal="center"/>
    </xf>
    <xf numFmtId="41" fontId="15" fillId="3" borderId="5" xfId="1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41" fontId="20" fillId="3" borderId="3" xfId="1" applyFont="1" applyFill="1" applyBorder="1" applyAlignment="1">
      <alignment horizontal="left" vertical="center"/>
    </xf>
    <xf numFmtId="0" fontId="3" fillId="0" borderId="50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right"/>
    </xf>
    <xf numFmtId="41" fontId="21" fillId="3" borderId="3" xfId="1" applyFont="1" applyFill="1" applyBorder="1"/>
    <xf numFmtId="41" fontId="21" fillId="0" borderId="5" xfId="1" applyFont="1" applyBorder="1"/>
    <xf numFmtId="0" fontId="15" fillId="0" borderId="3" xfId="0" applyFont="1" applyFill="1" applyBorder="1" applyAlignment="1">
      <alignment horizontal="center" vertical="center"/>
    </xf>
    <xf numFmtId="41" fontId="15" fillId="3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5" fillId="0" borderId="3" xfId="0" applyFont="1" applyFill="1" applyBorder="1" applyAlignment="1">
      <alignment horizontal="right" vertical="center"/>
    </xf>
    <xf numFmtId="0" fontId="20" fillId="0" borderId="3" xfId="0" applyFont="1" applyFill="1" applyBorder="1" applyAlignment="1">
      <alignment horizontal="right" vertical="center"/>
    </xf>
    <xf numFmtId="41" fontId="3" fillId="0" borderId="10" xfId="1" applyFont="1" applyBorder="1"/>
    <xf numFmtId="0" fontId="15" fillId="0" borderId="16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3" fillId="0" borderId="3" xfId="0" applyFont="1" applyBorder="1"/>
    <xf numFmtId="0" fontId="15" fillId="0" borderId="3" xfId="0" applyFont="1" applyBorder="1"/>
    <xf numFmtId="0" fontId="20" fillId="0" borderId="3" xfId="0" applyFont="1" applyBorder="1"/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20" fillId="0" borderId="3" xfId="0" applyFont="1" applyBorder="1"/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/>
    </xf>
    <xf numFmtId="0" fontId="21" fillId="0" borderId="3" xfId="0" applyFont="1" applyBorder="1"/>
    <xf numFmtId="41" fontId="23" fillId="0" borderId="12" xfId="1" applyFont="1" applyBorder="1"/>
    <xf numFmtId="41" fontId="23" fillId="0" borderId="12" xfId="0" applyNumberFormat="1" applyFont="1" applyBorder="1"/>
    <xf numFmtId="41" fontId="21" fillId="3" borderId="5" xfId="1" applyFont="1" applyFill="1" applyBorder="1"/>
    <xf numFmtId="0" fontId="21" fillId="0" borderId="6" xfId="0" applyFont="1" applyBorder="1" applyAlignment="1">
      <alignment horizontal="center"/>
    </xf>
    <xf numFmtId="41" fontId="21" fillId="0" borderId="3" xfId="1" applyFont="1" applyBorder="1" applyAlignment="1">
      <alignment horizontal="left"/>
    </xf>
    <xf numFmtId="41" fontId="21" fillId="0" borderId="3" xfId="1" applyFont="1" applyFill="1" applyBorder="1" applyAlignment="1">
      <alignment horizontal="left"/>
    </xf>
    <xf numFmtId="41" fontId="21" fillId="0" borderId="5" xfId="1" applyFont="1" applyBorder="1" applyAlignment="1">
      <alignment horizontal="left"/>
    </xf>
    <xf numFmtId="41" fontId="21" fillId="0" borderId="5" xfId="1" applyFont="1" applyFill="1" applyBorder="1" applyAlignment="1">
      <alignment horizontal="left"/>
    </xf>
    <xf numFmtId="0" fontId="23" fillId="0" borderId="3" xfId="0" applyFont="1" applyFill="1" applyBorder="1" applyAlignment="1">
      <alignment horizontal="center"/>
    </xf>
    <xf numFmtId="41" fontId="23" fillId="0" borderId="12" xfId="1" applyFont="1" applyFill="1" applyBorder="1" applyAlignment="1">
      <alignment horizontal="center"/>
    </xf>
    <xf numFmtId="0" fontId="23" fillId="0" borderId="4" xfId="0" applyFont="1" applyFill="1" applyBorder="1" applyAlignment="1">
      <alignment horizontal="center"/>
    </xf>
    <xf numFmtId="41" fontId="23" fillId="0" borderId="19" xfId="1" applyFont="1" applyFill="1" applyBorder="1" applyAlignment="1">
      <alignment horizontal="center"/>
    </xf>
    <xf numFmtId="41" fontId="23" fillId="0" borderId="19" xfId="1" applyFont="1" applyBorder="1"/>
    <xf numFmtId="41" fontId="23" fillId="0" borderId="24" xfId="0" applyNumberFormat="1" applyFont="1" applyBorder="1" applyAlignment="1">
      <alignment horizontal="center"/>
    </xf>
    <xf numFmtId="41" fontId="23" fillId="0" borderId="12" xfId="0" applyNumberFormat="1" applyFont="1" applyBorder="1" applyAlignment="1">
      <alignment horizontal="center"/>
    </xf>
    <xf numFmtId="41" fontId="23" fillId="0" borderId="12" xfId="1" applyFont="1" applyBorder="1" applyAlignment="1">
      <alignment horizontal="center"/>
    </xf>
    <xf numFmtId="0" fontId="21" fillId="3" borderId="3" xfId="0" applyFont="1" applyFill="1" applyBorder="1" applyAlignment="1">
      <alignment horizontal="left" vertical="center"/>
    </xf>
    <xf numFmtId="41" fontId="23" fillId="0" borderId="12" xfId="1" applyFont="1" applyFill="1" applyBorder="1" applyAlignment="1">
      <alignment horizontal="left"/>
    </xf>
    <xf numFmtId="41" fontId="21" fillId="0" borderId="4" xfId="1" applyFont="1" applyFill="1" applyBorder="1" applyAlignment="1">
      <alignment horizontal="left"/>
    </xf>
    <xf numFmtId="41" fontId="26" fillId="6" borderId="24" xfId="0" applyNumberFormat="1" applyFont="1" applyFill="1" applyBorder="1" applyAlignment="1">
      <alignment horizontal="center"/>
    </xf>
    <xf numFmtId="0" fontId="3" fillId="0" borderId="3" xfId="0" quotePrefix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41" fontId="4" fillId="5" borderId="24" xfId="1" applyFont="1" applyFill="1" applyBorder="1" applyAlignment="1">
      <alignment horizontal="center" vertical="center"/>
    </xf>
    <xf numFmtId="41" fontId="4" fillId="5" borderId="59" xfId="1" applyFont="1" applyFill="1" applyBorder="1" applyAlignment="1">
      <alignment horizontal="center" vertical="center"/>
    </xf>
    <xf numFmtId="41" fontId="4" fillId="5" borderId="60" xfId="1" applyFont="1" applyFill="1" applyBorder="1" applyAlignment="1">
      <alignment horizontal="center" vertical="center"/>
    </xf>
    <xf numFmtId="41" fontId="4" fillId="5" borderId="52" xfId="1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70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7" fillId="0" borderId="0" xfId="0" applyFont="1" applyBorder="1" applyAlignment="1">
      <alignment horizontal="center" vertical="center"/>
    </xf>
    <xf numFmtId="0" fontId="4" fillId="5" borderId="67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8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48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9" borderId="50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19" fillId="3" borderId="70" xfId="0" applyFont="1" applyFill="1" applyBorder="1" applyAlignment="1">
      <alignment horizontal="center" vertical="center"/>
    </xf>
    <xf numFmtId="0" fontId="19" fillId="3" borderId="3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8" borderId="54" xfId="0" applyFont="1" applyFill="1" applyBorder="1" applyAlignment="1">
      <alignment horizontal="center"/>
    </xf>
    <xf numFmtId="0" fontId="4" fillId="9" borderId="55" xfId="0" applyFont="1" applyFill="1" applyBorder="1" applyAlignment="1">
      <alignment horizontal="center"/>
    </xf>
    <xf numFmtId="0" fontId="4" fillId="9" borderId="0" xfId="0" applyFont="1" applyFill="1" applyBorder="1" applyAlignment="1">
      <alignment horizontal="center"/>
    </xf>
    <xf numFmtId="0" fontId="4" fillId="9" borderId="48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9" borderId="48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54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54" xfId="0" applyFont="1" applyFill="1" applyBorder="1" applyAlignment="1">
      <alignment horizontal="center"/>
    </xf>
    <xf numFmtId="0" fontId="4" fillId="10" borderId="48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17" fillId="0" borderId="4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8" xfId="0" applyFont="1" applyFill="1" applyBorder="1" applyAlignment="1">
      <alignment horizontal="center" vertical="center"/>
    </xf>
    <xf numFmtId="0" fontId="11" fillId="17" borderId="24" xfId="0" applyFont="1" applyFill="1" applyBorder="1" applyAlignment="1">
      <alignment horizontal="center" vertical="center"/>
    </xf>
    <xf numFmtId="0" fontId="11" fillId="17" borderId="3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5" xfId="0" applyFont="1" applyFill="1" applyBorder="1" applyAlignment="1">
      <alignment horizontal="center" vertical="center"/>
    </xf>
    <xf numFmtId="41" fontId="11" fillId="17" borderId="24" xfId="1" applyFont="1" applyFill="1" applyBorder="1" applyAlignment="1">
      <alignment horizontal="center" vertical="center"/>
    </xf>
    <xf numFmtId="41" fontId="11" fillId="17" borderId="47" xfId="1" applyFont="1" applyFill="1" applyBorder="1" applyAlignment="1">
      <alignment horizontal="center" vertical="center"/>
    </xf>
    <xf numFmtId="41" fontId="11" fillId="17" borderId="49" xfId="1" applyFont="1" applyFill="1" applyBorder="1" applyAlignment="1">
      <alignment horizontal="center" vertical="center"/>
    </xf>
    <xf numFmtId="41" fontId="11" fillId="17" borderId="51" xfId="1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11" borderId="48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4" fillId="0" borderId="48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22" fillId="0" borderId="61" xfId="0" applyFont="1" applyBorder="1" applyAlignment="1">
      <alignment horizontal="center"/>
    </xf>
    <xf numFmtId="0" fontId="22" fillId="0" borderId="62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3" fillId="14" borderId="3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3" fillId="0" borderId="28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5" fillId="3" borderId="34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23" fillId="18" borderId="3" xfId="0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/>
    </xf>
    <xf numFmtId="0" fontId="23" fillId="0" borderId="6" xfId="0" applyFont="1" applyFill="1" applyBorder="1" applyAlignment="1">
      <alignment horizontal="center"/>
    </xf>
    <xf numFmtId="0" fontId="23" fillId="0" borderId="7" xfId="0" applyFont="1" applyFill="1" applyBorder="1" applyAlignment="1">
      <alignment horizontal="center"/>
    </xf>
    <xf numFmtId="0" fontId="23" fillId="0" borderId="8" xfId="0" applyFont="1" applyFill="1" applyBorder="1" applyAlignment="1">
      <alignment horizontal="center"/>
    </xf>
    <xf numFmtId="41" fontId="23" fillId="4" borderId="3" xfId="1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/>
    </xf>
    <xf numFmtId="0" fontId="23" fillId="0" borderId="4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/>
    </xf>
    <xf numFmtId="0" fontId="23" fillId="13" borderId="3" xfId="0" applyFont="1" applyFill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0" fillId="0" borderId="10" xfId="0" applyFont="1" applyFill="1" applyBorder="1"/>
    <xf numFmtId="0" fontId="27" fillId="0" borderId="0" xfId="0" applyFont="1" applyAlignment="1">
      <alignment horizontal="center" vertical="center"/>
    </xf>
    <xf numFmtId="0" fontId="27" fillId="0" borderId="7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0" fillId="0" borderId="5" xfId="0" applyBorder="1"/>
    <xf numFmtId="14" fontId="0" fillId="0" borderId="5" xfId="0" applyNumberFormat="1" applyBorder="1" applyAlignment="1">
      <alignment horizontal="center"/>
    </xf>
    <xf numFmtId="41" fontId="0" fillId="0" borderId="5" xfId="1" applyFont="1" applyBorder="1"/>
    <xf numFmtId="41" fontId="0" fillId="0" borderId="10" xfId="1" applyFont="1" applyBorder="1"/>
    <xf numFmtId="41" fontId="15" fillId="3" borderId="24" xfId="1" applyFont="1" applyFill="1" applyBorder="1"/>
    <xf numFmtId="0" fontId="0" fillId="0" borderId="3" xfId="0" applyBorder="1"/>
    <xf numFmtId="41" fontId="0" fillId="0" borderId="3" xfId="1" applyFont="1" applyBorder="1"/>
    <xf numFmtId="41" fontId="15" fillId="3" borderId="3" xfId="1" applyFont="1" applyFill="1" applyBorder="1" applyAlignment="1">
      <alignment vertical="center"/>
    </xf>
    <xf numFmtId="0" fontId="0" fillId="0" borderId="4" xfId="0" applyBorder="1"/>
    <xf numFmtId="41" fontId="0" fillId="0" borderId="4" xfId="1" applyFont="1" applyBorder="1"/>
    <xf numFmtId="41" fontId="15" fillId="3" borderId="4" xfId="1" applyFont="1" applyFill="1" applyBorder="1"/>
    <xf numFmtId="0" fontId="2" fillId="0" borderId="73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41" fontId="2" fillId="0" borderId="75" xfId="1" applyFont="1" applyBorder="1"/>
    <xf numFmtId="41" fontId="5" fillId="0" borderId="75" xfId="1" applyFont="1" applyBorder="1"/>
    <xf numFmtId="41" fontId="13" fillId="0" borderId="75" xfId="0" applyNumberFormat="1" applyFont="1" applyBorder="1"/>
    <xf numFmtId="41" fontId="0" fillId="3" borderId="3" xfId="1" applyFont="1" applyFill="1" applyBorder="1"/>
    <xf numFmtId="41" fontId="0" fillId="3" borderId="5" xfId="1" applyFont="1" applyFill="1" applyBorder="1"/>
    <xf numFmtId="41" fontId="0" fillId="0" borderId="3" xfId="1" applyFont="1" applyBorder="1" applyAlignment="1"/>
    <xf numFmtId="41" fontId="0" fillId="3" borderId="3" xfId="1" applyFont="1" applyFill="1" applyBorder="1" applyAlignment="1"/>
    <xf numFmtId="41" fontId="0" fillId="0" borderId="5" xfId="0" applyNumberFormat="1" applyBorder="1"/>
    <xf numFmtId="41" fontId="0" fillId="3" borderId="4" xfId="1" applyFont="1" applyFill="1" applyBorder="1"/>
    <xf numFmtId="41" fontId="2" fillId="0" borderId="75" xfId="0" applyNumberFormat="1" applyFont="1" applyBorder="1"/>
    <xf numFmtId="0" fontId="2" fillId="0" borderId="5" xfId="0" applyFont="1" applyBorder="1"/>
    <xf numFmtId="41" fontId="15" fillId="0" borderId="10" xfId="1" applyFont="1" applyFill="1" applyBorder="1"/>
    <xf numFmtId="41" fontId="15" fillId="0" borderId="3" xfId="1" applyFont="1" applyFill="1" applyBorder="1"/>
    <xf numFmtId="0" fontId="2" fillId="0" borderId="7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41" fontId="2" fillId="0" borderId="21" xfId="0" applyNumberFormat="1" applyFont="1" applyBorder="1"/>
    <xf numFmtId="41" fontId="5" fillId="0" borderId="21" xfId="0" applyNumberFormat="1" applyFont="1" applyBorder="1"/>
    <xf numFmtId="41" fontId="5" fillId="0" borderId="21" xfId="1" applyFont="1" applyBorder="1"/>
    <xf numFmtId="0" fontId="13" fillId="0" borderId="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41" fontId="16" fillId="0" borderId="77" xfId="0" applyNumberFormat="1" applyFont="1" applyBorder="1"/>
    <xf numFmtId="41" fontId="13" fillId="6" borderId="77" xfId="0" applyNumberFormat="1" applyFont="1" applyFill="1" applyBorder="1"/>
  </cellXfs>
  <cellStyles count="6">
    <cellStyle name="Comma [0]" xfId="1" builtinId="6"/>
    <cellStyle name="Comma 2" xfId="3"/>
    <cellStyle name="Normal" xfId="0" builtinId="0"/>
    <cellStyle name="Normal 2" xfId="2"/>
    <cellStyle name="Normal 2 2" xfId="4"/>
    <cellStyle name="Normal 6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"/>
  <sheetViews>
    <sheetView workbookViewId="0">
      <pane ySplit="7" topLeftCell="A193" activePane="bottomLeft" state="frozen"/>
      <selection pane="bottomLeft" activeCell="E198" sqref="E198"/>
    </sheetView>
  </sheetViews>
  <sheetFormatPr defaultRowHeight="15" x14ac:dyDescent="0.25"/>
  <cols>
    <col min="1" max="1" width="4" customWidth="1"/>
    <col min="2" max="2" width="28.85546875" customWidth="1"/>
    <col min="3" max="3" width="24.28515625" style="123" customWidth="1"/>
    <col min="4" max="4" width="14.85546875" style="5" customWidth="1"/>
    <col min="5" max="5" width="16.140625" customWidth="1"/>
    <col min="6" max="6" width="24.140625" customWidth="1"/>
    <col min="7" max="7" width="13.5703125" customWidth="1"/>
    <col min="8" max="8" width="12.140625" customWidth="1"/>
    <col min="9" max="9" width="12.7109375" customWidth="1"/>
    <col min="10" max="10" width="13" customWidth="1"/>
    <col min="11" max="11" width="13.5703125" customWidth="1"/>
    <col min="12" max="13" width="1.7109375" customWidth="1"/>
    <col min="14" max="14" width="10.5703125" bestFit="1" customWidth="1"/>
  </cols>
  <sheetData>
    <row r="1" spans="1:11" s="5" customFormat="1" x14ac:dyDescent="0.25">
      <c r="A1" s="231" t="s">
        <v>189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</row>
    <row r="2" spans="1:11" s="5" customFormat="1" ht="15" customHeight="1" thickBot="1" x14ac:dyDescent="0.3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</row>
    <row r="3" spans="1:11" ht="15" customHeight="1" thickTop="1" x14ac:dyDescent="0.25">
      <c r="A3" s="232" t="s">
        <v>0</v>
      </c>
      <c r="B3" s="234" t="s">
        <v>1</v>
      </c>
      <c r="C3" s="234" t="s">
        <v>92</v>
      </c>
      <c r="D3" s="234" t="s">
        <v>20</v>
      </c>
      <c r="E3" s="234" t="s">
        <v>32</v>
      </c>
      <c r="F3" s="236" t="s">
        <v>21</v>
      </c>
      <c r="G3" s="203" t="s">
        <v>2</v>
      </c>
      <c r="H3" s="203"/>
      <c r="I3" s="203"/>
      <c r="J3" s="203"/>
      <c r="K3" s="204" t="s">
        <v>3</v>
      </c>
    </row>
    <row r="4" spans="1:11" s="5" customFormat="1" ht="15" customHeight="1" x14ac:dyDescent="0.25">
      <c r="A4" s="233"/>
      <c r="B4" s="235"/>
      <c r="C4" s="235"/>
      <c r="D4" s="235"/>
      <c r="E4" s="235"/>
      <c r="F4" s="237"/>
      <c r="G4" s="98" t="s">
        <v>4</v>
      </c>
      <c r="H4" s="99" t="s">
        <v>22</v>
      </c>
      <c r="I4" s="99" t="s">
        <v>23</v>
      </c>
      <c r="J4" s="100" t="s">
        <v>24</v>
      </c>
      <c r="K4" s="205"/>
    </row>
    <row r="5" spans="1:11" x14ac:dyDescent="0.25">
      <c r="A5" s="207" t="s">
        <v>5</v>
      </c>
      <c r="B5" s="208"/>
      <c r="C5" s="208"/>
      <c r="D5" s="208"/>
      <c r="E5" s="208"/>
      <c r="F5" s="209"/>
      <c r="G5" s="13" t="s">
        <v>27</v>
      </c>
      <c r="H5" s="40" t="s">
        <v>28</v>
      </c>
      <c r="I5" s="40" t="s">
        <v>29</v>
      </c>
      <c r="J5" s="40" t="s">
        <v>93</v>
      </c>
      <c r="K5" s="206"/>
    </row>
    <row r="6" spans="1:11" s="5" customFormat="1" x14ac:dyDescent="0.25">
      <c r="A6" s="86">
        <v>1</v>
      </c>
      <c r="B6" s="43" t="s">
        <v>194</v>
      </c>
      <c r="C6" s="69" t="s">
        <v>390</v>
      </c>
      <c r="D6" s="41" t="s">
        <v>5</v>
      </c>
      <c r="E6" s="41" t="s">
        <v>5</v>
      </c>
      <c r="F6" s="41" t="s">
        <v>75</v>
      </c>
      <c r="G6" s="26">
        <v>55200</v>
      </c>
      <c r="H6" s="26">
        <v>0</v>
      </c>
      <c r="I6" s="26">
        <v>0</v>
      </c>
      <c r="J6" s="27">
        <v>0</v>
      </c>
      <c r="K6" s="83">
        <f>SUM(G6:J6)</f>
        <v>55200</v>
      </c>
    </row>
    <row r="7" spans="1:11" x14ac:dyDescent="0.25">
      <c r="A7" s="86">
        <v>2</v>
      </c>
      <c r="B7" s="43" t="s">
        <v>195</v>
      </c>
      <c r="C7" s="69" t="s">
        <v>380</v>
      </c>
      <c r="D7" s="41" t="s">
        <v>16</v>
      </c>
      <c r="E7" s="41" t="s">
        <v>5</v>
      </c>
      <c r="F7" s="41" t="s">
        <v>96</v>
      </c>
      <c r="G7" s="26">
        <v>56000</v>
      </c>
      <c r="H7" s="26">
        <v>0</v>
      </c>
      <c r="I7" s="26">
        <v>0</v>
      </c>
      <c r="J7" s="27">
        <v>0</v>
      </c>
      <c r="K7" s="83">
        <f t="shared" ref="K7:K29" si="0">SUM(G7:J7)</f>
        <v>56000</v>
      </c>
    </row>
    <row r="8" spans="1:11" s="5" customFormat="1" ht="15" customHeight="1" x14ac:dyDescent="0.25">
      <c r="A8" s="86">
        <v>3</v>
      </c>
      <c r="B8" s="43" t="s">
        <v>196</v>
      </c>
      <c r="C8" s="69" t="s">
        <v>381</v>
      </c>
      <c r="D8" s="41" t="s">
        <v>5</v>
      </c>
      <c r="E8" s="41" t="s">
        <v>5</v>
      </c>
      <c r="F8" s="41" t="s">
        <v>75</v>
      </c>
      <c r="G8" s="26">
        <v>56000</v>
      </c>
      <c r="H8" s="26">
        <v>0</v>
      </c>
      <c r="I8" s="26">
        <v>0</v>
      </c>
      <c r="J8" s="27">
        <v>0</v>
      </c>
      <c r="K8" s="83">
        <f t="shared" si="0"/>
        <v>56000</v>
      </c>
    </row>
    <row r="9" spans="1:11" s="5" customFormat="1" ht="15" customHeight="1" x14ac:dyDescent="0.25">
      <c r="A9" s="86">
        <v>4</v>
      </c>
      <c r="B9" s="43" t="s">
        <v>197</v>
      </c>
      <c r="C9" s="134" t="s">
        <v>382</v>
      </c>
      <c r="D9" s="41" t="s">
        <v>5</v>
      </c>
      <c r="E9" s="41" t="s">
        <v>5</v>
      </c>
      <c r="F9" s="41" t="s">
        <v>75</v>
      </c>
      <c r="G9" s="26">
        <v>55200</v>
      </c>
      <c r="H9" s="26">
        <v>0</v>
      </c>
      <c r="I9" s="26">
        <v>0</v>
      </c>
      <c r="J9" s="27">
        <v>44000</v>
      </c>
      <c r="K9" s="83">
        <f t="shared" si="0"/>
        <v>99200</v>
      </c>
    </row>
    <row r="10" spans="1:11" x14ac:dyDescent="0.25">
      <c r="A10" s="86">
        <v>5</v>
      </c>
      <c r="B10" s="116" t="s">
        <v>94</v>
      </c>
      <c r="C10" s="134" t="s">
        <v>383</v>
      </c>
      <c r="D10" s="41" t="s">
        <v>5</v>
      </c>
      <c r="E10" s="41" t="s">
        <v>5</v>
      </c>
      <c r="F10" s="41" t="s">
        <v>198</v>
      </c>
      <c r="G10" s="26">
        <v>717600</v>
      </c>
      <c r="H10" s="26">
        <v>385000</v>
      </c>
      <c r="I10" s="26">
        <v>110000</v>
      </c>
      <c r="J10" s="27">
        <v>937000</v>
      </c>
      <c r="K10" s="83">
        <f t="shared" si="0"/>
        <v>2149600</v>
      </c>
    </row>
    <row r="11" spans="1:11" x14ac:dyDescent="0.25">
      <c r="A11" s="86">
        <v>6</v>
      </c>
      <c r="B11" s="43" t="s">
        <v>199</v>
      </c>
      <c r="C11" s="134" t="s">
        <v>385</v>
      </c>
      <c r="D11" s="41" t="s">
        <v>5</v>
      </c>
      <c r="E11" s="41" t="s">
        <v>5</v>
      </c>
      <c r="F11" s="41" t="s">
        <v>75</v>
      </c>
      <c r="G11" s="26">
        <v>188000</v>
      </c>
      <c r="H11" s="26">
        <v>0</v>
      </c>
      <c r="I11" s="26">
        <v>188000</v>
      </c>
      <c r="J11" s="27">
        <v>0</v>
      </c>
      <c r="K11" s="83">
        <f t="shared" si="0"/>
        <v>376000</v>
      </c>
    </row>
    <row r="12" spans="1:11" x14ac:dyDescent="0.25">
      <c r="A12" s="86">
        <v>7</v>
      </c>
      <c r="B12" s="116" t="s">
        <v>200</v>
      </c>
      <c r="C12" s="134" t="s">
        <v>386</v>
      </c>
      <c r="D12" s="41" t="s">
        <v>5</v>
      </c>
      <c r="E12" s="41" t="s">
        <v>5</v>
      </c>
      <c r="F12" s="41" t="s">
        <v>198</v>
      </c>
      <c r="G12" s="26">
        <v>328000</v>
      </c>
      <c r="H12" s="26">
        <v>0</v>
      </c>
      <c r="I12" s="26">
        <v>0</v>
      </c>
      <c r="J12" s="27">
        <v>110000</v>
      </c>
      <c r="K12" s="83">
        <f t="shared" si="0"/>
        <v>438000</v>
      </c>
    </row>
    <row r="13" spans="1:11" ht="15" customHeight="1" x14ac:dyDescent="0.25">
      <c r="A13" s="86">
        <v>8</v>
      </c>
      <c r="B13" s="116" t="s">
        <v>201</v>
      </c>
      <c r="C13" s="69" t="s">
        <v>384</v>
      </c>
      <c r="D13" s="41" t="s">
        <v>202</v>
      </c>
      <c r="E13" s="41" t="s">
        <v>5</v>
      </c>
      <c r="F13" s="41" t="s">
        <v>198</v>
      </c>
      <c r="G13" s="42">
        <v>165600</v>
      </c>
      <c r="H13" s="26">
        <v>165600</v>
      </c>
      <c r="I13" s="26">
        <v>0</v>
      </c>
      <c r="J13" s="27">
        <v>0</v>
      </c>
      <c r="K13" s="83">
        <f t="shared" si="0"/>
        <v>331200</v>
      </c>
    </row>
    <row r="14" spans="1:11" ht="15" customHeight="1" x14ac:dyDescent="0.25">
      <c r="A14" s="86">
        <v>9</v>
      </c>
      <c r="B14" s="43" t="s">
        <v>203</v>
      </c>
      <c r="C14" s="69" t="s">
        <v>387</v>
      </c>
      <c r="D14" s="41" t="s">
        <v>5</v>
      </c>
      <c r="E14" s="41" t="s">
        <v>5</v>
      </c>
      <c r="F14" s="41" t="s">
        <v>75</v>
      </c>
      <c r="G14" s="42">
        <v>440000</v>
      </c>
      <c r="H14" s="26">
        <v>0</v>
      </c>
      <c r="I14" s="26">
        <v>441600</v>
      </c>
      <c r="J14" s="27">
        <v>440000</v>
      </c>
      <c r="K14" s="83">
        <f t="shared" si="0"/>
        <v>1321600</v>
      </c>
    </row>
    <row r="15" spans="1:11" x14ac:dyDescent="0.25">
      <c r="A15" s="86">
        <v>10</v>
      </c>
      <c r="B15" s="116" t="s">
        <v>100</v>
      </c>
      <c r="C15" s="69" t="s">
        <v>389</v>
      </c>
      <c r="D15" s="41" t="s">
        <v>5</v>
      </c>
      <c r="E15" s="41" t="s">
        <v>5</v>
      </c>
      <c r="F15" s="41" t="s">
        <v>198</v>
      </c>
      <c r="G15" s="42"/>
      <c r="H15" s="26">
        <v>25300</v>
      </c>
      <c r="I15" s="26">
        <v>0</v>
      </c>
      <c r="J15" s="27">
        <v>11500</v>
      </c>
      <c r="K15" s="83">
        <f t="shared" si="0"/>
        <v>36800</v>
      </c>
    </row>
    <row r="16" spans="1:11" x14ac:dyDescent="0.25">
      <c r="A16" s="86">
        <v>11</v>
      </c>
      <c r="B16" s="43" t="s">
        <v>204</v>
      </c>
      <c r="C16" s="138"/>
      <c r="D16" s="41" t="s">
        <v>5</v>
      </c>
      <c r="E16" s="41" t="s">
        <v>5</v>
      </c>
      <c r="F16" s="41" t="s">
        <v>75</v>
      </c>
      <c r="G16" s="42"/>
      <c r="H16" s="26">
        <v>46000</v>
      </c>
      <c r="I16" s="26">
        <v>0</v>
      </c>
      <c r="J16" s="27">
        <v>0</v>
      </c>
      <c r="K16" s="83">
        <f t="shared" si="0"/>
        <v>46000</v>
      </c>
    </row>
    <row r="17" spans="1:11" s="5" customFormat="1" x14ac:dyDescent="0.25">
      <c r="A17" s="86">
        <v>12</v>
      </c>
      <c r="B17" s="116" t="s">
        <v>205</v>
      </c>
      <c r="C17" s="134" t="s">
        <v>388</v>
      </c>
      <c r="D17" s="41" t="s">
        <v>202</v>
      </c>
      <c r="E17" s="41" t="s">
        <v>5</v>
      </c>
      <c r="F17" s="41" t="s">
        <v>198</v>
      </c>
      <c r="G17" s="42"/>
      <c r="H17" s="26">
        <v>276000</v>
      </c>
      <c r="I17" s="26">
        <v>110400</v>
      </c>
      <c r="J17" s="27">
        <v>386400</v>
      </c>
      <c r="K17" s="83">
        <f t="shared" si="0"/>
        <v>772800</v>
      </c>
    </row>
    <row r="18" spans="1:11" s="123" customFormat="1" x14ac:dyDescent="0.25">
      <c r="A18" s="86">
        <v>13</v>
      </c>
      <c r="B18" s="43" t="s">
        <v>206</v>
      </c>
      <c r="C18" s="131"/>
      <c r="D18" s="41" t="s">
        <v>5</v>
      </c>
      <c r="E18" s="41" t="s">
        <v>5</v>
      </c>
      <c r="F18" s="41" t="s">
        <v>75</v>
      </c>
      <c r="G18" s="42"/>
      <c r="H18" s="26">
        <v>6000</v>
      </c>
      <c r="I18" s="26">
        <v>0</v>
      </c>
      <c r="J18" s="27">
        <v>0</v>
      </c>
      <c r="K18" s="83">
        <f t="shared" si="0"/>
        <v>6000</v>
      </c>
    </row>
    <row r="19" spans="1:11" s="123" customFormat="1" x14ac:dyDescent="0.25">
      <c r="A19" s="86">
        <v>14</v>
      </c>
      <c r="B19" s="43" t="s">
        <v>207</v>
      </c>
      <c r="C19" s="129" t="s">
        <v>304</v>
      </c>
      <c r="D19" s="41" t="s">
        <v>5</v>
      </c>
      <c r="E19" s="41" t="s">
        <v>5</v>
      </c>
      <c r="F19" s="41" t="s">
        <v>75</v>
      </c>
      <c r="G19" s="42"/>
      <c r="H19" s="26">
        <v>55000</v>
      </c>
      <c r="I19" s="26">
        <v>0</v>
      </c>
      <c r="J19" s="27">
        <v>0</v>
      </c>
      <c r="K19" s="83">
        <f t="shared" si="0"/>
        <v>55000</v>
      </c>
    </row>
    <row r="20" spans="1:11" s="123" customFormat="1" x14ac:dyDescent="0.25">
      <c r="A20" s="86">
        <v>15</v>
      </c>
      <c r="B20" s="43" t="s">
        <v>208</v>
      </c>
      <c r="C20" s="137"/>
      <c r="D20" s="41" t="s">
        <v>5</v>
      </c>
      <c r="E20" s="41" t="s">
        <v>5</v>
      </c>
      <c r="F20" s="41" t="s">
        <v>75</v>
      </c>
      <c r="G20" s="42"/>
      <c r="H20" s="26">
        <v>77500</v>
      </c>
      <c r="I20" s="26">
        <v>0</v>
      </c>
      <c r="J20" s="27">
        <v>0</v>
      </c>
      <c r="K20" s="83">
        <f t="shared" si="0"/>
        <v>77500</v>
      </c>
    </row>
    <row r="21" spans="1:11" s="123" customFormat="1" x14ac:dyDescent="0.25">
      <c r="A21" s="86">
        <v>16</v>
      </c>
      <c r="B21" s="43" t="s">
        <v>574</v>
      </c>
      <c r="C21" s="134"/>
      <c r="D21" s="41" t="s">
        <v>5</v>
      </c>
      <c r="E21" s="41" t="s">
        <v>5</v>
      </c>
      <c r="F21" s="41" t="s">
        <v>75</v>
      </c>
      <c r="G21" s="42"/>
      <c r="H21" s="26"/>
      <c r="I21" s="26">
        <v>110400</v>
      </c>
      <c r="J21" s="27">
        <v>0</v>
      </c>
      <c r="K21" s="83">
        <f t="shared" si="0"/>
        <v>110400</v>
      </c>
    </row>
    <row r="22" spans="1:11" s="123" customFormat="1" x14ac:dyDescent="0.25">
      <c r="A22" s="86">
        <v>17</v>
      </c>
      <c r="B22" s="43" t="s">
        <v>575</v>
      </c>
      <c r="C22" s="134"/>
      <c r="D22" s="41" t="s">
        <v>5</v>
      </c>
      <c r="E22" s="41" t="s">
        <v>5</v>
      </c>
      <c r="F22" s="41" t="s">
        <v>75</v>
      </c>
      <c r="G22" s="42"/>
      <c r="H22" s="26"/>
      <c r="I22" s="26">
        <v>110000</v>
      </c>
      <c r="J22" s="27">
        <v>0</v>
      </c>
      <c r="K22" s="83">
        <f t="shared" si="0"/>
        <v>110000</v>
      </c>
    </row>
    <row r="23" spans="1:11" s="123" customFormat="1" x14ac:dyDescent="0.25">
      <c r="A23" s="86">
        <v>18</v>
      </c>
      <c r="B23" s="43" t="s">
        <v>350</v>
      </c>
      <c r="C23" s="134"/>
      <c r="D23" s="41" t="s">
        <v>5</v>
      </c>
      <c r="E23" s="41" t="s">
        <v>5</v>
      </c>
      <c r="F23" s="41" t="s">
        <v>75</v>
      </c>
      <c r="G23" s="42"/>
      <c r="H23" s="26"/>
      <c r="I23" s="26"/>
      <c r="J23" s="27">
        <v>55200</v>
      </c>
      <c r="K23" s="83">
        <f t="shared" si="0"/>
        <v>55200</v>
      </c>
    </row>
    <row r="24" spans="1:11" s="123" customFormat="1" x14ac:dyDescent="0.25">
      <c r="A24" s="86">
        <v>19</v>
      </c>
      <c r="B24" s="116" t="s">
        <v>692</v>
      </c>
      <c r="C24" s="134"/>
      <c r="D24" s="41" t="s">
        <v>202</v>
      </c>
      <c r="E24" s="41" t="s">
        <v>5</v>
      </c>
      <c r="F24" s="41" t="s">
        <v>198</v>
      </c>
      <c r="G24" s="42"/>
      <c r="H24" s="26"/>
      <c r="I24" s="26"/>
      <c r="J24" s="27">
        <v>220000</v>
      </c>
      <c r="K24" s="83">
        <f t="shared" si="0"/>
        <v>220000</v>
      </c>
    </row>
    <row r="25" spans="1:11" s="123" customFormat="1" x14ac:dyDescent="0.25">
      <c r="A25" s="86">
        <v>20</v>
      </c>
      <c r="B25" s="43" t="s">
        <v>214</v>
      </c>
      <c r="C25" s="134"/>
      <c r="D25" s="41" t="s">
        <v>5</v>
      </c>
      <c r="E25" s="41" t="s">
        <v>5</v>
      </c>
      <c r="F25" s="41" t="s">
        <v>75</v>
      </c>
      <c r="G25" s="42"/>
      <c r="H25" s="26"/>
      <c r="I25" s="26"/>
      <c r="J25" s="27">
        <v>264500</v>
      </c>
      <c r="K25" s="83">
        <f t="shared" si="0"/>
        <v>264500</v>
      </c>
    </row>
    <row r="26" spans="1:11" s="123" customFormat="1" x14ac:dyDescent="0.25">
      <c r="A26" s="86">
        <v>21</v>
      </c>
      <c r="B26" s="116" t="s">
        <v>693</v>
      </c>
      <c r="C26" s="43"/>
      <c r="D26" s="41" t="s">
        <v>202</v>
      </c>
      <c r="E26" s="41" t="s">
        <v>5</v>
      </c>
      <c r="F26" s="41" t="s">
        <v>198</v>
      </c>
      <c r="G26" s="42"/>
      <c r="H26" s="26"/>
      <c r="I26" s="26"/>
      <c r="J26" s="27">
        <v>331200</v>
      </c>
      <c r="K26" s="83">
        <f t="shared" si="0"/>
        <v>331200</v>
      </c>
    </row>
    <row r="27" spans="1:11" s="123" customFormat="1" x14ac:dyDescent="0.25">
      <c r="A27" s="86">
        <v>22</v>
      </c>
      <c r="B27" s="116" t="s">
        <v>104</v>
      </c>
      <c r="C27" s="43"/>
      <c r="D27" s="41" t="s">
        <v>16</v>
      </c>
      <c r="E27" s="41" t="s">
        <v>5</v>
      </c>
      <c r="F27" s="41" t="s">
        <v>198</v>
      </c>
      <c r="G27" s="42"/>
      <c r="H27" s="26"/>
      <c r="I27" s="26"/>
      <c r="J27" s="27">
        <v>40000</v>
      </c>
      <c r="K27" s="83">
        <f t="shared" si="0"/>
        <v>40000</v>
      </c>
    </row>
    <row r="28" spans="1:11" s="123" customFormat="1" x14ac:dyDescent="0.25">
      <c r="A28" s="86">
        <v>23</v>
      </c>
      <c r="B28" s="43" t="s">
        <v>301</v>
      </c>
      <c r="C28" s="43"/>
      <c r="D28" s="41" t="s">
        <v>5</v>
      </c>
      <c r="E28" s="41" t="s">
        <v>5</v>
      </c>
      <c r="F28" s="41" t="s">
        <v>75</v>
      </c>
      <c r="G28" s="42"/>
      <c r="H28" s="26"/>
      <c r="I28" s="26"/>
      <c r="J28" s="27">
        <v>34500</v>
      </c>
      <c r="K28" s="83">
        <f t="shared" si="0"/>
        <v>34500</v>
      </c>
    </row>
    <row r="29" spans="1:11" s="123" customFormat="1" ht="15.75" thickBot="1" x14ac:dyDescent="0.3">
      <c r="A29" s="86">
        <v>24</v>
      </c>
      <c r="B29" s="116" t="s">
        <v>111</v>
      </c>
      <c r="C29" s="43"/>
      <c r="D29" s="41" t="s">
        <v>5</v>
      </c>
      <c r="E29" s="41" t="s">
        <v>5</v>
      </c>
      <c r="F29" s="41" t="s">
        <v>198</v>
      </c>
      <c r="G29" s="42"/>
      <c r="H29" s="26"/>
      <c r="I29" s="26"/>
      <c r="J29" s="27">
        <v>440000</v>
      </c>
      <c r="K29" s="83">
        <f t="shared" si="0"/>
        <v>440000</v>
      </c>
    </row>
    <row r="30" spans="1:11" x14ac:dyDescent="0.25">
      <c r="A30" s="210" t="s">
        <v>3</v>
      </c>
      <c r="B30" s="211"/>
      <c r="C30" s="211"/>
      <c r="D30" s="211"/>
      <c r="E30" s="211"/>
      <c r="F30" s="212"/>
      <c r="G30" s="47">
        <f>SUM(G6:G29)</f>
        <v>2061600</v>
      </c>
      <c r="H30" s="47">
        <f>SUM(H6:H29)</f>
        <v>1036400</v>
      </c>
      <c r="I30" s="47">
        <f>SUM(I6:I29)</f>
        <v>1070400</v>
      </c>
      <c r="J30" s="47">
        <f>SUM(J6:J29)</f>
        <v>3314300</v>
      </c>
      <c r="K30" s="84">
        <f>SUM(G30:J30)</f>
        <v>7482700</v>
      </c>
    </row>
    <row r="31" spans="1:11" s="2" customFormat="1" x14ac:dyDescent="0.25">
      <c r="A31" s="213" t="s">
        <v>6</v>
      </c>
      <c r="B31" s="214"/>
      <c r="C31" s="214"/>
      <c r="D31" s="214"/>
      <c r="E31" s="214"/>
      <c r="F31" s="214"/>
      <c r="G31" s="214"/>
      <c r="H31" s="214"/>
      <c r="I31" s="214"/>
      <c r="J31" s="214"/>
      <c r="K31" s="215"/>
    </row>
    <row r="32" spans="1:11" s="2" customFormat="1" x14ac:dyDescent="0.25">
      <c r="A32" s="86">
        <v>1</v>
      </c>
      <c r="B32" s="130" t="s">
        <v>97</v>
      </c>
      <c r="C32" s="129" t="s">
        <v>377</v>
      </c>
      <c r="D32" s="10" t="s">
        <v>6</v>
      </c>
      <c r="E32" s="10" t="s">
        <v>6</v>
      </c>
      <c r="F32" s="10" t="s">
        <v>198</v>
      </c>
      <c r="G32" s="26">
        <v>232000</v>
      </c>
      <c r="H32" s="27">
        <v>212000</v>
      </c>
      <c r="I32" s="27">
        <v>192500</v>
      </c>
      <c r="J32" s="27">
        <v>872000</v>
      </c>
      <c r="K32" s="83">
        <f>SUM(G32:J32)</f>
        <v>1508500</v>
      </c>
    </row>
    <row r="33" spans="1:11" s="2" customFormat="1" x14ac:dyDescent="0.25">
      <c r="A33" s="86">
        <v>2</v>
      </c>
      <c r="B33" s="130" t="s">
        <v>98</v>
      </c>
      <c r="C33" s="69" t="s">
        <v>379</v>
      </c>
      <c r="D33" s="10" t="s">
        <v>6</v>
      </c>
      <c r="E33" s="10" t="s">
        <v>6</v>
      </c>
      <c r="F33" s="10" t="s">
        <v>198</v>
      </c>
      <c r="G33" s="26">
        <v>1042000</v>
      </c>
      <c r="H33" s="27">
        <v>1014800</v>
      </c>
      <c r="I33" s="27">
        <v>623300</v>
      </c>
      <c r="J33" s="27">
        <v>837700</v>
      </c>
      <c r="K33" s="83">
        <f t="shared" ref="K33:K49" si="1">SUM(G33:J33)</f>
        <v>3517800</v>
      </c>
    </row>
    <row r="34" spans="1:11" s="2" customFormat="1" x14ac:dyDescent="0.25">
      <c r="A34" s="86">
        <v>3</v>
      </c>
      <c r="B34" s="130" t="s">
        <v>209</v>
      </c>
      <c r="C34" s="69" t="s">
        <v>374</v>
      </c>
      <c r="D34" s="10" t="s">
        <v>6</v>
      </c>
      <c r="E34" s="10" t="s">
        <v>6</v>
      </c>
      <c r="F34" s="10" t="s">
        <v>198</v>
      </c>
      <c r="G34" s="26">
        <v>276000</v>
      </c>
      <c r="H34" s="27">
        <v>0</v>
      </c>
      <c r="I34" s="27">
        <v>0</v>
      </c>
      <c r="J34" s="27">
        <v>308000</v>
      </c>
      <c r="K34" s="83">
        <f t="shared" si="1"/>
        <v>584000</v>
      </c>
    </row>
    <row r="35" spans="1:11" s="2" customFormat="1" x14ac:dyDescent="0.25">
      <c r="A35" s="86">
        <v>4</v>
      </c>
      <c r="B35" s="130" t="s">
        <v>210</v>
      </c>
      <c r="C35" s="69" t="s">
        <v>374</v>
      </c>
      <c r="D35" s="10" t="s">
        <v>6</v>
      </c>
      <c r="E35" s="10" t="s">
        <v>6</v>
      </c>
      <c r="F35" s="10" t="s">
        <v>198</v>
      </c>
      <c r="G35" s="26"/>
      <c r="H35" s="27">
        <v>121900</v>
      </c>
      <c r="I35" s="27">
        <v>0</v>
      </c>
      <c r="J35" s="27">
        <v>0</v>
      </c>
      <c r="K35" s="83">
        <f t="shared" si="1"/>
        <v>121900</v>
      </c>
    </row>
    <row r="36" spans="1:11" s="2" customFormat="1" x14ac:dyDescent="0.25">
      <c r="A36" s="86">
        <v>5</v>
      </c>
      <c r="B36" s="130" t="s">
        <v>211</v>
      </c>
      <c r="C36" s="69" t="s">
        <v>378</v>
      </c>
      <c r="D36" s="10" t="s">
        <v>6</v>
      </c>
      <c r="E36" s="10" t="s">
        <v>6</v>
      </c>
      <c r="F36" s="10" t="s">
        <v>198</v>
      </c>
      <c r="G36" s="26"/>
      <c r="H36" s="27">
        <v>200100</v>
      </c>
      <c r="I36" s="27">
        <v>0</v>
      </c>
      <c r="J36" s="27">
        <v>341300</v>
      </c>
      <c r="K36" s="83">
        <f t="shared" si="1"/>
        <v>541400</v>
      </c>
    </row>
    <row r="37" spans="1:11" s="123" customFormat="1" x14ac:dyDescent="0.25">
      <c r="A37" s="86">
        <v>6</v>
      </c>
      <c r="B37" s="10" t="s">
        <v>212</v>
      </c>
      <c r="C37" s="69" t="s">
        <v>375</v>
      </c>
      <c r="D37" s="10" t="s">
        <v>6</v>
      </c>
      <c r="E37" s="10" t="s">
        <v>6</v>
      </c>
      <c r="F37" s="10" t="s">
        <v>75</v>
      </c>
      <c r="G37" s="26"/>
      <c r="H37" s="27">
        <v>23000</v>
      </c>
      <c r="I37" s="27">
        <v>0</v>
      </c>
      <c r="J37" s="27">
        <v>0</v>
      </c>
      <c r="K37" s="83">
        <f t="shared" si="1"/>
        <v>23000</v>
      </c>
    </row>
    <row r="38" spans="1:11" s="123" customFormat="1" x14ac:dyDescent="0.25">
      <c r="A38" s="86">
        <v>7</v>
      </c>
      <c r="B38" s="130" t="s">
        <v>213</v>
      </c>
      <c r="C38" s="69" t="s">
        <v>374</v>
      </c>
      <c r="D38" s="10" t="s">
        <v>6</v>
      </c>
      <c r="E38" s="10" t="s">
        <v>6</v>
      </c>
      <c r="F38" s="10" t="s">
        <v>198</v>
      </c>
      <c r="G38" s="26"/>
      <c r="H38" s="27">
        <v>308000</v>
      </c>
      <c r="I38" s="27">
        <v>616000</v>
      </c>
      <c r="J38" s="27">
        <v>616200</v>
      </c>
      <c r="K38" s="83">
        <f t="shared" si="1"/>
        <v>1540200</v>
      </c>
    </row>
    <row r="39" spans="1:11" s="123" customFormat="1" x14ac:dyDescent="0.25">
      <c r="A39" s="86">
        <v>8</v>
      </c>
      <c r="B39" s="10" t="s">
        <v>214</v>
      </c>
      <c r="C39" s="69" t="s">
        <v>376</v>
      </c>
      <c r="D39" s="10" t="s">
        <v>6</v>
      </c>
      <c r="E39" s="10" t="s">
        <v>6</v>
      </c>
      <c r="F39" s="10" t="s">
        <v>95</v>
      </c>
      <c r="G39" s="26"/>
      <c r="H39" s="27">
        <v>342500</v>
      </c>
      <c r="I39" s="27">
        <v>0</v>
      </c>
      <c r="J39" s="27">
        <v>330000</v>
      </c>
      <c r="K39" s="83">
        <f t="shared" si="1"/>
        <v>672500</v>
      </c>
    </row>
    <row r="40" spans="1:11" s="123" customFormat="1" x14ac:dyDescent="0.25">
      <c r="A40" s="86">
        <v>9</v>
      </c>
      <c r="B40" s="10" t="s">
        <v>215</v>
      </c>
      <c r="C40" s="69" t="s">
        <v>373</v>
      </c>
      <c r="D40" s="10" t="s">
        <v>6</v>
      </c>
      <c r="E40" s="10" t="s">
        <v>6</v>
      </c>
      <c r="F40" s="10" t="s">
        <v>75</v>
      </c>
      <c r="G40" s="26"/>
      <c r="H40" s="27">
        <v>55000</v>
      </c>
      <c r="I40" s="27">
        <v>0</v>
      </c>
      <c r="J40" s="27">
        <v>0</v>
      </c>
      <c r="K40" s="83">
        <f t="shared" si="1"/>
        <v>55000</v>
      </c>
    </row>
    <row r="41" spans="1:11" s="123" customFormat="1" x14ac:dyDescent="0.25">
      <c r="A41" s="86">
        <v>10</v>
      </c>
      <c r="B41" s="130" t="s">
        <v>216</v>
      </c>
      <c r="C41" s="69" t="s">
        <v>374</v>
      </c>
      <c r="D41" s="10" t="s">
        <v>6</v>
      </c>
      <c r="E41" s="10" t="s">
        <v>6</v>
      </c>
      <c r="F41" s="10" t="s">
        <v>198</v>
      </c>
      <c r="G41" s="26"/>
      <c r="H41" s="27">
        <v>220800</v>
      </c>
      <c r="I41" s="27">
        <v>0</v>
      </c>
      <c r="J41" s="27">
        <v>0</v>
      </c>
      <c r="K41" s="83">
        <f t="shared" si="1"/>
        <v>220800</v>
      </c>
    </row>
    <row r="42" spans="1:11" s="123" customFormat="1" x14ac:dyDescent="0.25">
      <c r="A42" s="86">
        <v>11</v>
      </c>
      <c r="B42" s="10" t="s">
        <v>493</v>
      </c>
      <c r="C42" s="177" t="s">
        <v>621</v>
      </c>
      <c r="D42" s="10" t="s">
        <v>6</v>
      </c>
      <c r="E42" s="10" t="s">
        <v>6</v>
      </c>
      <c r="F42" s="10" t="s">
        <v>95</v>
      </c>
      <c r="G42" s="26"/>
      <c r="H42" s="27"/>
      <c r="I42" s="27">
        <v>11500</v>
      </c>
      <c r="J42" s="27">
        <v>62500</v>
      </c>
      <c r="K42" s="83">
        <f t="shared" si="1"/>
        <v>74000</v>
      </c>
    </row>
    <row r="43" spans="1:11" s="123" customFormat="1" x14ac:dyDescent="0.25">
      <c r="A43" s="86">
        <v>12</v>
      </c>
      <c r="B43" s="10" t="s">
        <v>576</v>
      </c>
      <c r="C43" s="177" t="s">
        <v>622</v>
      </c>
      <c r="D43" s="10" t="s">
        <v>6</v>
      </c>
      <c r="E43" s="10" t="s">
        <v>6</v>
      </c>
      <c r="F43" s="10" t="s">
        <v>75</v>
      </c>
      <c r="G43" s="26"/>
      <c r="H43" s="27"/>
      <c r="I43" s="27">
        <v>34500</v>
      </c>
      <c r="J43" s="27">
        <v>0</v>
      </c>
      <c r="K43" s="83">
        <f t="shared" si="1"/>
        <v>34500</v>
      </c>
    </row>
    <row r="44" spans="1:11" s="123" customFormat="1" x14ac:dyDescent="0.25">
      <c r="A44" s="86">
        <v>13</v>
      </c>
      <c r="B44" s="10" t="s">
        <v>577</v>
      </c>
      <c r="C44" s="177" t="s">
        <v>623</v>
      </c>
      <c r="D44" s="10" t="s">
        <v>6</v>
      </c>
      <c r="E44" s="10" t="s">
        <v>6</v>
      </c>
      <c r="F44" s="10" t="s">
        <v>75</v>
      </c>
      <c r="G44" s="26"/>
      <c r="H44" s="27"/>
      <c r="I44" s="27">
        <v>56000</v>
      </c>
      <c r="J44" s="27">
        <v>0</v>
      </c>
      <c r="K44" s="83">
        <f t="shared" si="1"/>
        <v>56000</v>
      </c>
    </row>
    <row r="45" spans="1:11" s="123" customFormat="1" x14ac:dyDescent="0.25">
      <c r="A45" s="86">
        <v>14</v>
      </c>
      <c r="B45" s="10" t="s">
        <v>207</v>
      </c>
      <c r="C45" s="176"/>
      <c r="D45" s="10" t="s">
        <v>6</v>
      </c>
      <c r="E45" s="10" t="s">
        <v>6</v>
      </c>
      <c r="F45" s="10" t="s">
        <v>75</v>
      </c>
      <c r="G45" s="26"/>
      <c r="H45" s="27"/>
      <c r="I45" s="27"/>
      <c r="J45" s="27">
        <v>25300</v>
      </c>
      <c r="K45" s="83">
        <f t="shared" si="1"/>
        <v>25300</v>
      </c>
    </row>
    <row r="46" spans="1:11" s="123" customFormat="1" x14ac:dyDescent="0.25">
      <c r="A46" s="86">
        <v>15</v>
      </c>
      <c r="B46" s="10" t="s">
        <v>170</v>
      </c>
      <c r="C46" s="176"/>
      <c r="D46" s="10" t="s">
        <v>6</v>
      </c>
      <c r="E46" s="10" t="s">
        <v>6</v>
      </c>
      <c r="F46" s="10" t="s">
        <v>75</v>
      </c>
      <c r="G46" s="26"/>
      <c r="H46" s="27"/>
      <c r="I46" s="27"/>
      <c r="J46" s="27">
        <v>270000</v>
      </c>
      <c r="K46" s="83">
        <f t="shared" si="1"/>
        <v>270000</v>
      </c>
    </row>
    <row r="47" spans="1:11" s="123" customFormat="1" x14ac:dyDescent="0.25">
      <c r="A47" s="86">
        <v>16</v>
      </c>
      <c r="B47" s="130" t="s">
        <v>694</v>
      </c>
      <c r="C47" s="176"/>
      <c r="D47" s="10" t="s">
        <v>6</v>
      </c>
      <c r="E47" s="10" t="s">
        <v>6</v>
      </c>
      <c r="F47" s="10" t="s">
        <v>198</v>
      </c>
      <c r="G47" s="26"/>
      <c r="H47" s="27"/>
      <c r="I47" s="27"/>
      <c r="J47" s="27">
        <v>220800</v>
      </c>
      <c r="K47" s="83">
        <f t="shared" si="1"/>
        <v>220800</v>
      </c>
    </row>
    <row r="48" spans="1:11" s="123" customFormat="1" x14ac:dyDescent="0.25">
      <c r="A48" s="86">
        <v>17</v>
      </c>
      <c r="B48" s="143" t="s">
        <v>695</v>
      </c>
      <c r="C48" s="143"/>
      <c r="D48" s="10" t="s">
        <v>6</v>
      </c>
      <c r="E48" s="10" t="s">
        <v>6</v>
      </c>
      <c r="F48" s="10" t="s">
        <v>75</v>
      </c>
      <c r="G48" s="26"/>
      <c r="H48" s="27"/>
      <c r="I48" s="27"/>
      <c r="J48" s="27">
        <v>165600</v>
      </c>
      <c r="K48" s="83">
        <f t="shared" si="1"/>
        <v>165600</v>
      </c>
    </row>
    <row r="49" spans="1:11" s="123" customFormat="1" ht="15.75" thickBot="1" x14ac:dyDescent="0.3">
      <c r="A49" s="86">
        <v>18</v>
      </c>
      <c r="B49" s="143" t="s">
        <v>118</v>
      </c>
      <c r="C49" s="143"/>
      <c r="D49" s="10" t="s">
        <v>6</v>
      </c>
      <c r="E49" s="10" t="s">
        <v>6</v>
      </c>
      <c r="F49" s="10" t="s">
        <v>75</v>
      </c>
      <c r="G49" s="26"/>
      <c r="H49" s="27"/>
      <c r="I49" s="27"/>
      <c r="J49" s="27">
        <v>50000</v>
      </c>
      <c r="K49" s="83">
        <f t="shared" si="1"/>
        <v>50000</v>
      </c>
    </row>
    <row r="50" spans="1:11" x14ac:dyDescent="0.25">
      <c r="A50" s="222" t="s">
        <v>3</v>
      </c>
      <c r="B50" s="223"/>
      <c r="C50" s="223"/>
      <c r="D50" s="223"/>
      <c r="E50" s="223"/>
      <c r="F50" s="224"/>
      <c r="G50" s="28">
        <f>SUM(G32:G49)</f>
        <v>1550000</v>
      </c>
      <c r="H50" s="28">
        <f>SUM(H32:H49)</f>
        <v>2498100</v>
      </c>
      <c r="I50" s="28">
        <f>SUM(I32:I49)</f>
        <v>1533800</v>
      </c>
      <c r="J50" s="28">
        <f>SUM(J32:J49)</f>
        <v>4099400</v>
      </c>
      <c r="K50" s="90">
        <f>SUM(G50:J50)</f>
        <v>9681300</v>
      </c>
    </row>
    <row r="51" spans="1:11" x14ac:dyDescent="0.25">
      <c r="A51" s="216" t="s">
        <v>60</v>
      </c>
      <c r="B51" s="217"/>
      <c r="C51" s="217"/>
      <c r="D51" s="217"/>
      <c r="E51" s="217"/>
      <c r="F51" s="217"/>
      <c r="G51" s="217"/>
      <c r="H51" s="217"/>
      <c r="I51" s="217"/>
      <c r="J51" s="217"/>
      <c r="K51" s="218"/>
    </row>
    <row r="52" spans="1:11" x14ac:dyDescent="0.25">
      <c r="A52" s="86">
        <v>1</v>
      </c>
      <c r="B52" s="24" t="s">
        <v>217</v>
      </c>
      <c r="C52" s="69"/>
      <c r="D52" s="24" t="s">
        <v>99</v>
      </c>
      <c r="E52" s="24" t="s">
        <v>99</v>
      </c>
      <c r="F52" s="41" t="s">
        <v>75</v>
      </c>
      <c r="G52" s="26">
        <v>204700</v>
      </c>
      <c r="H52" s="27">
        <v>100000</v>
      </c>
      <c r="I52" s="27">
        <v>78200</v>
      </c>
      <c r="J52" s="26">
        <v>0</v>
      </c>
      <c r="K52" s="83">
        <f>SUM(G52:J52)</f>
        <v>382900</v>
      </c>
    </row>
    <row r="53" spans="1:11" x14ac:dyDescent="0.25">
      <c r="A53" s="86">
        <v>2</v>
      </c>
      <c r="B53" s="45" t="s">
        <v>104</v>
      </c>
      <c r="C53" s="69" t="s">
        <v>287</v>
      </c>
      <c r="D53" s="24" t="s">
        <v>16</v>
      </c>
      <c r="E53" s="24" t="s">
        <v>99</v>
      </c>
      <c r="F53" s="41" t="s">
        <v>198</v>
      </c>
      <c r="G53" s="26">
        <v>227700</v>
      </c>
      <c r="H53" s="42">
        <v>317300</v>
      </c>
      <c r="I53" s="27">
        <v>0</v>
      </c>
      <c r="J53" s="26">
        <v>928700</v>
      </c>
      <c r="K53" s="83">
        <f>SUM(G53:J53)</f>
        <v>1473700</v>
      </c>
    </row>
    <row r="54" spans="1:11" s="2" customFormat="1" x14ac:dyDescent="0.25">
      <c r="A54" s="86">
        <v>3</v>
      </c>
      <c r="B54" s="45" t="s">
        <v>97</v>
      </c>
      <c r="C54" s="129" t="s">
        <v>377</v>
      </c>
      <c r="D54" s="24" t="s">
        <v>6</v>
      </c>
      <c r="E54" s="24" t="s">
        <v>158</v>
      </c>
      <c r="F54" s="41" t="s">
        <v>198</v>
      </c>
      <c r="G54" s="26">
        <v>378000</v>
      </c>
      <c r="H54" s="27">
        <v>0</v>
      </c>
      <c r="I54" s="27">
        <v>0</v>
      </c>
      <c r="J54" s="26">
        <v>0</v>
      </c>
      <c r="K54" s="83">
        <f t="shared" ref="K54:K77" si="2">SUM(G54:J54)</f>
        <v>378000</v>
      </c>
    </row>
    <row r="55" spans="1:11" s="2" customFormat="1" x14ac:dyDescent="0.25">
      <c r="A55" s="86">
        <v>4</v>
      </c>
      <c r="B55" s="45" t="s">
        <v>218</v>
      </c>
      <c r="C55" s="69" t="s">
        <v>389</v>
      </c>
      <c r="D55" s="24" t="s">
        <v>5</v>
      </c>
      <c r="E55" s="24" t="s">
        <v>99</v>
      </c>
      <c r="F55" s="41" t="s">
        <v>198</v>
      </c>
      <c r="G55" s="26">
        <v>67500</v>
      </c>
      <c r="H55" s="27">
        <v>302100</v>
      </c>
      <c r="I55" s="27">
        <v>0</v>
      </c>
      <c r="J55" s="26">
        <v>375000</v>
      </c>
      <c r="K55" s="83">
        <f t="shared" si="2"/>
        <v>744600</v>
      </c>
    </row>
    <row r="56" spans="1:11" s="2" customFormat="1" x14ac:dyDescent="0.25">
      <c r="A56" s="86">
        <v>5</v>
      </c>
      <c r="B56" s="45" t="s">
        <v>103</v>
      </c>
      <c r="C56" s="69" t="s">
        <v>374</v>
      </c>
      <c r="D56" s="24" t="s">
        <v>6</v>
      </c>
      <c r="E56" s="24" t="s">
        <v>99</v>
      </c>
      <c r="F56" s="41" t="s">
        <v>198</v>
      </c>
      <c r="G56" s="26">
        <v>23000</v>
      </c>
      <c r="H56" s="27">
        <v>0</v>
      </c>
      <c r="I56" s="27">
        <v>0</v>
      </c>
      <c r="J56" s="26">
        <v>25300</v>
      </c>
      <c r="K56" s="83">
        <f t="shared" si="2"/>
        <v>48300</v>
      </c>
    </row>
    <row r="57" spans="1:11" s="2" customFormat="1" x14ac:dyDescent="0.25">
      <c r="A57" s="86">
        <v>6</v>
      </c>
      <c r="B57" s="24" t="s">
        <v>219</v>
      </c>
      <c r="C57" s="69" t="s">
        <v>391</v>
      </c>
      <c r="D57" s="24" t="s">
        <v>99</v>
      </c>
      <c r="E57" s="24" t="s">
        <v>99</v>
      </c>
      <c r="F57" s="41" t="s">
        <v>75</v>
      </c>
      <c r="G57" s="26"/>
      <c r="H57" s="27">
        <v>110000</v>
      </c>
      <c r="I57" s="27">
        <v>0</v>
      </c>
      <c r="J57" s="26">
        <v>44000</v>
      </c>
      <c r="K57" s="83">
        <f t="shared" si="2"/>
        <v>154000</v>
      </c>
    </row>
    <row r="58" spans="1:11" x14ac:dyDescent="0.25">
      <c r="A58" s="86">
        <v>7</v>
      </c>
      <c r="B58" s="45" t="s">
        <v>102</v>
      </c>
      <c r="C58" s="69" t="s">
        <v>394</v>
      </c>
      <c r="D58" s="24" t="s">
        <v>99</v>
      </c>
      <c r="E58" s="24" t="s">
        <v>99</v>
      </c>
      <c r="F58" s="41" t="s">
        <v>198</v>
      </c>
      <c r="G58" s="26"/>
      <c r="H58" s="27">
        <v>552000</v>
      </c>
      <c r="I58" s="27">
        <v>0</v>
      </c>
      <c r="J58" s="26">
        <v>282900</v>
      </c>
      <c r="K58" s="83">
        <f t="shared" si="2"/>
        <v>834900</v>
      </c>
    </row>
    <row r="59" spans="1:11" s="123" customFormat="1" x14ac:dyDescent="0.25">
      <c r="A59" s="86">
        <v>8</v>
      </c>
      <c r="B59" s="45" t="s">
        <v>101</v>
      </c>
      <c r="C59" s="129" t="s">
        <v>395</v>
      </c>
      <c r="D59" s="24" t="s">
        <v>16</v>
      </c>
      <c r="E59" s="24" t="s">
        <v>99</v>
      </c>
      <c r="F59" s="41" t="s">
        <v>198</v>
      </c>
      <c r="G59" s="26"/>
      <c r="H59" s="27">
        <v>299000</v>
      </c>
      <c r="I59" s="27">
        <v>0</v>
      </c>
      <c r="J59" s="26">
        <v>30000</v>
      </c>
      <c r="K59" s="83">
        <f t="shared" si="2"/>
        <v>329000</v>
      </c>
    </row>
    <row r="60" spans="1:11" s="123" customFormat="1" x14ac:dyDescent="0.25">
      <c r="A60" s="86">
        <v>9</v>
      </c>
      <c r="B60" s="45" t="s">
        <v>220</v>
      </c>
      <c r="C60" s="69" t="s">
        <v>392</v>
      </c>
      <c r="D60" s="24" t="s">
        <v>99</v>
      </c>
      <c r="E60" s="24" t="s">
        <v>99</v>
      </c>
      <c r="F60" s="41" t="s">
        <v>198</v>
      </c>
      <c r="G60" s="26"/>
      <c r="H60" s="27">
        <v>138000</v>
      </c>
      <c r="I60" s="27">
        <v>138000</v>
      </c>
      <c r="J60" s="26">
        <v>32200</v>
      </c>
      <c r="K60" s="83">
        <f t="shared" si="2"/>
        <v>308200</v>
      </c>
    </row>
    <row r="61" spans="1:11" s="123" customFormat="1" x14ac:dyDescent="0.25">
      <c r="A61" s="86">
        <v>10</v>
      </c>
      <c r="B61" s="45" t="s">
        <v>221</v>
      </c>
      <c r="C61" s="69" t="s">
        <v>393</v>
      </c>
      <c r="D61" s="24" t="s">
        <v>99</v>
      </c>
      <c r="E61" s="24" t="s">
        <v>99</v>
      </c>
      <c r="F61" s="41" t="s">
        <v>198</v>
      </c>
      <c r="G61" s="26"/>
      <c r="H61" s="27">
        <v>386000</v>
      </c>
      <c r="I61" s="27">
        <v>0</v>
      </c>
      <c r="J61" s="26">
        <v>145000</v>
      </c>
      <c r="K61" s="83">
        <f t="shared" si="2"/>
        <v>531000</v>
      </c>
    </row>
    <row r="62" spans="1:11" s="123" customFormat="1" x14ac:dyDescent="0.25">
      <c r="A62" s="86">
        <v>11</v>
      </c>
      <c r="B62" s="45" t="s">
        <v>222</v>
      </c>
      <c r="C62" s="69" t="s">
        <v>396</v>
      </c>
      <c r="D62" s="24" t="s">
        <v>16</v>
      </c>
      <c r="E62" s="24" t="s">
        <v>99</v>
      </c>
      <c r="F62" s="41" t="s">
        <v>198</v>
      </c>
      <c r="G62" s="26"/>
      <c r="H62" s="27">
        <v>219700</v>
      </c>
      <c r="I62" s="27">
        <v>89700</v>
      </c>
      <c r="J62" s="26">
        <v>170200</v>
      </c>
      <c r="K62" s="83">
        <f t="shared" si="2"/>
        <v>479600</v>
      </c>
    </row>
    <row r="63" spans="1:11" s="123" customFormat="1" x14ac:dyDescent="0.25">
      <c r="A63" s="86">
        <v>12</v>
      </c>
      <c r="B63" s="24" t="s">
        <v>125</v>
      </c>
      <c r="C63" s="69" t="s">
        <v>391</v>
      </c>
      <c r="D63" s="24" t="s">
        <v>99</v>
      </c>
      <c r="E63" s="24" t="s">
        <v>99</v>
      </c>
      <c r="F63" s="41" t="s">
        <v>75</v>
      </c>
      <c r="G63" s="26"/>
      <c r="H63" s="27">
        <v>46000</v>
      </c>
      <c r="I63" s="27">
        <v>0</v>
      </c>
      <c r="J63" s="26">
        <v>0</v>
      </c>
      <c r="K63" s="83">
        <f t="shared" si="2"/>
        <v>46000</v>
      </c>
    </row>
    <row r="64" spans="1:11" s="123" customFormat="1" x14ac:dyDescent="0.25">
      <c r="A64" s="86">
        <v>13</v>
      </c>
      <c r="B64" s="45" t="s">
        <v>97</v>
      </c>
      <c r="C64" s="129" t="s">
        <v>377</v>
      </c>
      <c r="D64" s="24" t="s">
        <v>6</v>
      </c>
      <c r="E64" s="24" t="s">
        <v>99</v>
      </c>
      <c r="F64" s="41" t="s">
        <v>198</v>
      </c>
      <c r="G64" s="26"/>
      <c r="H64" s="27">
        <v>412000</v>
      </c>
      <c r="I64" s="27">
        <v>0</v>
      </c>
      <c r="J64" s="26">
        <v>293500</v>
      </c>
      <c r="K64" s="83">
        <f t="shared" si="2"/>
        <v>705500</v>
      </c>
    </row>
    <row r="65" spans="1:11" s="123" customFormat="1" x14ac:dyDescent="0.25">
      <c r="A65" s="86">
        <v>14</v>
      </c>
      <c r="B65" s="24" t="s">
        <v>223</v>
      </c>
      <c r="C65" s="69" t="s">
        <v>391</v>
      </c>
      <c r="D65" s="24" t="s">
        <v>99</v>
      </c>
      <c r="E65" s="24" t="s">
        <v>99</v>
      </c>
      <c r="F65" s="41" t="s">
        <v>75</v>
      </c>
      <c r="G65" s="26"/>
      <c r="H65" s="27">
        <v>110400</v>
      </c>
      <c r="I65" s="27">
        <v>0</v>
      </c>
      <c r="J65" s="26">
        <v>188600</v>
      </c>
      <c r="K65" s="83">
        <f t="shared" si="2"/>
        <v>299000</v>
      </c>
    </row>
    <row r="66" spans="1:11" s="123" customFormat="1" x14ac:dyDescent="0.25">
      <c r="A66" s="86">
        <v>15</v>
      </c>
      <c r="B66" s="24" t="s">
        <v>195</v>
      </c>
      <c r="C66" s="69" t="s">
        <v>380</v>
      </c>
      <c r="D66" s="24" t="s">
        <v>16</v>
      </c>
      <c r="E66" s="24" t="s">
        <v>99</v>
      </c>
      <c r="F66" s="41" t="s">
        <v>96</v>
      </c>
      <c r="G66" s="26"/>
      <c r="H66" s="27">
        <v>165600</v>
      </c>
      <c r="I66" s="27">
        <v>0</v>
      </c>
      <c r="J66" s="26">
        <v>0</v>
      </c>
      <c r="K66" s="83">
        <f t="shared" si="2"/>
        <v>165600</v>
      </c>
    </row>
    <row r="67" spans="1:11" s="123" customFormat="1" x14ac:dyDescent="0.25">
      <c r="A67" s="86">
        <v>16</v>
      </c>
      <c r="B67" s="45" t="s">
        <v>224</v>
      </c>
      <c r="C67" s="69" t="s">
        <v>374</v>
      </c>
      <c r="D67" s="24" t="s">
        <v>6</v>
      </c>
      <c r="E67" s="24" t="s">
        <v>99</v>
      </c>
      <c r="F67" s="41" t="s">
        <v>198</v>
      </c>
      <c r="G67" s="26"/>
      <c r="H67" s="27">
        <v>639400</v>
      </c>
      <c r="I67" s="27">
        <v>0</v>
      </c>
      <c r="J67" s="26">
        <v>110000</v>
      </c>
      <c r="K67" s="83">
        <f t="shared" si="2"/>
        <v>749400</v>
      </c>
    </row>
    <row r="68" spans="1:11" s="123" customFormat="1" x14ac:dyDescent="0.25">
      <c r="A68" s="86">
        <v>17</v>
      </c>
      <c r="B68" s="143" t="s">
        <v>578</v>
      </c>
      <c r="C68" s="178" t="s">
        <v>617</v>
      </c>
      <c r="D68" s="143" t="s">
        <v>99</v>
      </c>
      <c r="E68" s="143" t="s">
        <v>99</v>
      </c>
      <c r="F68" s="41" t="s">
        <v>75</v>
      </c>
      <c r="G68" s="26"/>
      <c r="H68" s="27"/>
      <c r="I68" s="27">
        <v>165600</v>
      </c>
      <c r="J68" s="26">
        <v>0</v>
      </c>
      <c r="K68" s="83">
        <f t="shared" si="2"/>
        <v>165600</v>
      </c>
    </row>
    <row r="69" spans="1:11" s="123" customFormat="1" x14ac:dyDescent="0.25">
      <c r="A69" s="86">
        <v>18</v>
      </c>
      <c r="B69" s="143" t="s">
        <v>579</v>
      </c>
      <c r="C69" s="177" t="s">
        <v>616</v>
      </c>
      <c r="D69" s="143" t="s">
        <v>99</v>
      </c>
      <c r="E69" s="143" t="s">
        <v>99</v>
      </c>
      <c r="F69" s="41" t="s">
        <v>75</v>
      </c>
      <c r="G69" s="26"/>
      <c r="H69" s="27"/>
      <c r="I69" s="27">
        <v>110400</v>
      </c>
      <c r="J69" s="26">
        <v>110400</v>
      </c>
      <c r="K69" s="83">
        <f t="shared" si="2"/>
        <v>220800</v>
      </c>
    </row>
    <row r="70" spans="1:11" s="123" customFormat="1" x14ac:dyDescent="0.25">
      <c r="A70" s="86">
        <v>19</v>
      </c>
      <c r="B70" s="176" t="s">
        <v>100</v>
      </c>
      <c r="C70" s="177" t="s">
        <v>389</v>
      </c>
      <c r="D70" s="143" t="s">
        <v>5</v>
      </c>
      <c r="E70" s="143" t="s">
        <v>99</v>
      </c>
      <c r="F70" s="41" t="s">
        <v>198</v>
      </c>
      <c r="G70" s="26"/>
      <c r="H70" s="27"/>
      <c r="I70" s="27">
        <v>46000</v>
      </c>
      <c r="J70" s="26">
        <v>0</v>
      </c>
      <c r="K70" s="83">
        <f t="shared" si="2"/>
        <v>46000</v>
      </c>
    </row>
    <row r="71" spans="1:11" s="123" customFormat="1" x14ac:dyDescent="0.25">
      <c r="A71" s="86">
        <v>20</v>
      </c>
      <c r="B71" s="176" t="s">
        <v>580</v>
      </c>
      <c r="C71" s="178" t="s">
        <v>615</v>
      </c>
      <c r="D71" s="143" t="s">
        <v>99</v>
      </c>
      <c r="E71" s="143" t="s">
        <v>99</v>
      </c>
      <c r="F71" s="41" t="s">
        <v>198</v>
      </c>
      <c r="G71" s="26"/>
      <c r="H71" s="27"/>
      <c r="I71" s="27">
        <v>105800</v>
      </c>
      <c r="J71" s="26">
        <v>77500</v>
      </c>
      <c r="K71" s="83">
        <f t="shared" si="2"/>
        <v>183300</v>
      </c>
    </row>
    <row r="72" spans="1:11" s="123" customFormat="1" x14ac:dyDescent="0.25">
      <c r="A72" s="86">
        <v>21</v>
      </c>
      <c r="B72" s="176" t="s">
        <v>581</v>
      </c>
      <c r="C72" s="177" t="s">
        <v>374</v>
      </c>
      <c r="D72" s="143" t="s">
        <v>6</v>
      </c>
      <c r="E72" s="143" t="s">
        <v>99</v>
      </c>
      <c r="F72" s="41" t="s">
        <v>198</v>
      </c>
      <c r="G72" s="26"/>
      <c r="H72" s="27"/>
      <c r="I72" s="27">
        <v>67500</v>
      </c>
      <c r="J72" s="26">
        <v>0</v>
      </c>
      <c r="K72" s="83">
        <f t="shared" si="2"/>
        <v>67500</v>
      </c>
    </row>
    <row r="73" spans="1:11" s="123" customFormat="1" x14ac:dyDescent="0.25">
      <c r="A73" s="86">
        <v>22</v>
      </c>
      <c r="B73" s="176" t="s">
        <v>696</v>
      </c>
      <c r="C73" s="143"/>
      <c r="D73" s="143" t="s">
        <v>99</v>
      </c>
      <c r="E73" s="143" t="s">
        <v>99</v>
      </c>
      <c r="F73" s="41" t="s">
        <v>198</v>
      </c>
      <c r="G73" s="26"/>
      <c r="H73" s="27"/>
      <c r="I73" s="27"/>
      <c r="J73" s="26">
        <v>660000</v>
      </c>
      <c r="K73" s="83">
        <f t="shared" si="2"/>
        <v>660000</v>
      </c>
    </row>
    <row r="74" spans="1:11" s="123" customFormat="1" x14ac:dyDescent="0.25">
      <c r="A74" s="86">
        <v>23</v>
      </c>
      <c r="B74" s="176" t="s">
        <v>209</v>
      </c>
      <c r="C74" s="143"/>
      <c r="D74" s="143" t="s">
        <v>6</v>
      </c>
      <c r="E74" s="143" t="s">
        <v>158</v>
      </c>
      <c r="F74" s="41" t="s">
        <v>198</v>
      </c>
      <c r="G74" s="26"/>
      <c r="H74" s="27"/>
      <c r="I74" s="27"/>
      <c r="J74" s="26">
        <v>110400</v>
      </c>
      <c r="K74" s="83">
        <f t="shared" si="2"/>
        <v>110400</v>
      </c>
    </row>
    <row r="75" spans="1:11" s="123" customFormat="1" x14ac:dyDescent="0.25">
      <c r="A75" s="86">
        <v>24</v>
      </c>
      <c r="B75" s="176" t="s">
        <v>222</v>
      </c>
      <c r="C75" s="177"/>
      <c r="D75" s="143" t="s">
        <v>16</v>
      </c>
      <c r="E75" s="143" t="s">
        <v>158</v>
      </c>
      <c r="F75" s="41" t="s">
        <v>198</v>
      </c>
      <c r="G75" s="26"/>
      <c r="H75" s="27"/>
      <c r="I75" s="27"/>
      <c r="J75" s="26">
        <v>90000</v>
      </c>
      <c r="K75" s="83">
        <f t="shared" si="2"/>
        <v>90000</v>
      </c>
    </row>
    <row r="76" spans="1:11" s="123" customFormat="1" ht="15.75" thickBot="1" x14ac:dyDescent="0.3">
      <c r="A76" s="86">
        <v>25</v>
      </c>
      <c r="B76" s="176" t="s">
        <v>697</v>
      </c>
      <c r="C76" s="177"/>
      <c r="D76" s="143" t="s">
        <v>6</v>
      </c>
      <c r="E76" s="143" t="s">
        <v>99</v>
      </c>
      <c r="F76" s="41" t="s">
        <v>198</v>
      </c>
      <c r="G76" s="26"/>
      <c r="H76" s="27"/>
      <c r="I76" s="27"/>
      <c r="J76" s="26">
        <v>220000</v>
      </c>
      <c r="K76" s="83">
        <f t="shared" si="2"/>
        <v>220000</v>
      </c>
    </row>
    <row r="77" spans="1:11" s="5" customFormat="1" x14ac:dyDescent="0.25">
      <c r="A77" s="225" t="s">
        <v>3</v>
      </c>
      <c r="B77" s="226"/>
      <c r="C77" s="226"/>
      <c r="D77" s="226"/>
      <c r="E77" s="226"/>
      <c r="F77" s="226"/>
      <c r="G77" s="50">
        <f>SUM(G52:G76)</f>
        <v>900900</v>
      </c>
      <c r="H77" s="28">
        <f>SUM(H52:H76)</f>
        <v>3797500</v>
      </c>
      <c r="I77" s="28">
        <f>SUM(I52:I76)</f>
        <v>801200</v>
      </c>
      <c r="J77" s="28">
        <f>SUM(J52:J76)</f>
        <v>3893700</v>
      </c>
      <c r="K77" s="84">
        <f t="shared" si="2"/>
        <v>9393300</v>
      </c>
    </row>
    <row r="78" spans="1:11" s="5" customFormat="1" x14ac:dyDescent="0.25">
      <c r="A78" s="216" t="s">
        <v>52</v>
      </c>
      <c r="B78" s="217"/>
      <c r="C78" s="217"/>
      <c r="D78" s="217"/>
      <c r="E78" s="217"/>
      <c r="F78" s="217"/>
      <c r="G78" s="217"/>
      <c r="H78" s="217"/>
      <c r="I78" s="217"/>
      <c r="J78" s="217"/>
      <c r="K78" s="218"/>
    </row>
    <row r="79" spans="1:11" s="5" customFormat="1" x14ac:dyDescent="0.25">
      <c r="A79" s="86">
        <v>1</v>
      </c>
      <c r="B79" s="45" t="s">
        <v>225</v>
      </c>
      <c r="C79" s="69" t="s">
        <v>397</v>
      </c>
      <c r="D79" s="41" t="s">
        <v>226</v>
      </c>
      <c r="E79" s="24" t="s">
        <v>105</v>
      </c>
      <c r="F79" s="10" t="s">
        <v>198</v>
      </c>
      <c r="G79" s="26">
        <v>165000</v>
      </c>
      <c r="H79" s="27">
        <v>0</v>
      </c>
      <c r="I79" s="27">
        <v>0</v>
      </c>
      <c r="J79" s="27">
        <v>188600</v>
      </c>
      <c r="K79" s="83">
        <f>SUM(G79:J79)</f>
        <v>353600</v>
      </c>
    </row>
    <row r="80" spans="1:11" s="5" customFormat="1" x14ac:dyDescent="0.25">
      <c r="A80" s="86">
        <v>2</v>
      </c>
      <c r="B80" s="45" t="s">
        <v>100</v>
      </c>
      <c r="C80" s="69" t="s">
        <v>389</v>
      </c>
      <c r="D80" s="41" t="s">
        <v>5</v>
      </c>
      <c r="E80" s="24" t="s">
        <v>105</v>
      </c>
      <c r="F80" s="10" t="s">
        <v>198</v>
      </c>
      <c r="G80" s="26">
        <v>270000</v>
      </c>
      <c r="H80" s="27">
        <v>181700</v>
      </c>
      <c r="I80" s="27">
        <v>55200</v>
      </c>
      <c r="J80" s="27">
        <v>90000</v>
      </c>
      <c r="K80" s="83">
        <f t="shared" ref="K80:K87" si="3">SUM(G80:J80)</f>
        <v>596900</v>
      </c>
    </row>
    <row r="81" spans="1:11" s="5" customFormat="1" x14ac:dyDescent="0.25">
      <c r="A81" s="86">
        <v>3</v>
      </c>
      <c r="B81" s="45" t="s">
        <v>227</v>
      </c>
      <c r="C81" s="69" t="s">
        <v>398</v>
      </c>
      <c r="D81" s="41" t="s">
        <v>99</v>
      </c>
      <c r="E81" s="24" t="s">
        <v>105</v>
      </c>
      <c r="F81" s="10" t="s">
        <v>198</v>
      </c>
      <c r="G81" s="26">
        <v>386400</v>
      </c>
      <c r="H81" s="27">
        <v>1081000</v>
      </c>
      <c r="I81" s="27">
        <v>0</v>
      </c>
      <c r="J81" s="27">
        <v>1411800</v>
      </c>
      <c r="K81" s="83">
        <f t="shared" si="3"/>
        <v>2879200</v>
      </c>
    </row>
    <row r="82" spans="1:11" s="5" customFormat="1" x14ac:dyDescent="0.25">
      <c r="A82" s="86">
        <v>4</v>
      </c>
      <c r="B82" s="45" t="s">
        <v>205</v>
      </c>
      <c r="C82" s="69" t="s">
        <v>398</v>
      </c>
      <c r="D82" s="41" t="s">
        <v>99</v>
      </c>
      <c r="E82" s="24" t="s">
        <v>105</v>
      </c>
      <c r="F82" s="10" t="s">
        <v>198</v>
      </c>
      <c r="G82" s="26"/>
      <c r="H82" s="27">
        <v>347300</v>
      </c>
      <c r="I82" s="27">
        <v>89700</v>
      </c>
      <c r="J82" s="27">
        <v>27600</v>
      </c>
      <c r="K82" s="83">
        <f t="shared" si="3"/>
        <v>464600</v>
      </c>
    </row>
    <row r="83" spans="1:11" s="5" customFormat="1" x14ac:dyDescent="0.25">
      <c r="A83" s="86">
        <v>5</v>
      </c>
      <c r="B83" s="45" t="s">
        <v>228</v>
      </c>
      <c r="C83" s="69" t="s">
        <v>389</v>
      </c>
      <c r="D83" s="41" t="s">
        <v>5</v>
      </c>
      <c r="E83" s="24" t="s">
        <v>105</v>
      </c>
      <c r="F83" s="10" t="s">
        <v>198</v>
      </c>
      <c r="G83" s="26"/>
      <c r="H83" s="27">
        <v>748800</v>
      </c>
      <c r="I83" s="27">
        <v>0</v>
      </c>
      <c r="J83" s="27">
        <v>550000</v>
      </c>
      <c r="K83" s="83">
        <f t="shared" si="3"/>
        <v>1298800</v>
      </c>
    </row>
    <row r="84" spans="1:11" s="123" customFormat="1" x14ac:dyDescent="0.25">
      <c r="A84" s="86">
        <v>6</v>
      </c>
      <c r="B84" s="45" t="s">
        <v>97</v>
      </c>
      <c r="C84" s="129" t="s">
        <v>377</v>
      </c>
      <c r="D84" s="41" t="s">
        <v>6</v>
      </c>
      <c r="E84" s="24" t="s">
        <v>105</v>
      </c>
      <c r="F84" s="10" t="s">
        <v>198</v>
      </c>
      <c r="G84" s="26"/>
      <c r="H84" s="27">
        <v>192000</v>
      </c>
      <c r="I84" s="27">
        <v>100000</v>
      </c>
      <c r="J84" s="27">
        <v>588000</v>
      </c>
      <c r="K84" s="83">
        <f t="shared" si="3"/>
        <v>880000</v>
      </c>
    </row>
    <row r="85" spans="1:11" s="123" customFormat="1" x14ac:dyDescent="0.25">
      <c r="A85" s="86">
        <v>7</v>
      </c>
      <c r="B85" s="176" t="s">
        <v>456</v>
      </c>
      <c r="C85" s="177" t="s">
        <v>483</v>
      </c>
      <c r="D85" s="41" t="s">
        <v>445</v>
      </c>
      <c r="E85" s="143" t="s">
        <v>105</v>
      </c>
      <c r="F85" s="10" t="s">
        <v>198</v>
      </c>
      <c r="G85" s="26"/>
      <c r="H85" s="27"/>
      <c r="I85" s="27">
        <v>216200</v>
      </c>
      <c r="J85" s="27">
        <v>0</v>
      </c>
      <c r="K85" s="83">
        <f t="shared" si="3"/>
        <v>216200</v>
      </c>
    </row>
    <row r="86" spans="1:11" s="123" customFormat="1" x14ac:dyDescent="0.25">
      <c r="A86" s="86">
        <v>8</v>
      </c>
      <c r="B86" s="143" t="s">
        <v>195</v>
      </c>
      <c r="C86" s="177"/>
      <c r="D86" s="41" t="s">
        <v>16</v>
      </c>
      <c r="E86" s="143" t="s">
        <v>105</v>
      </c>
      <c r="F86" s="10" t="s">
        <v>96</v>
      </c>
      <c r="G86" s="26"/>
      <c r="H86" s="27"/>
      <c r="I86" s="27"/>
      <c r="J86" s="27">
        <v>200100</v>
      </c>
      <c r="K86" s="83">
        <f t="shared" si="3"/>
        <v>200100</v>
      </c>
    </row>
    <row r="87" spans="1:11" s="123" customFormat="1" ht="15.75" thickBot="1" x14ac:dyDescent="0.3">
      <c r="A87" s="86">
        <v>9</v>
      </c>
      <c r="B87" s="143" t="s">
        <v>115</v>
      </c>
      <c r="C87" s="177"/>
      <c r="D87" s="41" t="s">
        <v>105</v>
      </c>
      <c r="E87" s="143" t="s">
        <v>105</v>
      </c>
      <c r="F87" s="10" t="s">
        <v>75</v>
      </c>
      <c r="G87" s="26"/>
      <c r="H87" s="27"/>
      <c r="I87" s="27"/>
      <c r="J87" s="27">
        <v>200000</v>
      </c>
      <c r="K87" s="83">
        <f t="shared" si="3"/>
        <v>200000</v>
      </c>
    </row>
    <row r="88" spans="1:11" x14ac:dyDescent="0.25">
      <c r="A88" s="225" t="s">
        <v>3</v>
      </c>
      <c r="B88" s="226"/>
      <c r="C88" s="226"/>
      <c r="D88" s="226"/>
      <c r="E88" s="226"/>
      <c r="F88" s="226"/>
      <c r="G88" s="28">
        <f>SUM(G79:G87)</f>
        <v>821400</v>
      </c>
      <c r="H88" s="28">
        <f>SUM(H79:H87)</f>
        <v>2550800</v>
      </c>
      <c r="I88" s="28">
        <f>SUM(I79:I87)</f>
        <v>461100</v>
      </c>
      <c r="J88" s="28">
        <f>SUM(J79:J87)</f>
        <v>3256100</v>
      </c>
      <c r="K88" s="84">
        <f>SUM(G88:J88)</f>
        <v>7089400</v>
      </c>
    </row>
    <row r="89" spans="1:11" x14ac:dyDescent="0.25">
      <c r="A89" s="219" t="s">
        <v>7</v>
      </c>
      <c r="B89" s="220"/>
      <c r="C89" s="220"/>
      <c r="D89" s="220"/>
      <c r="E89" s="220"/>
      <c r="F89" s="220"/>
      <c r="G89" s="220"/>
      <c r="H89" s="220"/>
      <c r="I89" s="220"/>
      <c r="J89" s="220"/>
      <c r="K89" s="221"/>
    </row>
    <row r="90" spans="1:11" x14ac:dyDescent="0.25">
      <c r="A90" s="86">
        <v>1</v>
      </c>
      <c r="B90" s="24" t="s">
        <v>229</v>
      </c>
      <c r="C90" s="69" t="s">
        <v>400</v>
      </c>
      <c r="D90" s="24" t="s">
        <v>106</v>
      </c>
      <c r="E90" s="24" t="s">
        <v>106</v>
      </c>
      <c r="F90" s="9" t="s">
        <v>75</v>
      </c>
      <c r="G90" s="48">
        <v>110000</v>
      </c>
      <c r="H90" s="49">
        <v>0</v>
      </c>
      <c r="I90" s="49">
        <v>0</v>
      </c>
      <c r="J90" s="49">
        <v>0</v>
      </c>
      <c r="K90" s="91">
        <f>SUM(G90:J90)</f>
        <v>110000</v>
      </c>
    </row>
    <row r="91" spans="1:11" s="2" customFormat="1" x14ac:dyDescent="0.25">
      <c r="A91" s="86">
        <v>2</v>
      </c>
      <c r="B91" s="45" t="s">
        <v>107</v>
      </c>
      <c r="C91" s="69" t="s">
        <v>401</v>
      </c>
      <c r="D91" s="24" t="s">
        <v>99</v>
      </c>
      <c r="E91" s="24" t="s">
        <v>106</v>
      </c>
      <c r="F91" s="9" t="s">
        <v>198</v>
      </c>
      <c r="G91" s="26">
        <v>220800</v>
      </c>
      <c r="H91" s="27">
        <v>170200</v>
      </c>
      <c r="I91" s="27">
        <v>0</v>
      </c>
      <c r="J91" s="27">
        <v>496800</v>
      </c>
      <c r="K91" s="91">
        <f t="shared" ref="K91:K102" si="4">SUM(G91:J91)</f>
        <v>887800</v>
      </c>
    </row>
    <row r="92" spans="1:11" s="2" customFormat="1" x14ac:dyDescent="0.25">
      <c r="A92" s="86">
        <v>3</v>
      </c>
      <c r="B92" s="45" t="s">
        <v>230</v>
      </c>
      <c r="C92" s="69" t="s">
        <v>401</v>
      </c>
      <c r="D92" s="24" t="s">
        <v>99</v>
      </c>
      <c r="E92" s="24" t="s">
        <v>106</v>
      </c>
      <c r="F92" s="9" t="s">
        <v>198</v>
      </c>
      <c r="G92" s="26">
        <v>1101700</v>
      </c>
      <c r="H92" s="27">
        <v>0</v>
      </c>
      <c r="I92" s="27">
        <v>0</v>
      </c>
      <c r="J92" s="27">
        <v>715000</v>
      </c>
      <c r="K92" s="91">
        <f t="shared" si="4"/>
        <v>1816700</v>
      </c>
    </row>
    <row r="93" spans="1:11" s="5" customFormat="1" x14ac:dyDescent="0.25">
      <c r="A93" s="86">
        <v>4</v>
      </c>
      <c r="B93" s="45" t="s">
        <v>108</v>
      </c>
      <c r="C93" s="69" t="s">
        <v>402</v>
      </c>
      <c r="D93" s="24" t="s">
        <v>106</v>
      </c>
      <c r="E93" s="24" t="s">
        <v>106</v>
      </c>
      <c r="F93" s="9" t="s">
        <v>198</v>
      </c>
      <c r="G93" s="26">
        <v>715300</v>
      </c>
      <c r="H93" s="27">
        <v>1009600</v>
      </c>
      <c r="I93" s="27">
        <v>0</v>
      </c>
      <c r="J93" s="27">
        <v>397900</v>
      </c>
      <c r="K93" s="91">
        <f t="shared" si="4"/>
        <v>2122800</v>
      </c>
    </row>
    <row r="94" spans="1:11" s="123" customFormat="1" x14ac:dyDescent="0.25">
      <c r="A94" s="86">
        <v>5</v>
      </c>
      <c r="B94" s="45" t="s">
        <v>231</v>
      </c>
      <c r="C94" s="69" t="s">
        <v>401</v>
      </c>
      <c r="D94" s="24" t="s">
        <v>99</v>
      </c>
      <c r="E94" s="24" t="s">
        <v>106</v>
      </c>
      <c r="F94" s="9" t="s">
        <v>198</v>
      </c>
      <c r="G94" s="26"/>
      <c r="H94" s="27">
        <v>46000</v>
      </c>
      <c r="I94" s="27">
        <v>374900</v>
      </c>
      <c r="J94" s="27">
        <v>0</v>
      </c>
      <c r="K94" s="91">
        <f t="shared" si="4"/>
        <v>420900</v>
      </c>
    </row>
    <row r="95" spans="1:11" s="123" customFormat="1" x14ac:dyDescent="0.25">
      <c r="A95" s="86">
        <v>6</v>
      </c>
      <c r="B95" s="45" t="s">
        <v>232</v>
      </c>
      <c r="C95" s="69" t="s">
        <v>401</v>
      </c>
      <c r="D95" s="24" t="s">
        <v>99</v>
      </c>
      <c r="E95" s="24" t="s">
        <v>106</v>
      </c>
      <c r="F95" s="9" t="s">
        <v>198</v>
      </c>
      <c r="G95" s="26"/>
      <c r="H95" s="27">
        <v>78200</v>
      </c>
      <c r="I95" s="27">
        <v>0</v>
      </c>
      <c r="J95" s="27">
        <v>0</v>
      </c>
      <c r="K95" s="91">
        <f t="shared" si="4"/>
        <v>78200</v>
      </c>
    </row>
    <row r="96" spans="1:11" s="123" customFormat="1" x14ac:dyDescent="0.25">
      <c r="A96" s="86">
        <v>7</v>
      </c>
      <c r="B96" s="45" t="s">
        <v>111</v>
      </c>
      <c r="C96" s="69" t="s">
        <v>399</v>
      </c>
      <c r="D96" s="24" t="s">
        <v>5</v>
      </c>
      <c r="E96" s="24" t="s">
        <v>106</v>
      </c>
      <c r="F96" s="9" t="s">
        <v>198</v>
      </c>
      <c r="G96" s="26"/>
      <c r="H96" s="27">
        <v>71300</v>
      </c>
      <c r="I96" s="27">
        <v>0</v>
      </c>
      <c r="J96" s="27">
        <v>0</v>
      </c>
      <c r="K96" s="91">
        <f t="shared" si="4"/>
        <v>71300</v>
      </c>
    </row>
    <row r="97" spans="1:11" s="5" customFormat="1" x14ac:dyDescent="0.25">
      <c r="A97" s="86">
        <v>8</v>
      </c>
      <c r="B97" s="45" t="s">
        <v>233</v>
      </c>
      <c r="C97" s="69" t="s">
        <v>401</v>
      </c>
      <c r="D97" s="24" t="s">
        <v>99</v>
      </c>
      <c r="E97" s="24" t="s">
        <v>106</v>
      </c>
      <c r="F97" s="9" t="s">
        <v>198</v>
      </c>
      <c r="G97" s="26"/>
      <c r="H97" s="27">
        <v>121900</v>
      </c>
      <c r="I97" s="27">
        <v>0</v>
      </c>
      <c r="J97" s="27">
        <v>133400</v>
      </c>
      <c r="K97" s="91">
        <f t="shared" si="4"/>
        <v>255300</v>
      </c>
    </row>
    <row r="98" spans="1:11" s="123" customFormat="1" x14ac:dyDescent="0.25">
      <c r="A98" s="86">
        <v>9</v>
      </c>
      <c r="B98" s="143" t="s">
        <v>343</v>
      </c>
      <c r="C98" s="177" t="s">
        <v>606</v>
      </c>
      <c r="D98" s="143" t="s">
        <v>106</v>
      </c>
      <c r="E98" s="143" t="s">
        <v>106</v>
      </c>
      <c r="F98" s="142" t="s">
        <v>75</v>
      </c>
      <c r="G98" s="26"/>
      <c r="H98" s="27"/>
      <c r="I98" s="27">
        <v>330000</v>
      </c>
      <c r="J98" s="27">
        <v>0</v>
      </c>
      <c r="K98" s="91">
        <f t="shared" si="4"/>
        <v>330000</v>
      </c>
    </row>
    <row r="99" spans="1:11" s="123" customFormat="1" x14ac:dyDescent="0.25">
      <c r="A99" s="86">
        <v>10</v>
      </c>
      <c r="B99" s="176" t="s">
        <v>582</v>
      </c>
      <c r="C99" s="178" t="s">
        <v>618</v>
      </c>
      <c r="D99" s="143" t="s">
        <v>106</v>
      </c>
      <c r="E99" s="143" t="s">
        <v>106</v>
      </c>
      <c r="F99" s="142" t="s">
        <v>198</v>
      </c>
      <c r="G99" s="26"/>
      <c r="H99" s="27"/>
      <c r="I99" s="27">
        <v>552000</v>
      </c>
      <c r="J99" s="27">
        <v>0</v>
      </c>
      <c r="K99" s="91">
        <f t="shared" si="4"/>
        <v>552000</v>
      </c>
    </row>
    <row r="100" spans="1:11" s="123" customFormat="1" x14ac:dyDescent="0.25">
      <c r="A100" s="86">
        <v>11</v>
      </c>
      <c r="B100" s="143" t="s">
        <v>698</v>
      </c>
      <c r="C100" s="177"/>
      <c r="D100" s="143" t="s">
        <v>106</v>
      </c>
      <c r="E100" s="143" t="s">
        <v>106</v>
      </c>
      <c r="F100" s="142" t="s">
        <v>75</v>
      </c>
      <c r="G100" s="26"/>
      <c r="H100" s="27"/>
      <c r="I100" s="27"/>
      <c r="J100" s="27">
        <v>165600</v>
      </c>
      <c r="K100" s="91">
        <f t="shared" si="4"/>
        <v>165600</v>
      </c>
    </row>
    <row r="101" spans="1:11" s="123" customFormat="1" x14ac:dyDescent="0.25">
      <c r="A101" s="86">
        <v>12</v>
      </c>
      <c r="B101" s="176" t="s">
        <v>699</v>
      </c>
      <c r="C101" s="178"/>
      <c r="D101" s="143" t="s">
        <v>99</v>
      </c>
      <c r="E101" s="143" t="s">
        <v>106</v>
      </c>
      <c r="F101" s="142" t="s">
        <v>198</v>
      </c>
      <c r="G101" s="26"/>
      <c r="H101" s="27"/>
      <c r="I101" s="27"/>
      <c r="J101" s="27">
        <v>165600</v>
      </c>
      <c r="K101" s="91">
        <f t="shared" si="4"/>
        <v>165600</v>
      </c>
    </row>
    <row r="102" spans="1:11" s="5" customFormat="1" ht="15.75" thickBot="1" x14ac:dyDescent="0.3">
      <c r="A102" s="86">
        <v>13</v>
      </c>
      <c r="B102" s="176" t="s">
        <v>236</v>
      </c>
      <c r="C102" s="176"/>
      <c r="D102" s="143" t="s">
        <v>99</v>
      </c>
      <c r="E102" s="143" t="s">
        <v>106</v>
      </c>
      <c r="F102" s="142" t="s">
        <v>198</v>
      </c>
      <c r="G102" s="26"/>
      <c r="H102" s="27"/>
      <c r="I102" s="27"/>
      <c r="J102" s="27">
        <v>331200</v>
      </c>
      <c r="K102" s="91">
        <f t="shared" si="4"/>
        <v>331200</v>
      </c>
    </row>
    <row r="103" spans="1:11" x14ac:dyDescent="0.25">
      <c r="A103" s="210" t="s">
        <v>8</v>
      </c>
      <c r="B103" s="211"/>
      <c r="C103" s="211"/>
      <c r="D103" s="211"/>
      <c r="E103" s="211"/>
      <c r="F103" s="212"/>
      <c r="G103" s="28">
        <f>SUM(G90:G102)</f>
        <v>2147800</v>
      </c>
      <c r="H103" s="28">
        <f>SUM(H90:H102)</f>
        <v>1497200</v>
      </c>
      <c r="I103" s="28">
        <f>SUM(I90:I102)</f>
        <v>1256900</v>
      </c>
      <c r="J103" s="28">
        <f>SUM(J90:J102)</f>
        <v>2405500</v>
      </c>
      <c r="K103" s="84">
        <f>SUM(G103:J103)</f>
        <v>7307400</v>
      </c>
    </row>
    <row r="104" spans="1:11" x14ac:dyDescent="0.25">
      <c r="A104" s="216" t="s">
        <v>26</v>
      </c>
      <c r="B104" s="217"/>
      <c r="C104" s="217"/>
      <c r="D104" s="217"/>
      <c r="E104" s="217"/>
      <c r="F104" s="217"/>
      <c r="G104" s="217"/>
      <c r="H104" s="217"/>
      <c r="I104" s="217"/>
      <c r="J104" s="217"/>
      <c r="K104" s="218"/>
    </row>
    <row r="105" spans="1:11" s="2" customFormat="1" x14ac:dyDescent="0.25">
      <c r="A105" s="92">
        <v>1</v>
      </c>
      <c r="B105" s="45" t="s">
        <v>234</v>
      </c>
      <c r="C105" s="69" t="s">
        <v>389</v>
      </c>
      <c r="D105" s="24" t="s">
        <v>5</v>
      </c>
      <c r="E105" s="24" t="s">
        <v>26</v>
      </c>
      <c r="F105" s="9" t="s">
        <v>198</v>
      </c>
      <c r="G105" s="26">
        <v>902000</v>
      </c>
      <c r="H105" s="27">
        <v>0</v>
      </c>
      <c r="I105" s="26">
        <v>0</v>
      </c>
      <c r="J105" s="27">
        <v>0</v>
      </c>
      <c r="K105" s="85">
        <f>SUM(G105:J105)</f>
        <v>902000</v>
      </c>
    </row>
    <row r="106" spans="1:11" s="123" customFormat="1" x14ac:dyDescent="0.25">
      <c r="A106" s="92">
        <v>2</v>
      </c>
      <c r="B106" s="45" t="s">
        <v>235</v>
      </c>
      <c r="C106" s="69" t="s">
        <v>401</v>
      </c>
      <c r="D106" s="24" t="s">
        <v>99</v>
      </c>
      <c r="E106" s="24" t="s">
        <v>26</v>
      </c>
      <c r="F106" s="9" t="s">
        <v>198</v>
      </c>
      <c r="G106" s="48">
        <v>220000</v>
      </c>
      <c r="H106" s="49">
        <v>243800</v>
      </c>
      <c r="I106" s="48">
        <v>770500</v>
      </c>
      <c r="J106" s="49">
        <v>706100</v>
      </c>
      <c r="K106" s="85">
        <f t="shared" ref="K106:K109" si="5">SUM(G106:J106)</f>
        <v>1940400</v>
      </c>
    </row>
    <row r="107" spans="1:11" s="123" customFormat="1" x14ac:dyDescent="0.25">
      <c r="A107" s="92">
        <v>3</v>
      </c>
      <c r="B107" s="45" t="s">
        <v>100</v>
      </c>
      <c r="C107" s="69" t="s">
        <v>389</v>
      </c>
      <c r="D107" s="24" t="s">
        <v>5</v>
      </c>
      <c r="E107" s="24" t="s">
        <v>26</v>
      </c>
      <c r="F107" s="9" t="s">
        <v>198</v>
      </c>
      <c r="G107" s="48"/>
      <c r="H107" s="49">
        <v>1650000</v>
      </c>
      <c r="I107" s="48"/>
      <c r="J107" s="49">
        <v>0</v>
      </c>
      <c r="K107" s="85">
        <f t="shared" si="5"/>
        <v>1650000</v>
      </c>
    </row>
    <row r="108" spans="1:11" s="123" customFormat="1" x14ac:dyDescent="0.25">
      <c r="A108" s="92">
        <v>4</v>
      </c>
      <c r="B108" s="45" t="s">
        <v>236</v>
      </c>
      <c r="C108" s="69" t="s">
        <v>401</v>
      </c>
      <c r="D108" s="24" t="s">
        <v>99</v>
      </c>
      <c r="E108" s="24" t="s">
        <v>26</v>
      </c>
      <c r="F108" s="9" t="s">
        <v>198</v>
      </c>
      <c r="G108" s="48"/>
      <c r="H108" s="49">
        <v>165600</v>
      </c>
      <c r="I108" s="48"/>
      <c r="J108" s="49">
        <v>0</v>
      </c>
      <c r="K108" s="85">
        <f t="shared" si="5"/>
        <v>165600</v>
      </c>
    </row>
    <row r="109" spans="1:11" s="123" customFormat="1" ht="15.75" thickBot="1" x14ac:dyDescent="0.3">
      <c r="A109" s="92">
        <v>5</v>
      </c>
      <c r="B109" s="176" t="s">
        <v>108</v>
      </c>
      <c r="C109" s="176"/>
      <c r="D109" s="143" t="s">
        <v>106</v>
      </c>
      <c r="E109" s="143" t="s">
        <v>26</v>
      </c>
      <c r="F109" s="142" t="s">
        <v>198</v>
      </c>
      <c r="G109" s="48"/>
      <c r="H109" s="49"/>
      <c r="I109" s="48"/>
      <c r="J109" s="49">
        <v>188600</v>
      </c>
      <c r="K109" s="85">
        <f t="shared" si="5"/>
        <v>188600</v>
      </c>
    </row>
    <row r="110" spans="1:11" s="5" customFormat="1" x14ac:dyDescent="0.25">
      <c r="A110" s="239" t="s">
        <v>3</v>
      </c>
      <c r="B110" s="240"/>
      <c r="C110" s="240"/>
      <c r="D110" s="240"/>
      <c r="E110" s="240"/>
      <c r="F110" s="240"/>
      <c r="G110" s="28">
        <f>SUM(G105:G109)</f>
        <v>1122000</v>
      </c>
      <c r="H110" s="28">
        <f>SUM(H105:H109)</f>
        <v>2059400</v>
      </c>
      <c r="I110" s="28">
        <f>SUM(I105:I109)</f>
        <v>770500</v>
      </c>
      <c r="J110" s="28">
        <f>SUM(J105:J109)</f>
        <v>894700</v>
      </c>
      <c r="K110" s="84">
        <f>SUM(G110:J110)</f>
        <v>4846600</v>
      </c>
    </row>
    <row r="111" spans="1:11" s="5" customFormat="1" x14ac:dyDescent="0.25">
      <c r="A111" s="213" t="s">
        <v>55</v>
      </c>
      <c r="B111" s="214"/>
      <c r="C111" s="214"/>
      <c r="D111" s="214"/>
      <c r="E111" s="214"/>
      <c r="F111" s="214"/>
      <c r="G111" s="214"/>
      <c r="H111" s="214"/>
      <c r="I111" s="214"/>
      <c r="J111" s="214"/>
      <c r="K111" s="215"/>
    </row>
    <row r="112" spans="1:11" s="5" customFormat="1" x14ac:dyDescent="0.25">
      <c r="A112" s="86">
        <v>1</v>
      </c>
      <c r="B112" s="24" t="s">
        <v>237</v>
      </c>
      <c r="C112" s="69" t="s">
        <v>405</v>
      </c>
      <c r="D112" s="24" t="s">
        <v>238</v>
      </c>
      <c r="E112" s="24" t="s">
        <v>238</v>
      </c>
      <c r="F112" s="9" t="s">
        <v>75</v>
      </c>
      <c r="G112" s="27">
        <v>275000</v>
      </c>
      <c r="H112" s="51">
        <v>0</v>
      </c>
      <c r="I112" s="51">
        <v>0</v>
      </c>
      <c r="J112" s="51">
        <v>0</v>
      </c>
      <c r="K112" s="83">
        <f>SUM(G112:J112)</f>
        <v>275000</v>
      </c>
    </row>
    <row r="113" spans="1:11" s="5" customFormat="1" x14ac:dyDescent="0.25">
      <c r="A113" s="86">
        <v>2</v>
      </c>
      <c r="B113" s="24" t="s">
        <v>239</v>
      </c>
      <c r="C113" s="69" t="s">
        <v>406</v>
      </c>
      <c r="D113" s="24" t="s">
        <v>25</v>
      </c>
      <c r="E113" s="24" t="s">
        <v>25</v>
      </c>
      <c r="F113" s="9" t="s">
        <v>75</v>
      </c>
      <c r="G113" s="49">
        <v>187500</v>
      </c>
      <c r="H113" s="106">
        <v>330000</v>
      </c>
      <c r="I113" s="106">
        <v>0</v>
      </c>
      <c r="J113" s="106">
        <v>0</v>
      </c>
      <c r="K113" s="83">
        <f t="shared" ref="K113:K131" si="6">SUM(G113:J113)</f>
        <v>517500</v>
      </c>
    </row>
    <row r="114" spans="1:11" s="5" customFormat="1" x14ac:dyDescent="0.25">
      <c r="A114" s="86">
        <v>3</v>
      </c>
      <c r="B114" s="24" t="s">
        <v>240</v>
      </c>
      <c r="C114" s="69" t="s">
        <v>403</v>
      </c>
      <c r="D114" s="24" t="s">
        <v>25</v>
      </c>
      <c r="E114" s="24" t="s">
        <v>25</v>
      </c>
      <c r="F114" s="9" t="s">
        <v>75</v>
      </c>
      <c r="G114" s="49">
        <v>1100000</v>
      </c>
      <c r="H114" s="106">
        <v>0</v>
      </c>
      <c r="I114" s="106">
        <v>990000</v>
      </c>
      <c r="J114" s="106">
        <v>0</v>
      </c>
      <c r="K114" s="83">
        <f t="shared" si="6"/>
        <v>2090000</v>
      </c>
    </row>
    <row r="115" spans="1:11" s="5" customFormat="1" x14ac:dyDescent="0.25">
      <c r="A115" s="86">
        <v>4</v>
      </c>
      <c r="B115" s="45" t="s">
        <v>97</v>
      </c>
      <c r="C115" s="129" t="s">
        <v>377</v>
      </c>
      <c r="D115" s="24" t="s">
        <v>6</v>
      </c>
      <c r="E115" s="24" t="s">
        <v>25</v>
      </c>
      <c r="F115" s="9" t="s">
        <v>75</v>
      </c>
      <c r="G115" s="49">
        <v>900000</v>
      </c>
      <c r="H115" s="106">
        <v>2805000</v>
      </c>
      <c r="I115" s="106">
        <v>0</v>
      </c>
      <c r="J115" s="106">
        <v>495000</v>
      </c>
      <c r="K115" s="83">
        <f t="shared" si="6"/>
        <v>4200000</v>
      </c>
    </row>
    <row r="116" spans="1:11" s="123" customFormat="1" x14ac:dyDescent="0.25">
      <c r="A116" s="86">
        <v>5</v>
      </c>
      <c r="B116" s="24" t="s">
        <v>241</v>
      </c>
      <c r="C116" s="69" t="s">
        <v>407</v>
      </c>
      <c r="D116" s="24" t="s">
        <v>238</v>
      </c>
      <c r="E116" s="24" t="s">
        <v>238</v>
      </c>
      <c r="F116" s="9" t="s">
        <v>75</v>
      </c>
      <c r="G116" s="49">
        <v>1402500</v>
      </c>
      <c r="H116" s="106">
        <v>0</v>
      </c>
      <c r="I116" s="106">
        <v>0</v>
      </c>
      <c r="J116" s="106">
        <v>980000</v>
      </c>
      <c r="K116" s="83">
        <f t="shared" si="6"/>
        <v>2382500</v>
      </c>
    </row>
    <row r="117" spans="1:11" s="5" customFormat="1" x14ac:dyDescent="0.25">
      <c r="A117" s="86">
        <v>6</v>
      </c>
      <c r="B117" s="24" t="s">
        <v>242</v>
      </c>
      <c r="C117" s="69" t="s">
        <v>404</v>
      </c>
      <c r="D117" s="24" t="s">
        <v>25</v>
      </c>
      <c r="E117" s="24" t="s">
        <v>25</v>
      </c>
      <c r="F117" s="9" t="s">
        <v>75</v>
      </c>
      <c r="G117" s="49"/>
      <c r="H117" s="106">
        <v>880000</v>
      </c>
      <c r="I117" s="106">
        <v>0</v>
      </c>
      <c r="J117" s="106">
        <v>660000</v>
      </c>
      <c r="K117" s="83">
        <f t="shared" si="6"/>
        <v>1540000</v>
      </c>
    </row>
    <row r="118" spans="1:11" s="5" customFormat="1" x14ac:dyDescent="0.25">
      <c r="A118" s="86">
        <v>7</v>
      </c>
      <c r="B118" s="24" t="s">
        <v>243</v>
      </c>
      <c r="C118" s="69" t="s">
        <v>404</v>
      </c>
      <c r="D118" s="24" t="s">
        <v>25</v>
      </c>
      <c r="E118" s="24" t="s">
        <v>25</v>
      </c>
      <c r="F118" s="9" t="s">
        <v>75</v>
      </c>
      <c r="G118" s="49"/>
      <c r="H118" s="106">
        <v>90000</v>
      </c>
      <c r="I118" s="106">
        <v>0</v>
      </c>
      <c r="J118" s="106">
        <v>155000</v>
      </c>
      <c r="K118" s="83">
        <f t="shared" si="6"/>
        <v>245000</v>
      </c>
    </row>
    <row r="119" spans="1:11" s="5" customFormat="1" x14ac:dyDescent="0.25">
      <c r="A119" s="86">
        <v>8</v>
      </c>
      <c r="B119" s="45" t="s">
        <v>211</v>
      </c>
      <c r="C119" s="69" t="s">
        <v>378</v>
      </c>
      <c r="D119" s="24" t="s">
        <v>6</v>
      </c>
      <c r="E119" s="24" t="s">
        <v>109</v>
      </c>
      <c r="F119" s="9" t="s">
        <v>198</v>
      </c>
      <c r="G119" s="49"/>
      <c r="H119" s="106">
        <v>440000</v>
      </c>
      <c r="I119" s="106">
        <v>1100000</v>
      </c>
      <c r="J119" s="106">
        <v>287500</v>
      </c>
      <c r="K119" s="83">
        <f t="shared" si="6"/>
        <v>1827500</v>
      </c>
    </row>
    <row r="120" spans="1:11" s="123" customFormat="1" x14ac:dyDescent="0.25">
      <c r="A120" s="86">
        <v>9</v>
      </c>
      <c r="B120" s="24" t="s">
        <v>244</v>
      </c>
      <c r="C120" s="69" t="s">
        <v>405</v>
      </c>
      <c r="D120" s="24" t="s">
        <v>25</v>
      </c>
      <c r="E120" s="24" t="s">
        <v>25</v>
      </c>
      <c r="F120" s="9" t="s">
        <v>75</v>
      </c>
      <c r="G120" s="49"/>
      <c r="H120" s="106">
        <v>737500</v>
      </c>
      <c r="I120" s="106">
        <v>0</v>
      </c>
      <c r="J120" s="106">
        <v>145000</v>
      </c>
      <c r="K120" s="83">
        <f t="shared" si="6"/>
        <v>882500</v>
      </c>
    </row>
    <row r="121" spans="1:11" s="123" customFormat="1" x14ac:dyDescent="0.25">
      <c r="A121" s="86">
        <v>10</v>
      </c>
      <c r="B121" s="24" t="s">
        <v>220</v>
      </c>
      <c r="C121" s="69" t="s">
        <v>405</v>
      </c>
      <c r="D121" s="24" t="s">
        <v>25</v>
      </c>
      <c r="E121" s="24" t="s">
        <v>25</v>
      </c>
      <c r="F121" s="9" t="s">
        <v>75</v>
      </c>
      <c r="G121" s="49"/>
      <c r="H121" s="106">
        <v>440000</v>
      </c>
      <c r="I121" s="106">
        <v>0</v>
      </c>
      <c r="J121" s="106">
        <v>0</v>
      </c>
      <c r="K121" s="83">
        <f t="shared" si="6"/>
        <v>440000</v>
      </c>
    </row>
    <row r="122" spans="1:11" s="123" customFormat="1" x14ac:dyDescent="0.25">
      <c r="A122" s="86">
        <v>11</v>
      </c>
      <c r="B122" s="24" t="s">
        <v>245</v>
      </c>
      <c r="C122" s="69" t="s">
        <v>405</v>
      </c>
      <c r="D122" s="24" t="s">
        <v>25</v>
      </c>
      <c r="E122" s="24" t="s">
        <v>25</v>
      </c>
      <c r="F122" s="9" t="s">
        <v>75</v>
      </c>
      <c r="G122" s="49"/>
      <c r="H122" s="106">
        <v>165000</v>
      </c>
      <c r="I122" s="106">
        <v>0</v>
      </c>
      <c r="J122" s="106">
        <v>0</v>
      </c>
      <c r="K122" s="83">
        <f t="shared" si="6"/>
        <v>165000</v>
      </c>
    </row>
    <row r="123" spans="1:11" s="123" customFormat="1" x14ac:dyDescent="0.25">
      <c r="A123" s="86">
        <v>12</v>
      </c>
      <c r="B123" s="24" t="s">
        <v>246</v>
      </c>
      <c r="C123" s="69" t="s">
        <v>405</v>
      </c>
      <c r="D123" s="24" t="s">
        <v>25</v>
      </c>
      <c r="E123" s="24" t="s">
        <v>25</v>
      </c>
      <c r="F123" s="9" t="s">
        <v>75</v>
      </c>
      <c r="G123" s="49"/>
      <c r="H123" s="106">
        <v>77500</v>
      </c>
      <c r="I123" s="106">
        <v>0</v>
      </c>
      <c r="J123" s="106">
        <v>145000</v>
      </c>
      <c r="K123" s="83">
        <f t="shared" si="6"/>
        <v>222500</v>
      </c>
    </row>
    <row r="124" spans="1:11" s="123" customFormat="1" x14ac:dyDescent="0.25">
      <c r="A124" s="86">
        <v>13</v>
      </c>
      <c r="B124" s="24" t="s">
        <v>247</v>
      </c>
      <c r="C124" s="69" t="s">
        <v>405</v>
      </c>
      <c r="D124" s="24" t="s">
        <v>25</v>
      </c>
      <c r="E124" s="24" t="s">
        <v>25</v>
      </c>
      <c r="F124" s="9" t="s">
        <v>75</v>
      </c>
      <c r="G124" s="49"/>
      <c r="H124" s="106">
        <v>110000</v>
      </c>
      <c r="I124" s="106">
        <v>0</v>
      </c>
      <c r="J124" s="106">
        <v>0</v>
      </c>
      <c r="K124" s="83">
        <f t="shared" si="6"/>
        <v>110000</v>
      </c>
    </row>
    <row r="125" spans="1:11" s="123" customFormat="1" x14ac:dyDescent="0.25">
      <c r="A125" s="86">
        <v>14</v>
      </c>
      <c r="B125" s="24" t="s">
        <v>248</v>
      </c>
      <c r="C125" s="69" t="s">
        <v>408</v>
      </c>
      <c r="D125" s="24" t="s">
        <v>238</v>
      </c>
      <c r="E125" s="24" t="s">
        <v>238</v>
      </c>
      <c r="F125" s="9" t="s">
        <v>96</v>
      </c>
      <c r="G125" s="49"/>
      <c r="H125" s="106">
        <v>667500</v>
      </c>
      <c r="I125" s="106">
        <v>0</v>
      </c>
      <c r="J125" s="106">
        <v>0</v>
      </c>
      <c r="K125" s="83">
        <f t="shared" si="6"/>
        <v>667500</v>
      </c>
    </row>
    <row r="126" spans="1:11" s="123" customFormat="1" x14ac:dyDescent="0.25">
      <c r="A126" s="86">
        <v>15</v>
      </c>
      <c r="B126" s="143" t="s">
        <v>583</v>
      </c>
      <c r="C126" s="177" t="s">
        <v>619</v>
      </c>
      <c r="D126" s="143" t="s">
        <v>238</v>
      </c>
      <c r="E126" s="143" t="s">
        <v>238</v>
      </c>
      <c r="F126" s="142" t="s">
        <v>75</v>
      </c>
      <c r="G126" s="49"/>
      <c r="H126" s="106"/>
      <c r="I126" s="106">
        <v>52500</v>
      </c>
      <c r="J126" s="106">
        <v>0</v>
      </c>
      <c r="K126" s="83">
        <f t="shared" si="6"/>
        <v>52500</v>
      </c>
    </row>
    <row r="127" spans="1:11" s="123" customFormat="1" x14ac:dyDescent="0.25">
      <c r="A127" s="86">
        <v>16</v>
      </c>
      <c r="B127" s="176" t="s">
        <v>222</v>
      </c>
      <c r="C127" s="177" t="s">
        <v>396</v>
      </c>
      <c r="D127" s="143" t="s">
        <v>16</v>
      </c>
      <c r="E127" s="143" t="s">
        <v>238</v>
      </c>
      <c r="F127" s="142" t="s">
        <v>198</v>
      </c>
      <c r="G127" s="49"/>
      <c r="H127" s="106"/>
      <c r="I127" s="106">
        <v>297500</v>
      </c>
      <c r="J127" s="106">
        <v>1250000</v>
      </c>
      <c r="K127" s="83">
        <f t="shared" si="6"/>
        <v>1547500</v>
      </c>
    </row>
    <row r="128" spans="1:11" s="123" customFormat="1" x14ac:dyDescent="0.25">
      <c r="A128" s="86">
        <v>17</v>
      </c>
      <c r="B128" s="176" t="s">
        <v>222</v>
      </c>
      <c r="C128" s="143"/>
      <c r="D128" s="143" t="s">
        <v>16</v>
      </c>
      <c r="E128" s="143" t="s">
        <v>25</v>
      </c>
      <c r="F128" s="142" t="s">
        <v>198</v>
      </c>
      <c r="G128" s="49"/>
      <c r="H128" s="106"/>
      <c r="I128" s="106"/>
      <c r="J128" s="106">
        <v>105000</v>
      </c>
      <c r="K128" s="83">
        <f t="shared" si="6"/>
        <v>105000</v>
      </c>
    </row>
    <row r="129" spans="1:11" s="123" customFormat="1" x14ac:dyDescent="0.25">
      <c r="A129" s="86">
        <v>18</v>
      </c>
      <c r="B129" s="143" t="s">
        <v>700</v>
      </c>
      <c r="C129" s="176"/>
      <c r="D129" s="143" t="s">
        <v>25</v>
      </c>
      <c r="E129" s="143" t="s">
        <v>25</v>
      </c>
      <c r="F129" s="142" t="s">
        <v>75</v>
      </c>
      <c r="G129" s="49"/>
      <c r="H129" s="106"/>
      <c r="I129" s="106"/>
      <c r="J129" s="106">
        <v>330000</v>
      </c>
      <c r="K129" s="83">
        <f t="shared" si="6"/>
        <v>330000</v>
      </c>
    </row>
    <row r="130" spans="1:11" s="123" customFormat="1" x14ac:dyDescent="0.25">
      <c r="A130" s="86">
        <v>19</v>
      </c>
      <c r="B130" s="143" t="s">
        <v>701</v>
      </c>
      <c r="C130" s="143"/>
      <c r="D130" s="143" t="s">
        <v>25</v>
      </c>
      <c r="E130" s="143" t="s">
        <v>25</v>
      </c>
      <c r="F130" s="142" t="s">
        <v>75</v>
      </c>
      <c r="G130" s="49"/>
      <c r="H130" s="106"/>
      <c r="I130" s="106"/>
      <c r="J130" s="106">
        <v>150000</v>
      </c>
      <c r="K130" s="83">
        <f t="shared" si="6"/>
        <v>150000</v>
      </c>
    </row>
    <row r="131" spans="1:11" s="123" customFormat="1" ht="15.75" thickBot="1" x14ac:dyDescent="0.3">
      <c r="A131" s="86">
        <v>20</v>
      </c>
      <c r="B131" s="143" t="s">
        <v>702</v>
      </c>
      <c r="C131" s="176"/>
      <c r="D131" s="143" t="s">
        <v>25</v>
      </c>
      <c r="E131" s="143" t="s">
        <v>25</v>
      </c>
      <c r="F131" s="142" t="s">
        <v>75</v>
      </c>
      <c r="G131" s="49"/>
      <c r="H131" s="106"/>
      <c r="I131" s="106"/>
      <c r="J131" s="106">
        <v>550000</v>
      </c>
      <c r="K131" s="83">
        <f t="shared" si="6"/>
        <v>550000</v>
      </c>
    </row>
    <row r="132" spans="1:11" s="5" customFormat="1" x14ac:dyDescent="0.25">
      <c r="A132" s="225" t="s">
        <v>3</v>
      </c>
      <c r="B132" s="226"/>
      <c r="C132" s="226"/>
      <c r="D132" s="226"/>
      <c r="E132" s="226"/>
      <c r="F132" s="226"/>
      <c r="G132" s="46">
        <f>SUM(G112:G131)</f>
        <v>3865000</v>
      </c>
      <c r="H132" s="46">
        <f>SUM(H112:H131)</f>
        <v>6742500</v>
      </c>
      <c r="I132" s="46">
        <f>SUM(I112:I131)</f>
        <v>2440000</v>
      </c>
      <c r="J132" s="46">
        <f>SUM(J112:J131)</f>
        <v>5252500</v>
      </c>
      <c r="K132" s="84">
        <f>SUM(G132:J132)</f>
        <v>18300000</v>
      </c>
    </row>
    <row r="133" spans="1:11" s="5" customFormat="1" x14ac:dyDescent="0.25">
      <c r="A133" s="213" t="s">
        <v>71</v>
      </c>
      <c r="B133" s="214"/>
      <c r="C133" s="214"/>
      <c r="D133" s="214"/>
      <c r="E133" s="214"/>
      <c r="F133" s="214"/>
      <c r="G133" s="214"/>
      <c r="H133" s="214"/>
      <c r="I133" s="214"/>
      <c r="J133" s="214"/>
      <c r="K133" s="215"/>
    </row>
    <row r="134" spans="1:11" s="5" customFormat="1" x14ac:dyDescent="0.25">
      <c r="A134" s="86">
        <v>1</v>
      </c>
      <c r="B134" s="45" t="s">
        <v>200</v>
      </c>
      <c r="C134" s="134" t="s">
        <v>386</v>
      </c>
      <c r="D134" s="24" t="s">
        <v>6</v>
      </c>
      <c r="E134" s="24" t="s">
        <v>249</v>
      </c>
      <c r="F134" s="9" t="s">
        <v>198</v>
      </c>
      <c r="G134" s="26">
        <v>3707500</v>
      </c>
      <c r="H134" s="51">
        <v>1355000</v>
      </c>
      <c r="I134" s="51">
        <v>0</v>
      </c>
      <c r="J134" s="51">
        <v>3290000</v>
      </c>
      <c r="K134" s="83">
        <f>SUM(G134:J134)</f>
        <v>8352500</v>
      </c>
    </row>
    <row r="135" spans="1:11" s="123" customFormat="1" x14ac:dyDescent="0.25">
      <c r="A135" s="86">
        <v>2</v>
      </c>
      <c r="B135" s="45" t="s">
        <v>97</v>
      </c>
      <c r="C135" s="129" t="s">
        <v>377</v>
      </c>
      <c r="D135" s="24" t="s">
        <v>6</v>
      </c>
      <c r="E135" s="24" t="s">
        <v>249</v>
      </c>
      <c r="F135" s="9" t="s">
        <v>198</v>
      </c>
      <c r="G135" s="26">
        <v>2585000</v>
      </c>
      <c r="H135" s="106">
        <v>2025000</v>
      </c>
      <c r="I135" s="106">
        <v>3927500</v>
      </c>
      <c r="J135" s="106">
        <v>5190000</v>
      </c>
      <c r="K135" s="83">
        <f>SUM(G135:J135)</f>
        <v>13727500</v>
      </c>
    </row>
    <row r="136" spans="1:11" s="123" customFormat="1" x14ac:dyDescent="0.25">
      <c r="A136" s="86">
        <v>3</v>
      </c>
      <c r="B136" s="143" t="s">
        <v>118</v>
      </c>
      <c r="C136" s="131"/>
      <c r="D136" s="143" t="s">
        <v>6</v>
      </c>
      <c r="E136" s="143" t="s">
        <v>249</v>
      </c>
      <c r="F136" s="142" t="s">
        <v>75</v>
      </c>
      <c r="G136" s="48"/>
      <c r="H136" s="106"/>
      <c r="I136" s="106"/>
      <c r="J136" s="106">
        <v>10000</v>
      </c>
      <c r="K136" s="83">
        <f t="shared" ref="K136:K137" si="7">SUM(G136:J136)</f>
        <v>10000</v>
      </c>
    </row>
    <row r="137" spans="1:11" s="123" customFormat="1" ht="15.75" thickBot="1" x14ac:dyDescent="0.3">
      <c r="A137" s="86">
        <v>4</v>
      </c>
      <c r="B137" s="176" t="s">
        <v>224</v>
      </c>
      <c r="C137" s="131"/>
      <c r="D137" s="143" t="s">
        <v>6</v>
      </c>
      <c r="E137" s="143" t="s">
        <v>249</v>
      </c>
      <c r="F137" s="142" t="s">
        <v>198</v>
      </c>
      <c r="G137" s="48"/>
      <c r="H137" s="106"/>
      <c r="I137" s="106"/>
      <c r="J137" s="106">
        <v>1595000</v>
      </c>
      <c r="K137" s="83">
        <f t="shared" si="7"/>
        <v>1595000</v>
      </c>
    </row>
    <row r="138" spans="1:11" s="5" customFormat="1" x14ac:dyDescent="0.25">
      <c r="A138" s="225" t="s">
        <v>3</v>
      </c>
      <c r="B138" s="226"/>
      <c r="C138" s="226"/>
      <c r="D138" s="226"/>
      <c r="E138" s="226"/>
      <c r="F138" s="226"/>
      <c r="G138" s="46">
        <f>SUM(G134:G137)</f>
        <v>6292500</v>
      </c>
      <c r="H138" s="46">
        <f>SUM(H134:H137)</f>
        <v>3380000</v>
      </c>
      <c r="I138" s="46">
        <f>SUM(I134:I137)</f>
        <v>3927500</v>
      </c>
      <c r="J138" s="46">
        <f>SUM(J134:J137)</f>
        <v>10085000</v>
      </c>
      <c r="K138" s="84">
        <f>SUM(G138:J138)</f>
        <v>23685000</v>
      </c>
    </row>
    <row r="139" spans="1:11" s="5" customFormat="1" x14ac:dyDescent="0.25">
      <c r="A139" s="213" t="s">
        <v>57</v>
      </c>
      <c r="B139" s="214"/>
      <c r="C139" s="214"/>
      <c r="D139" s="214"/>
      <c r="E139" s="214"/>
      <c r="F139" s="214"/>
      <c r="G139" s="214"/>
      <c r="H139" s="214"/>
      <c r="I139" s="214"/>
      <c r="J139" s="214"/>
      <c r="K139" s="215"/>
    </row>
    <row r="140" spans="1:11" s="5" customFormat="1" ht="15.75" thickBot="1" x14ac:dyDescent="0.3">
      <c r="A140" s="86">
        <v>1</v>
      </c>
      <c r="B140" s="24" t="s">
        <v>57</v>
      </c>
      <c r="C140" s="69" t="s">
        <v>409</v>
      </c>
      <c r="D140" s="24" t="s">
        <v>25</v>
      </c>
      <c r="E140" s="24" t="s">
        <v>25</v>
      </c>
      <c r="F140" s="9" t="s">
        <v>76</v>
      </c>
      <c r="G140" s="51">
        <v>3780000</v>
      </c>
      <c r="H140" s="51">
        <v>3700000</v>
      </c>
      <c r="I140" s="51">
        <v>4400000</v>
      </c>
      <c r="J140" s="51">
        <v>4400000</v>
      </c>
      <c r="K140" s="83">
        <f>SUM(G140:J140)</f>
        <v>16280000</v>
      </c>
    </row>
    <row r="141" spans="1:11" s="5" customFormat="1" x14ac:dyDescent="0.25">
      <c r="A141" s="225" t="s">
        <v>3</v>
      </c>
      <c r="B141" s="226"/>
      <c r="C141" s="226"/>
      <c r="D141" s="226"/>
      <c r="E141" s="226"/>
      <c r="F141" s="226"/>
      <c r="G141" s="46">
        <f>SUM(G140:G140)</f>
        <v>3780000</v>
      </c>
      <c r="H141" s="46">
        <f>SUM(H140:H140)</f>
        <v>3700000</v>
      </c>
      <c r="I141" s="46">
        <f>SUM(I140:I140)</f>
        <v>4400000</v>
      </c>
      <c r="J141" s="46">
        <f>SUM(J140:J140)</f>
        <v>4400000</v>
      </c>
      <c r="K141" s="84">
        <f>SUM(G141:J141)</f>
        <v>16280000</v>
      </c>
    </row>
    <row r="142" spans="1:11" s="123" customFormat="1" x14ac:dyDescent="0.25">
      <c r="A142" s="216" t="s">
        <v>90</v>
      </c>
      <c r="B142" s="217"/>
      <c r="C142" s="217"/>
      <c r="D142" s="217"/>
      <c r="E142" s="217"/>
      <c r="F142" s="217"/>
      <c r="G142" s="217"/>
      <c r="H142" s="217"/>
      <c r="I142" s="217"/>
      <c r="J142" s="217"/>
      <c r="K142" s="218"/>
    </row>
    <row r="143" spans="1:11" s="123" customFormat="1" x14ac:dyDescent="0.25">
      <c r="A143" s="128">
        <v>1</v>
      </c>
      <c r="B143" s="24" t="s">
        <v>250</v>
      </c>
      <c r="C143" s="69" t="s">
        <v>410</v>
      </c>
      <c r="D143" s="24" t="s">
        <v>25</v>
      </c>
      <c r="E143" s="24" t="s">
        <v>25</v>
      </c>
      <c r="F143" s="9" t="s">
        <v>251</v>
      </c>
      <c r="G143" s="27">
        <v>5301500</v>
      </c>
      <c r="H143" s="27">
        <v>3551200</v>
      </c>
      <c r="I143" s="27">
        <v>3551200</v>
      </c>
      <c r="J143" s="27">
        <v>0</v>
      </c>
      <c r="K143" s="83">
        <f>SUM(G143:J143)</f>
        <v>12403900</v>
      </c>
    </row>
    <row r="144" spans="1:11" s="123" customFormat="1" x14ac:dyDescent="0.25">
      <c r="A144" s="128">
        <v>2</v>
      </c>
      <c r="B144" s="143" t="s">
        <v>584</v>
      </c>
      <c r="C144" s="177" t="s">
        <v>588</v>
      </c>
      <c r="D144" s="143" t="s">
        <v>25</v>
      </c>
      <c r="E144" s="143" t="s">
        <v>25</v>
      </c>
      <c r="F144" s="142" t="s">
        <v>251</v>
      </c>
      <c r="G144" s="49"/>
      <c r="H144" s="49"/>
      <c r="I144" s="49">
        <v>4142300</v>
      </c>
      <c r="J144" s="49">
        <v>1803200</v>
      </c>
      <c r="K144" s="83">
        <f t="shared" ref="K144:K146" si="8">SUM(G144:J144)</f>
        <v>5945500</v>
      </c>
    </row>
    <row r="145" spans="1:11" s="123" customFormat="1" x14ac:dyDescent="0.25">
      <c r="A145" s="128">
        <v>3</v>
      </c>
      <c r="B145" s="143" t="s">
        <v>703</v>
      </c>
      <c r="C145" s="143"/>
      <c r="D145" s="143" t="s">
        <v>25</v>
      </c>
      <c r="E145" s="143" t="s">
        <v>25</v>
      </c>
      <c r="F145" s="142" t="s">
        <v>251</v>
      </c>
      <c r="G145" s="49"/>
      <c r="H145" s="49"/>
      <c r="I145" s="49"/>
      <c r="J145" s="49">
        <v>1423700</v>
      </c>
      <c r="K145" s="83">
        <f t="shared" si="8"/>
        <v>1423700</v>
      </c>
    </row>
    <row r="146" spans="1:11" s="123" customFormat="1" ht="15.75" thickBot="1" x14ac:dyDescent="0.3">
      <c r="A146" s="128">
        <v>4</v>
      </c>
      <c r="B146" s="143" t="s">
        <v>704</v>
      </c>
      <c r="C146" s="143"/>
      <c r="D146" s="143" t="s">
        <v>253</v>
      </c>
      <c r="E146" s="143" t="s">
        <v>253</v>
      </c>
      <c r="F146" s="142" t="s">
        <v>251</v>
      </c>
      <c r="G146" s="49"/>
      <c r="H146" s="49"/>
      <c r="I146" s="49"/>
      <c r="J146" s="49">
        <v>1504200</v>
      </c>
      <c r="K146" s="83">
        <f t="shared" si="8"/>
        <v>1504200</v>
      </c>
    </row>
    <row r="147" spans="1:11" s="123" customFormat="1" x14ac:dyDescent="0.25">
      <c r="A147" s="225" t="s">
        <v>3</v>
      </c>
      <c r="B147" s="226"/>
      <c r="C147" s="226"/>
      <c r="D147" s="226"/>
      <c r="E147" s="226"/>
      <c r="F147" s="226"/>
      <c r="G147" s="46">
        <f>SUM(G143:G146)</f>
        <v>5301500</v>
      </c>
      <c r="H147" s="46">
        <f t="shared" ref="H147:J147" si="9">SUM(H143:H146)</f>
        <v>3551200</v>
      </c>
      <c r="I147" s="46">
        <f t="shared" si="9"/>
        <v>7693500</v>
      </c>
      <c r="J147" s="46">
        <f t="shared" si="9"/>
        <v>4731100</v>
      </c>
      <c r="K147" s="90">
        <f>SUM(K143:K146)</f>
        <v>21277300</v>
      </c>
    </row>
    <row r="148" spans="1:11" s="2" customFormat="1" x14ac:dyDescent="0.25">
      <c r="A148" s="216" t="s">
        <v>81</v>
      </c>
      <c r="B148" s="217"/>
      <c r="C148" s="217"/>
      <c r="D148" s="217"/>
      <c r="E148" s="217"/>
      <c r="F148" s="217"/>
      <c r="G148" s="217"/>
      <c r="H148" s="217"/>
      <c r="I148" s="217"/>
      <c r="J148" s="217"/>
      <c r="K148" s="218"/>
    </row>
    <row r="149" spans="1:11" s="2" customFormat="1" x14ac:dyDescent="0.25">
      <c r="A149" s="86">
        <v>1</v>
      </c>
      <c r="B149" s="24" t="s">
        <v>252</v>
      </c>
      <c r="C149" s="69" t="s">
        <v>405</v>
      </c>
      <c r="D149" s="24" t="s">
        <v>253</v>
      </c>
      <c r="E149" s="24" t="s">
        <v>253</v>
      </c>
      <c r="F149" s="9" t="s">
        <v>75</v>
      </c>
      <c r="G149" s="26">
        <v>310000</v>
      </c>
      <c r="H149" s="115">
        <v>0</v>
      </c>
      <c r="I149" s="27">
        <v>0</v>
      </c>
      <c r="J149" s="26">
        <v>0</v>
      </c>
      <c r="K149" s="83">
        <f>SUM(G149:J149)</f>
        <v>310000</v>
      </c>
    </row>
    <row r="150" spans="1:11" s="123" customFormat="1" x14ac:dyDescent="0.25">
      <c r="A150" s="86">
        <v>2</v>
      </c>
      <c r="B150" s="24" t="s">
        <v>254</v>
      </c>
      <c r="C150" s="69" t="s">
        <v>405</v>
      </c>
      <c r="D150" s="24" t="s">
        <v>253</v>
      </c>
      <c r="E150" s="24" t="s">
        <v>253</v>
      </c>
      <c r="F150" s="9" t="s">
        <v>75</v>
      </c>
      <c r="G150" s="48">
        <v>132500</v>
      </c>
      <c r="H150" s="115">
        <v>0</v>
      </c>
      <c r="I150" s="49">
        <v>352500</v>
      </c>
      <c r="J150" s="26">
        <v>0</v>
      </c>
      <c r="K150" s="83">
        <f t="shared" ref="K150:K156" si="10">SUM(G150:J150)</f>
        <v>485000</v>
      </c>
    </row>
    <row r="151" spans="1:11" s="123" customFormat="1" x14ac:dyDescent="0.25">
      <c r="A151" s="86">
        <v>3</v>
      </c>
      <c r="B151" s="45" t="s">
        <v>111</v>
      </c>
      <c r="C151" s="69" t="s">
        <v>399</v>
      </c>
      <c r="D151" s="24" t="s">
        <v>5</v>
      </c>
      <c r="E151" s="24" t="s">
        <v>18</v>
      </c>
      <c r="F151" s="9" t="s">
        <v>198</v>
      </c>
      <c r="G151" s="48">
        <v>315000</v>
      </c>
      <c r="H151" s="115">
        <v>2575000</v>
      </c>
      <c r="I151" s="49">
        <v>0</v>
      </c>
      <c r="J151" s="26">
        <v>3900000</v>
      </c>
      <c r="K151" s="83">
        <f t="shared" si="10"/>
        <v>6790000</v>
      </c>
    </row>
    <row r="152" spans="1:11" s="123" customFormat="1" x14ac:dyDescent="0.25">
      <c r="A152" s="86">
        <v>4</v>
      </c>
      <c r="B152" s="45" t="s">
        <v>97</v>
      </c>
      <c r="C152" s="129" t="s">
        <v>377</v>
      </c>
      <c r="D152" s="24" t="s">
        <v>6</v>
      </c>
      <c r="E152" s="24" t="s">
        <v>18</v>
      </c>
      <c r="F152" s="9" t="s">
        <v>198</v>
      </c>
      <c r="G152" s="48">
        <v>2185000</v>
      </c>
      <c r="H152" s="115">
        <v>6045000</v>
      </c>
      <c r="I152" s="49">
        <v>0</v>
      </c>
      <c r="J152" s="26">
        <v>8920000</v>
      </c>
      <c r="K152" s="83">
        <f t="shared" si="10"/>
        <v>17150000</v>
      </c>
    </row>
    <row r="153" spans="1:11" s="123" customFormat="1" x14ac:dyDescent="0.25">
      <c r="A153" s="86">
        <v>5</v>
      </c>
      <c r="B153" s="24" t="s">
        <v>255</v>
      </c>
      <c r="C153" s="69" t="s">
        <v>405</v>
      </c>
      <c r="D153" s="24" t="s">
        <v>253</v>
      </c>
      <c r="E153" s="24" t="s">
        <v>253</v>
      </c>
      <c r="F153" s="9" t="s">
        <v>75</v>
      </c>
      <c r="G153" s="48"/>
      <c r="H153" s="115">
        <v>352500</v>
      </c>
      <c r="I153" s="49">
        <v>0</v>
      </c>
      <c r="J153" s="26"/>
      <c r="K153" s="83">
        <f t="shared" si="10"/>
        <v>352500</v>
      </c>
    </row>
    <row r="154" spans="1:11" s="123" customFormat="1" x14ac:dyDescent="0.25">
      <c r="A154" s="86">
        <v>6</v>
      </c>
      <c r="B154" s="24" t="s">
        <v>256</v>
      </c>
      <c r="C154" s="69" t="s">
        <v>405</v>
      </c>
      <c r="D154" s="24" t="s">
        <v>253</v>
      </c>
      <c r="E154" s="24" t="s">
        <v>253</v>
      </c>
      <c r="F154" s="9" t="s">
        <v>75</v>
      </c>
      <c r="G154" s="48"/>
      <c r="H154" s="115">
        <v>110000</v>
      </c>
      <c r="I154" s="49">
        <v>0</v>
      </c>
      <c r="J154" s="26"/>
      <c r="K154" s="83">
        <f t="shared" si="10"/>
        <v>110000</v>
      </c>
    </row>
    <row r="155" spans="1:11" s="123" customFormat="1" x14ac:dyDescent="0.25">
      <c r="A155" s="86">
        <v>7</v>
      </c>
      <c r="B155" s="24" t="s">
        <v>257</v>
      </c>
      <c r="C155" s="69" t="s">
        <v>405</v>
      </c>
      <c r="D155" s="24" t="s">
        <v>253</v>
      </c>
      <c r="E155" s="24" t="s">
        <v>253</v>
      </c>
      <c r="F155" s="9" t="s">
        <v>75</v>
      </c>
      <c r="G155" s="48"/>
      <c r="H155" s="26">
        <v>495000</v>
      </c>
      <c r="I155" s="49">
        <v>0</v>
      </c>
      <c r="J155" s="26"/>
      <c r="K155" s="83">
        <f t="shared" si="10"/>
        <v>495000</v>
      </c>
    </row>
    <row r="156" spans="1:11" s="123" customFormat="1" ht="15.75" thickBot="1" x14ac:dyDescent="0.3">
      <c r="A156" s="86">
        <v>8</v>
      </c>
      <c r="B156" s="143" t="s">
        <v>585</v>
      </c>
      <c r="C156" s="178" t="s">
        <v>587</v>
      </c>
      <c r="D156" s="143" t="s">
        <v>17</v>
      </c>
      <c r="E156" s="143" t="s">
        <v>18</v>
      </c>
      <c r="F156" s="142" t="s">
        <v>96</v>
      </c>
      <c r="G156" s="48"/>
      <c r="H156" s="115"/>
      <c r="I156" s="49">
        <v>1430000</v>
      </c>
      <c r="J156" s="26"/>
      <c r="K156" s="83">
        <f t="shared" si="10"/>
        <v>1430000</v>
      </c>
    </row>
    <row r="157" spans="1:11" s="5" customFormat="1" x14ac:dyDescent="0.25">
      <c r="A157" s="225" t="s">
        <v>3</v>
      </c>
      <c r="B157" s="226"/>
      <c r="C157" s="226"/>
      <c r="D157" s="226"/>
      <c r="E157" s="226"/>
      <c r="F157" s="226"/>
      <c r="G157" s="28">
        <f>SUM(G149:G156)</f>
        <v>2942500</v>
      </c>
      <c r="H157" s="28">
        <f>SUM(H149:H156)</f>
        <v>9577500</v>
      </c>
      <c r="I157" s="28">
        <f>SUM(I149:I156)</f>
        <v>1782500</v>
      </c>
      <c r="J157" s="28">
        <f>SUM(J149:J156)</f>
        <v>12820000</v>
      </c>
      <c r="K157" s="84">
        <f>SUM(G157:J157)</f>
        <v>27122500</v>
      </c>
    </row>
    <row r="158" spans="1:11" x14ac:dyDescent="0.25">
      <c r="A158" s="213" t="s">
        <v>13</v>
      </c>
      <c r="B158" s="214"/>
      <c r="C158" s="214"/>
      <c r="D158" s="214"/>
      <c r="E158" s="214"/>
      <c r="F158" s="214"/>
      <c r="G158" s="214"/>
      <c r="H158" s="214"/>
      <c r="I158" s="214"/>
      <c r="J158" s="214"/>
      <c r="K158" s="215"/>
    </row>
    <row r="159" spans="1:11" x14ac:dyDescent="0.25">
      <c r="A159" s="86">
        <v>1</v>
      </c>
      <c r="B159" s="9" t="s">
        <v>258</v>
      </c>
      <c r="C159" s="129" t="s">
        <v>411</v>
      </c>
      <c r="D159" s="24" t="s">
        <v>112</v>
      </c>
      <c r="E159" s="24" t="s">
        <v>112</v>
      </c>
      <c r="F159" s="10" t="s">
        <v>75</v>
      </c>
      <c r="G159" s="26">
        <v>157500</v>
      </c>
      <c r="H159" s="26">
        <v>0</v>
      </c>
      <c r="I159" s="26">
        <v>0</v>
      </c>
      <c r="J159" s="26">
        <v>157500</v>
      </c>
      <c r="K159" s="83">
        <f>SUM(G159:J159)</f>
        <v>315000</v>
      </c>
    </row>
    <row r="160" spans="1:11" x14ac:dyDescent="0.25">
      <c r="A160" s="86">
        <v>2</v>
      </c>
      <c r="B160" s="45" t="s">
        <v>104</v>
      </c>
      <c r="C160" s="129" t="s">
        <v>287</v>
      </c>
      <c r="D160" s="24" t="s">
        <v>16</v>
      </c>
      <c r="E160" s="24" t="s">
        <v>112</v>
      </c>
      <c r="F160" s="10" t="s">
        <v>198</v>
      </c>
      <c r="G160" s="26">
        <v>310500</v>
      </c>
      <c r="H160" s="26">
        <v>552000</v>
      </c>
      <c r="I160" s="26">
        <v>0</v>
      </c>
      <c r="J160" s="26">
        <v>230000</v>
      </c>
      <c r="K160" s="83">
        <f t="shared" ref="K160:K171" si="11">SUM(G160:J160)</f>
        <v>1092500</v>
      </c>
    </row>
    <row r="161" spans="1:11" x14ac:dyDescent="0.25">
      <c r="A161" s="86">
        <v>3</v>
      </c>
      <c r="B161" s="45" t="s">
        <v>113</v>
      </c>
      <c r="C161" s="129" t="s">
        <v>412</v>
      </c>
      <c r="D161" s="24" t="s">
        <v>112</v>
      </c>
      <c r="E161" s="24" t="s">
        <v>112</v>
      </c>
      <c r="F161" s="10" t="s">
        <v>198</v>
      </c>
      <c r="G161" s="26">
        <v>2262500</v>
      </c>
      <c r="H161" s="26">
        <v>1342500</v>
      </c>
      <c r="I161" s="26">
        <v>2555000</v>
      </c>
      <c r="J161" s="26">
        <v>6080000</v>
      </c>
      <c r="K161" s="83">
        <f t="shared" si="11"/>
        <v>12240000</v>
      </c>
    </row>
    <row r="162" spans="1:11" s="123" customFormat="1" x14ac:dyDescent="0.25">
      <c r="A162" s="86">
        <v>4</v>
      </c>
      <c r="B162" s="45" t="s">
        <v>114</v>
      </c>
      <c r="C162" s="129" t="s">
        <v>413</v>
      </c>
      <c r="D162" s="24" t="s">
        <v>112</v>
      </c>
      <c r="E162" s="24" t="s">
        <v>112</v>
      </c>
      <c r="F162" s="10" t="s">
        <v>198</v>
      </c>
      <c r="G162" s="26">
        <v>357500</v>
      </c>
      <c r="H162" s="26">
        <v>110000</v>
      </c>
      <c r="I162" s="26">
        <v>132500</v>
      </c>
      <c r="J162" s="26">
        <v>575000</v>
      </c>
      <c r="K162" s="83">
        <f t="shared" si="11"/>
        <v>1175000</v>
      </c>
    </row>
    <row r="163" spans="1:11" s="123" customFormat="1" x14ac:dyDescent="0.25">
      <c r="A163" s="86">
        <v>5</v>
      </c>
      <c r="B163" s="45" t="s">
        <v>97</v>
      </c>
      <c r="C163" s="129" t="s">
        <v>377</v>
      </c>
      <c r="D163" s="24" t="s">
        <v>6</v>
      </c>
      <c r="E163" s="24" t="s">
        <v>112</v>
      </c>
      <c r="F163" s="10" t="s">
        <v>198</v>
      </c>
      <c r="G163" s="26">
        <v>165000</v>
      </c>
      <c r="H163" s="26">
        <v>132500</v>
      </c>
      <c r="I163" s="26">
        <v>187500</v>
      </c>
      <c r="J163" s="26">
        <v>72500</v>
      </c>
      <c r="K163" s="83">
        <f t="shared" si="11"/>
        <v>557500</v>
      </c>
    </row>
    <row r="164" spans="1:11" s="123" customFormat="1" x14ac:dyDescent="0.25">
      <c r="A164" s="86">
        <v>6</v>
      </c>
      <c r="B164" s="9" t="s">
        <v>259</v>
      </c>
      <c r="C164" s="129" t="s">
        <v>414</v>
      </c>
      <c r="D164" s="24" t="s">
        <v>112</v>
      </c>
      <c r="E164" s="24" t="s">
        <v>112</v>
      </c>
      <c r="F164" s="10" t="s">
        <v>75</v>
      </c>
      <c r="G164" s="26">
        <v>312500</v>
      </c>
      <c r="H164" s="26">
        <v>0</v>
      </c>
      <c r="I164" s="26">
        <v>0</v>
      </c>
      <c r="J164" s="26">
        <v>0</v>
      </c>
      <c r="K164" s="83">
        <f t="shared" si="11"/>
        <v>312500</v>
      </c>
    </row>
    <row r="165" spans="1:11" s="123" customFormat="1" x14ac:dyDescent="0.25">
      <c r="A165" s="86">
        <v>7</v>
      </c>
      <c r="B165" s="9" t="s">
        <v>205</v>
      </c>
      <c r="C165" s="129"/>
      <c r="D165" s="24" t="s">
        <v>112</v>
      </c>
      <c r="E165" s="24" t="s">
        <v>112</v>
      </c>
      <c r="F165" s="10" t="s">
        <v>75</v>
      </c>
      <c r="G165" s="26">
        <v>600000</v>
      </c>
      <c r="H165" s="26">
        <v>0</v>
      </c>
      <c r="I165" s="26">
        <v>0</v>
      </c>
      <c r="J165" s="26">
        <v>1000000</v>
      </c>
      <c r="K165" s="83">
        <f t="shared" si="11"/>
        <v>1600000</v>
      </c>
    </row>
    <row r="166" spans="1:11" s="123" customFormat="1" x14ac:dyDescent="0.25">
      <c r="A166" s="86">
        <v>8</v>
      </c>
      <c r="B166" s="24" t="s">
        <v>260</v>
      </c>
      <c r="C166" s="129" t="s">
        <v>414</v>
      </c>
      <c r="D166" s="24" t="s">
        <v>112</v>
      </c>
      <c r="E166" s="24" t="s">
        <v>112</v>
      </c>
      <c r="F166" s="10" t="s">
        <v>75</v>
      </c>
      <c r="G166" s="26">
        <v>275000</v>
      </c>
      <c r="H166" s="26">
        <v>0</v>
      </c>
      <c r="I166" s="26">
        <v>0</v>
      </c>
      <c r="J166" s="26">
        <v>297500</v>
      </c>
      <c r="K166" s="83">
        <f t="shared" si="11"/>
        <v>572500</v>
      </c>
    </row>
    <row r="167" spans="1:11" s="123" customFormat="1" x14ac:dyDescent="0.25">
      <c r="A167" s="86">
        <v>9</v>
      </c>
      <c r="B167" s="45" t="s">
        <v>222</v>
      </c>
      <c r="C167" s="69" t="s">
        <v>396</v>
      </c>
      <c r="D167" s="24" t="s">
        <v>16</v>
      </c>
      <c r="E167" s="24" t="s">
        <v>112</v>
      </c>
      <c r="F167" s="10" t="s">
        <v>198</v>
      </c>
      <c r="G167" s="26"/>
      <c r="H167" s="26">
        <v>110000</v>
      </c>
      <c r="I167" s="26">
        <v>0</v>
      </c>
      <c r="J167" s="26">
        <v>575000</v>
      </c>
      <c r="K167" s="83">
        <f t="shared" si="11"/>
        <v>685000</v>
      </c>
    </row>
    <row r="168" spans="1:11" s="123" customFormat="1" x14ac:dyDescent="0.25">
      <c r="A168" s="86">
        <v>10</v>
      </c>
      <c r="B168" s="143" t="s">
        <v>154</v>
      </c>
      <c r="C168" s="177" t="s">
        <v>620</v>
      </c>
      <c r="D168" s="143" t="s">
        <v>112</v>
      </c>
      <c r="E168" s="143" t="s">
        <v>112</v>
      </c>
      <c r="F168" s="10" t="s">
        <v>75</v>
      </c>
      <c r="G168" s="26"/>
      <c r="H168" s="26"/>
      <c r="I168" s="26">
        <v>110000</v>
      </c>
      <c r="J168" s="26">
        <v>0</v>
      </c>
      <c r="K168" s="83">
        <f t="shared" si="11"/>
        <v>110000</v>
      </c>
    </row>
    <row r="169" spans="1:11" s="123" customFormat="1" x14ac:dyDescent="0.25">
      <c r="A169" s="86">
        <v>11</v>
      </c>
      <c r="B169" s="143" t="s">
        <v>586</v>
      </c>
      <c r="C169" s="177" t="s">
        <v>414</v>
      </c>
      <c r="D169" s="143" t="s">
        <v>112</v>
      </c>
      <c r="E169" s="143" t="s">
        <v>112</v>
      </c>
      <c r="F169" s="142" t="s">
        <v>75</v>
      </c>
      <c r="G169" s="26"/>
      <c r="H169" s="26"/>
      <c r="I169" s="26">
        <v>622500</v>
      </c>
      <c r="J169" s="26">
        <v>0</v>
      </c>
      <c r="K169" s="83">
        <f t="shared" si="11"/>
        <v>622500</v>
      </c>
    </row>
    <row r="170" spans="1:11" s="123" customFormat="1" x14ac:dyDescent="0.25">
      <c r="A170" s="86">
        <v>12</v>
      </c>
      <c r="B170" s="143" t="s">
        <v>705</v>
      </c>
      <c r="C170" s="176"/>
      <c r="D170" s="143" t="s">
        <v>112</v>
      </c>
      <c r="E170" s="143" t="s">
        <v>112</v>
      </c>
      <c r="F170" s="10" t="s">
        <v>75</v>
      </c>
      <c r="G170" s="26"/>
      <c r="H170" s="26"/>
      <c r="I170" s="26"/>
      <c r="J170" s="26">
        <v>425000</v>
      </c>
      <c r="K170" s="83">
        <f t="shared" si="11"/>
        <v>425000</v>
      </c>
    </row>
    <row r="171" spans="1:11" s="123" customFormat="1" ht="15.75" thickBot="1" x14ac:dyDescent="0.3">
      <c r="A171" s="86">
        <v>13</v>
      </c>
      <c r="B171" s="143" t="s">
        <v>207</v>
      </c>
      <c r="C171" s="143"/>
      <c r="D171" s="143" t="s">
        <v>16</v>
      </c>
      <c r="E171" s="143" t="s">
        <v>112</v>
      </c>
      <c r="F171" s="10" t="s">
        <v>96</v>
      </c>
      <c r="G171" s="26"/>
      <c r="H171" s="26"/>
      <c r="I171" s="26"/>
      <c r="J171" s="26">
        <v>27500</v>
      </c>
      <c r="K171" s="83">
        <f t="shared" si="11"/>
        <v>27500</v>
      </c>
    </row>
    <row r="172" spans="1:11" s="2" customFormat="1" x14ac:dyDescent="0.25">
      <c r="A172" s="225" t="s">
        <v>3</v>
      </c>
      <c r="B172" s="226"/>
      <c r="C172" s="226"/>
      <c r="D172" s="226"/>
      <c r="E172" s="226"/>
      <c r="F172" s="226"/>
      <c r="G172" s="28">
        <f>SUM(G159:G171)</f>
        <v>4440500</v>
      </c>
      <c r="H172" s="28">
        <f>SUM(H159:H171)</f>
        <v>2247000</v>
      </c>
      <c r="I172" s="28">
        <f>SUM(I159:I171)</f>
        <v>3607500</v>
      </c>
      <c r="J172" s="28">
        <f>SUM(J159:J171)</f>
        <v>9440000</v>
      </c>
      <c r="K172" s="84">
        <f>SUM(G172:J172)</f>
        <v>19735000</v>
      </c>
    </row>
    <row r="173" spans="1:11" s="2" customFormat="1" x14ac:dyDescent="0.25">
      <c r="A173" s="213" t="s">
        <v>56</v>
      </c>
      <c r="B173" s="214"/>
      <c r="C173" s="214"/>
      <c r="D173" s="214"/>
      <c r="E173" s="214"/>
      <c r="F173" s="214"/>
      <c r="G173" s="214"/>
      <c r="H173" s="214"/>
      <c r="I173" s="214"/>
      <c r="J173" s="214"/>
      <c r="K173" s="215"/>
    </row>
    <row r="174" spans="1:11" s="2" customFormat="1" x14ac:dyDescent="0.25">
      <c r="A174" s="86">
        <v>1</v>
      </c>
      <c r="B174" s="45" t="s">
        <v>261</v>
      </c>
      <c r="C174" s="69" t="s">
        <v>415</v>
      </c>
      <c r="D174" s="24" t="s">
        <v>262</v>
      </c>
      <c r="E174" s="24" t="s">
        <v>262</v>
      </c>
      <c r="F174" s="10" t="s">
        <v>198</v>
      </c>
      <c r="G174" s="26">
        <v>1122500</v>
      </c>
      <c r="H174" s="26">
        <v>535000</v>
      </c>
      <c r="I174" s="26">
        <v>765000</v>
      </c>
      <c r="J174" s="26">
        <v>1400000</v>
      </c>
      <c r="K174" s="85">
        <f>SUM(G174:J174)</f>
        <v>3822500</v>
      </c>
    </row>
    <row r="175" spans="1:11" s="2" customFormat="1" x14ac:dyDescent="0.25">
      <c r="A175" s="86">
        <v>2</v>
      </c>
      <c r="B175" s="45" t="s">
        <v>263</v>
      </c>
      <c r="C175" s="69" t="s">
        <v>416</v>
      </c>
      <c r="D175" s="24" t="s">
        <v>262</v>
      </c>
      <c r="E175" s="24" t="s">
        <v>262</v>
      </c>
      <c r="F175" s="9" t="s">
        <v>198</v>
      </c>
      <c r="G175" s="26">
        <v>325000</v>
      </c>
      <c r="H175" s="26">
        <v>0</v>
      </c>
      <c r="I175" s="26">
        <v>817500</v>
      </c>
      <c r="J175" s="26">
        <v>782500</v>
      </c>
      <c r="K175" s="85">
        <f t="shared" ref="K175:K180" si="12">SUM(G175:J175)</f>
        <v>1925000</v>
      </c>
    </row>
    <row r="176" spans="1:11" s="2" customFormat="1" x14ac:dyDescent="0.25">
      <c r="A176" s="86">
        <v>3</v>
      </c>
      <c r="B176" s="45" t="s">
        <v>113</v>
      </c>
      <c r="C176" s="129" t="s">
        <v>412</v>
      </c>
      <c r="D176" s="24" t="s">
        <v>112</v>
      </c>
      <c r="E176" s="24" t="s">
        <v>262</v>
      </c>
      <c r="F176" s="9" t="s">
        <v>198</v>
      </c>
      <c r="G176" s="26">
        <v>187500</v>
      </c>
      <c r="H176" s="26">
        <v>962500</v>
      </c>
      <c r="I176" s="26">
        <v>905000</v>
      </c>
      <c r="J176" s="26">
        <v>1663600</v>
      </c>
      <c r="K176" s="85">
        <f t="shared" si="12"/>
        <v>3718600</v>
      </c>
    </row>
    <row r="177" spans="1:11" s="123" customFormat="1" x14ac:dyDescent="0.25">
      <c r="A177" s="86">
        <v>4</v>
      </c>
      <c r="B177" s="24" t="s">
        <v>115</v>
      </c>
      <c r="C177" s="129" t="s">
        <v>414</v>
      </c>
      <c r="D177" s="24" t="s">
        <v>262</v>
      </c>
      <c r="E177" s="24" t="s">
        <v>262</v>
      </c>
      <c r="F177" s="9" t="s">
        <v>75</v>
      </c>
      <c r="G177" s="26">
        <v>330000</v>
      </c>
      <c r="H177" s="26">
        <v>0</v>
      </c>
      <c r="I177" s="26">
        <v>390000</v>
      </c>
      <c r="J177" s="26">
        <v>0</v>
      </c>
      <c r="K177" s="85">
        <f t="shared" si="12"/>
        <v>720000</v>
      </c>
    </row>
    <row r="178" spans="1:11" s="123" customFormat="1" x14ac:dyDescent="0.25">
      <c r="A178" s="86">
        <v>5</v>
      </c>
      <c r="B178" s="45" t="s">
        <v>264</v>
      </c>
      <c r="C178" s="69" t="s">
        <v>417</v>
      </c>
      <c r="D178" s="24" t="s">
        <v>262</v>
      </c>
      <c r="E178" s="24" t="s">
        <v>262</v>
      </c>
      <c r="F178" s="9" t="s">
        <v>198</v>
      </c>
      <c r="G178" s="26"/>
      <c r="H178" s="26">
        <v>350000</v>
      </c>
      <c r="I178" s="26">
        <v>290000</v>
      </c>
      <c r="J178" s="26">
        <v>565000</v>
      </c>
      <c r="K178" s="85">
        <f t="shared" si="12"/>
        <v>1205000</v>
      </c>
    </row>
    <row r="179" spans="1:11" s="123" customFormat="1" x14ac:dyDescent="0.25">
      <c r="A179" s="86">
        <v>6</v>
      </c>
      <c r="B179" s="45" t="s">
        <v>265</v>
      </c>
      <c r="C179" s="129" t="s">
        <v>418</v>
      </c>
      <c r="D179" s="24" t="s">
        <v>266</v>
      </c>
      <c r="E179" s="24" t="s">
        <v>266</v>
      </c>
      <c r="F179" s="9" t="s">
        <v>198</v>
      </c>
      <c r="G179" s="26"/>
      <c r="H179" s="26">
        <v>2240000</v>
      </c>
      <c r="I179" s="26"/>
      <c r="J179" s="26">
        <v>5830000</v>
      </c>
      <c r="K179" s="85">
        <f t="shared" si="12"/>
        <v>8070000</v>
      </c>
    </row>
    <row r="180" spans="1:11" s="123" customFormat="1" ht="15.75" thickBot="1" x14ac:dyDescent="0.3">
      <c r="A180" s="86">
        <v>7</v>
      </c>
      <c r="B180" s="143" t="s">
        <v>706</v>
      </c>
      <c r="C180" s="177"/>
      <c r="D180" s="143" t="s">
        <v>266</v>
      </c>
      <c r="E180" s="143" t="s">
        <v>266</v>
      </c>
      <c r="F180" s="142" t="s">
        <v>75</v>
      </c>
      <c r="G180" s="26"/>
      <c r="H180" s="26"/>
      <c r="I180" s="26"/>
      <c r="J180" s="26">
        <v>265000</v>
      </c>
      <c r="K180" s="85">
        <f t="shared" si="12"/>
        <v>265000</v>
      </c>
    </row>
    <row r="181" spans="1:11" x14ac:dyDescent="0.25">
      <c r="A181" s="241" t="s">
        <v>3</v>
      </c>
      <c r="B181" s="242"/>
      <c r="C181" s="242"/>
      <c r="D181" s="242"/>
      <c r="E181" s="242"/>
      <c r="F181" s="242"/>
      <c r="G181" s="32">
        <f>SUM(G174:G180)</f>
        <v>1965000</v>
      </c>
      <c r="H181" s="32">
        <f>SUM(H174:H180)</f>
        <v>4087500</v>
      </c>
      <c r="I181" s="32">
        <f>SUM(I174:I180)</f>
        <v>3167500</v>
      </c>
      <c r="J181" s="32">
        <f>SUM(J174:J180)</f>
        <v>10506100</v>
      </c>
      <c r="K181" s="102">
        <f>SUM(G181:J181)</f>
        <v>19726100</v>
      </c>
    </row>
    <row r="182" spans="1:11" s="5" customFormat="1" x14ac:dyDescent="0.25">
      <c r="A182" s="213" t="s">
        <v>86</v>
      </c>
      <c r="B182" s="214"/>
      <c r="C182" s="214"/>
      <c r="D182" s="214"/>
      <c r="E182" s="214"/>
      <c r="F182" s="214"/>
      <c r="G182" s="214"/>
      <c r="H182" s="214"/>
      <c r="I182" s="214"/>
      <c r="J182" s="214"/>
      <c r="K182" s="215"/>
    </row>
    <row r="183" spans="1:11" s="5" customFormat="1" x14ac:dyDescent="0.25">
      <c r="A183" s="86">
        <v>1</v>
      </c>
      <c r="B183" s="24" t="s">
        <v>267</v>
      </c>
      <c r="C183" s="69" t="s">
        <v>303</v>
      </c>
      <c r="D183" s="24" t="s">
        <v>268</v>
      </c>
      <c r="E183" s="24" t="s">
        <v>268</v>
      </c>
      <c r="F183" s="10" t="s">
        <v>198</v>
      </c>
      <c r="G183" s="26">
        <v>660000</v>
      </c>
      <c r="H183" s="26">
        <v>0</v>
      </c>
      <c r="I183" s="26">
        <v>0</v>
      </c>
      <c r="J183" s="26">
        <v>682500</v>
      </c>
      <c r="K183" s="85">
        <f>SUM(G183:J183)</f>
        <v>1342500</v>
      </c>
    </row>
    <row r="184" spans="1:11" s="5" customFormat="1" x14ac:dyDescent="0.25">
      <c r="A184" s="86">
        <v>2</v>
      </c>
      <c r="B184" s="24" t="s">
        <v>269</v>
      </c>
      <c r="C184" s="129" t="s">
        <v>414</v>
      </c>
      <c r="D184" s="24" t="s">
        <v>268</v>
      </c>
      <c r="E184" s="24" t="s">
        <v>268</v>
      </c>
      <c r="F184" s="9" t="s">
        <v>75</v>
      </c>
      <c r="G184" s="26"/>
      <c r="H184" s="26">
        <v>475000</v>
      </c>
      <c r="I184" s="26">
        <v>0</v>
      </c>
      <c r="J184" s="26">
        <v>0</v>
      </c>
      <c r="K184" s="85">
        <f t="shared" ref="K184:K190" si="13">SUM(G184:J184)</f>
        <v>475000</v>
      </c>
    </row>
    <row r="185" spans="1:11" s="123" customFormat="1" x14ac:dyDescent="0.25">
      <c r="A185" s="86">
        <v>3</v>
      </c>
      <c r="B185" s="45" t="s">
        <v>265</v>
      </c>
      <c r="C185" s="129" t="s">
        <v>418</v>
      </c>
      <c r="D185" s="24" t="s">
        <v>270</v>
      </c>
      <c r="E185" s="24" t="s">
        <v>268</v>
      </c>
      <c r="F185" s="9" t="s">
        <v>198</v>
      </c>
      <c r="G185" s="26"/>
      <c r="H185" s="26">
        <v>2850000</v>
      </c>
      <c r="I185" s="26">
        <v>1930000</v>
      </c>
      <c r="J185" s="26">
        <v>0</v>
      </c>
      <c r="K185" s="85">
        <f t="shared" si="13"/>
        <v>4780000</v>
      </c>
    </row>
    <row r="186" spans="1:11" s="123" customFormat="1" x14ac:dyDescent="0.25">
      <c r="A186" s="86">
        <v>4</v>
      </c>
      <c r="B186" s="45" t="s">
        <v>200</v>
      </c>
      <c r="C186" s="134" t="s">
        <v>386</v>
      </c>
      <c r="D186" s="24" t="s">
        <v>5</v>
      </c>
      <c r="E186" s="24" t="s">
        <v>268</v>
      </c>
      <c r="F186" s="9" t="s">
        <v>198</v>
      </c>
      <c r="G186" s="26"/>
      <c r="H186" s="26">
        <v>1350000</v>
      </c>
      <c r="I186" s="26"/>
      <c r="J186" s="26">
        <v>2800000</v>
      </c>
      <c r="K186" s="85">
        <f t="shared" si="13"/>
        <v>4150000</v>
      </c>
    </row>
    <row r="187" spans="1:11" s="123" customFormat="1" x14ac:dyDescent="0.25">
      <c r="A187" s="86">
        <v>5</v>
      </c>
      <c r="B187" s="24" t="s">
        <v>241</v>
      </c>
      <c r="C187" s="134" t="s">
        <v>419</v>
      </c>
      <c r="D187" s="24" t="s">
        <v>268</v>
      </c>
      <c r="E187" s="24" t="s">
        <v>268</v>
      </c>
      <c r="F187" s="9" t="s">
        <v>96</v>
      </c>
      <c r="G187" s="26"/>
      <c r="H187" s="26">
        <v>1300000</v>
      </c>
      <c r="I187" s="26"/>
      <c r="J187" s="26">
        <v>1927500</v>
      </c>
      <c r="K187" s="85">
        <f t="shared" si="13"/>
        <v>3227500</v>
      </c>
    </row>
    <row r="188" spans="1:11" s="123" customFormat="1" x14ac:dyDescent="0.25">
      <c r="A188" s="86">
        <v>6</v>
      </c>
      <c r="B188" s="176" t="s">
        <v>104</v>
      </c>
      <c r="C188" s="177"/>
      <c r="D188" s="143" t="s">
        <v>16</v>
      </c>
      <c r="E188" s="143" t="s">
        <v>268</v>
      </c>
      <c r="F188" s="142" t="s">
        <v>198</v>
      </c>
      <c r="G188" s="26"/>
      <c r="H188" s="26"/>
      <c r="I188" s="26"/>
      <c r="J188" s="26">
        <v>1375000</v>
      </c>
      <c r="K188" s="85">
        <f t="shared" si="13"/>
        <v>1375000</v>
      </c>
    </row>
    <row r="189" spans="1:11" s="123" customFormat="1" x14ac:dyDescent="0.25">
      <c r="A189" s="86">
        <v>7</v>
      </c>
      <c r="B189" s="143" t="s">
        <v>707</v>
      </c>
      <c r="C189" s="178"/>
      <c r="D189" s="143" t="s">
        <v>268</v>
      </c>
      <c r="E189" s="143" t="s">
        <v>268</v>
      </c>
      <c r="F189" s="142" t="s">
        <v>75</v>
      </c>
      <c r="G189" s="26"/>
      <c r="H189" s="26"/>
      <c r="I189" s="26"/>
      <c r="J189" s="26">
        <v>55000</v>
      </c>
      <c r="K189" s="85">
        <f t="shared" si="13"/>
        <v>55000</v>
      </c>
    </row>
    <row r="190" spans="1:11" s="123" customFormat="1" ht="15.75" thickBot="1" x14ac:dyDescent="0.3">
      <c r="A190" s="86">
        <v>8</v>
      </c>
      <c r="B190" s="143" t="s">
        <v>708</v>
      </c>
      <c r="C190" s="131"/>
      <c r="D190" s="143" t="s">
        <v>709</v>
      </c>
      <c r="E190" s="143" t="s">
        <v>709</v>
      </c>
      <c r="F190" s="142" t="s">
        <v>75</v>
      </c>
      <c r="G190" s="26"/>
      <c r="H190" s="26"/>
      <c r="I190" s="26"/>
      <c r="J190" s="26">
        <v>860000</v>
      </c>
      <c r="K190" s="85">
        <f t="shared" si="13"/>
        <v>860000</v>
      </c>
    </row>
    <row r="191" spans="1:11" s="5" customFormat="1" ht="15.75" thickBot="1" x14ac:dyDescent="0.3">
      <c r="A191" s="241" t="s">
        <v>3</v>
      </c>
      <c r="B191" s="242"/>
      <c r="C191" s="242"/>
      <c r="D191" s="242"/>
      <c r="E191" s="242"/>
      <c r="F191" s="242"/>
      <c r="G191" s="32">
        <f>SUM(G183:G190)</f>
        <v>660000</v>
      </c>
      <c r="H191" s="32">
        <f>SUM(H183:H190)</f>
        <v>5975000</v>
      </c>
      <c r="I191" s="32">
        <f>SUM(I183:I190)</f>
        <v>1930000</v>
      </c>
      <c r="J191" s="32">
        <f>SUM(J183:J190)</f>
        <v>7700000</v>
      </c>
      <c r="K191" s="32">
        <f>SUM(K183:K190)</f>
        <v>16265000</v>
      </c>
    </row>
    <row r="192" spans="1:11" ht="15.75" thickBot="1" x14ac:dyDescent="0.3">
      <c r="A192" s="227" t="s">
        <v>15</v>
      </c>
      <c r="B192" s="228"/>
      <c r="C192" s="228"/>
      <c r="D192" s="228"/>
      <c r="E192" s="228"/>
      <c r="F192" s="229"/>
      <c r="G192" s="105">
        <f>G191+G181+G172+G157+G138+G132+G110+G103+G88+G77+G50+G30</f>
        <v>28769200</v>
      </c>
      <c r="H192" s="105">
        <f>H191+H181+H172+H157+H138+H132+H110+H103+H88+H77+H50+H30</f>
        <v>45448900</v>
      </c>
      <c r="I192" s="105">
        <f>I191+I181+I172+I157+I138+I132+I110+I103+I88+I77+I50+I30</f>
        <v>22748900</v>
      </c>
      <c r="J192" s="105">
        <f>J191+J181+J172+J157+J138+J132+J110+J103+J88+J77+J50+J30</f>
        <v>73667300</v>
      </c>
      <c r="K192" s="107">
        <f>SUM(G192:J192)</f>
        <v>170634300</v>
      </c>
    </row>
    <row r="193" spans="1:15" ht="15.75" thickTop="1" x14ac:dyDescent="0.25">
      <c r="A193" s="5"/>
      <c r="B193" s="5"/>
      <c r="E193" s="5"/>
      <c r="F193" s="5"/>
      <c r="G193" s="5"/>
      <c r="H193" s="5"/>
      <c r="I193" s="1"/>
      <c r="J193" s="1"/>
      <c r="K193" s="1"/>
      <c r="O193" s="68"/>
    </row>
    <row r="194" spans="1:15" s="5" customFormat="1" ht="15.75" x14ac:dyDescent="0.25">
      <c r="A194" s="44" t="s">
        <v>192</v>
      </c>
      <c r="C194" s="123"/>
      <c r="E194" s="118">
        <f>SUM(E195:E199)</f>
        <v>359084300</v>
      </c>
      <c r="F194" s="52"/>
      <c r="I194" s="1"/>
      <c r="J194" s="1"/>
      <c r="K194" s="1"/>
    </row>
    <row r="195" spans="1:15" x14ac:dyDescent="0.25">
      <c r="A195" s="7" t="s">
        <v>67</v>
      </c>
      <c r="B195" s="7" t="s">
        <v>61</v>
      </c>
      <c r="C195" s="44"/>
      <c r="D195" s="7"/>
      <c r="E195" s="62">
        <f>K192</f>
        <v>170634300</v>
      </c>
      <c r="F195" s="3"/>
      <c r="G195" s="5"/>
      <c r="H195" s="230" t="s">
        <v>168</v>
      </c>
      <c r="I195" s="230"/>
      <c r="J195" s="230"/>
      <c r="K195" s="5"/>
    </row>
    <row r="196" spans="1:15" s="2" customFormat="1" x14ac:dyDescent="0.25">
      <c r="A196" s="7" t="s">
        <v>68</v>
      </c>
      <c r="B196" s="7" t="s">
        <v>62</v>
      </c>
      <c r="C196" s="44"/>
      <c r="D196" s="7"/>
      <c r="E196" s="8">
        <f>'Wil 2'!K380</f>
        <v>131651700</v>
      </c>
      <c r="F196" s="3"/>
      <c r="G196" s="5"/>
      <c r="H196" s="5"/>
      <c r="I196" s="5"/>
      <c r="J196" s="5"/>
      <c r="K196" s="5"/>
    </row>
    <row r="197" spans="1:15" s="5" customFormat="1" x14ac:dyDescent="0.25">
      <c r="A197" s="44" t="s">
        <v>66</v>
      </c>
      <c r="B197" s="7" t="s">
        <v>69</v>
      </c>
      <c r="C197" s="44"/>
      <c r="D197" s="7"/>
      <c r="E197" s="8">
        <f>MP!I24</f>
        <v>19241000</v>
      </c>
      <c r="F197" s="3"/>
      <c r="H197" s="230"/>
      <c r="I197" s="230"/>
      <c r="J197" s="230"/>
      <c r="K197" s="230"/>
    </row>
    <row r="198" spans="1:15" s="5" customFormat="1" x14ac:dyDescent="0.25">
      <c r="A198" s="44" t="s">
        <v>84</v>
      </c>
      <c r="B198" s="44" t="s">
        <v>57</v>
      </c>
      <c r="C198" s="44"/>
      <c r="D198" s="44"/>
      <c r="E198" s="8">
        <f>K141</f>
        <v>16280000</v>
      </c>
      <c r="F198" s="3"/>
      <c r="H198" s="114"/>
      <c r="I198" s="114"/>
      <c r="J198" s="114"/>
      <c r="K198" s="114"/>
    </row>
    <row r="199" spans="1:15" s="123" customFormat="1" x14ac:dyDescent="0.25">
      <c r="A199" s="44" t="s">
        <v>66</v>
      </c>
      <c r="B199" s="44" t="s">
        <v>110</v>
      </c>
      <c r="C199" s="44"/>
      <c r="D199" s="44"/>
      <c r="E199" s="8">
        <f>K147</f>
        <v>21277300</v>
      </c>
      <c r="F199" s="3"/>
      <c r="H199" s="136"/>
      <c r="I199" s="136"/>
      <c r="J199" s="136"/>
      <c r="K199" s="136"/>
    </row>
    <row r="200" spans="1:15" s="5" customFormat="1" x14ac:dyDescent="0.25">
      <c r="A200" s="44" t="s">
        <v>84</v>
      </c>
      <c r="B200" s="6" t="s">
        <v>63</v>
      </c>
      <c r="C200" s="6"/>
      <c r="E200" s="8">
        <v>2561200</v>
      </c>
    </row>
    <row r="201" spans="1:15" s="5" customFormat="1" ht="15.75" x14ac:dyDescent="0.25">
      <c r="A201" s="44" t="s">
        <v>66</v>
      </c>
      <c r="B201" s="6" t="s">
        <v>64</v>
      </c>
      <c r="C201" s="6"/>
      <c r="E201" s="8">
        <v>794000</v>
      </c>
      <c r="H201" s="238" t="s">
        <v>80</v>
      </c>
      <c r="I201" s="238"/>
      <c r="J201" s="238"/>
    </row>
    <row r="202" spans="1:15" s="2" customFormat="1" ht="15.75" x14ac:dyDescent="0.25">
      <c r="A202" s="11" t="s">
        <v>193</v>
      </c>
      <c r="B202" s="11"/>
      <c r="C202" s="11"/>
      <c r="D202" s="11"/>
      <c r="E202" s="60">
        <f>SUM(E195:E201)</f>
        <v>362439500</v>
      </c>
      <c r="G202" s="5"/>
      <c r="H202" s="202" t="s">
        <v>58</v>
      </c>
      <c r="I202" s="202"/>
      <c r="J202" s="202"/>
      <c r="K202" s="5"/>
    </row>
    <row r="203" spans="1:15" x14ac:dyDescent="0.25">
      <c r="A203" s="5"/>
      <c r="B203" s="5"/>
      <c r="E203" s="5"/>
      <c r="F203" s="5"/>
      <c r="G203" s="5"/>
      <c r="H203" s="5"/>
      <c r="I203" s="5"/>
      <c r="J203" s="5"/>
      <c r="K203" s="5"/>
    </row>
    <row r="206" spans="1:15" s="2" customFormat="1" x14ac:dyDescent="0.25">
      <c r="A206"/>
      <c r="B206"/>
      <c r="C206" s="123"/>
      <c r="D206" s="5"/>
      <c r="E206"/>
      <c r="F206"/>
      <c r="G206"/>
      <c r="H206"/>
      <c r="I206"/>
      <c r="J206"/>
    </row>
  </sheetData>
  <sortState ref="B8:H55">
    <sortCondition ref="B8:B55"/>
  </sortState>
  <mergeCells count="42">
    <mergeCell ref="A173:K173"/>
    <mergeCell ref="H201:J201"/>
    <mergeCell ref="A104:K104"/>
    <mergeCell ref="A110:F110"/>
    <mergeCell ref="A111:K111"/>
    <mergeCell ref="A172:F172"/>
    <mergeCell ref="A182:K182"/>
    <mergeCell ref="A191:F191"/>
    <mergeCell ref="A133:K133"/>
    <mergeCell ref="A139:K139"/>
    <mergeCell ref="A132:F132"/>
    <mergeCell ref="A138:F138"/>
    <mergeCell ref="A141:F141"/>
    <mergeCell ref="A181:F181"/>
    <mergeCell ref="A158:K158"/>
    <mergeCell ref="A157:F157"/>
    <mergeCell ref="A148:K148"/>
    <mergeCell ref="A1:K2"/>
    <mergeCell ref="A3:A4"/>
    <mergeCell ref="B3:B4"/>
    <mergeCell ref="D3:D4"/>
    <mergeCell ref="E3:E4"/>
    <mergeCell ref="F3:F4"/>
    <mergeCell ref="A142:K142"/>
    <mergeCell ref="A147:F147"/>
    <mergeCell ref="C3:C4"/>
    <mergeCell ref="H202:J202"/>
    <mergeCell ref="G3:J3"/>
    <mergeCell ref="K3:K5"/>
    <mergeCell ref="A5:F5"/>
    <mergeCell ref="A30:F30"/>
    <mergeCell ref="A103:F103"/>
    <mergeCell ref="A31:K31"/>
    <mergeCell ref="A51:K51"/>
    <mergeCell ref="A89:K89"/>
    <mergeCell ref="A78:K78"/>
    <mergeCell ref="A50:F50"/>
    <mergeCell ref="A77:F77"/>
    <mergeCell ref="A88:F88"/>
    <mergeCell ref="A192:F192"/>
    <mergeCell ref="H195:J195"/>
    <mergeCell ref="H197:K197"/>
  </mergeCells>
  <pageMargins left="0.9055118110236221" right="0.51181102362204722" top="0.55118110236220474" bottom="0.51181102362204722" header="0.31496062992125984" footer="0.31496062992125984"/>
  <pageSetup paperSize="9"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"/>
  <sheetViews>
    <sheetView topLeftCell="A368" workbookViewId="0">
      <selection activeCell="J149" sqref="J149:J277"/>
    </sheetView>
  </sheetViews>
  <sheetFormatPr defaultRowHeight="15" x14ac:dyDescent="0.25"/>
  <cols>
    <col min="1" max="1" width="4.7109375" customWidth="1"/>
    <col min="2" max="2" width="27" customWidth="1"/>
    <col min="3" max="3" width="25.140625" style="123" customWidth="1"/>
    <col min="4" max="4" width="12.7109375" style="5" customWidth="1"/>
    <col min="5" max="5" width="18.7109375" customWidth="1"/>
    <col min="6" max="6" width="24" customWidth="1"/>
    <col min="7" max="7" width="12" customWidth="1"/>
    <col min="8" max="8" width="11.42578125" customWidth="1"/>
    <col min="9" max="9" width="12.140625" customWidth="1"/>
    <col min="10" max="10" width="12.28515625" customWidth="1"/>
    <col min="11" max="11" width="13.5703125" customWidth="1"/>
    <col min="13" max="13" width="10.5703125" bestFit="1" customWidth="1"/>
  </cols>
  <sheetData>
    <row r="1" spans="1:11" ht="15" customHeight="1" x14ac:dyDescent="0.25">
      <c r="A1" s="275" t="s">
        <v>190</v>
      </c>
      <c r="B1" s="276"/>
      <c r="C1" s="276"/>
      <c r="D1" s="276"/>
      <c r="E1" s="276"/>
      <c r="F1" s="276"/>
      <c r="G1" s="276"/>
      <c r="H1" s="276"/>
      <c r="I1" s="276"/>
      <c r="J1" s="276"/>
      <c r="K1" s="277"/>
    </row>
    <row r="2" spans="1:11" ht="15" customHeight="1" thickBot="1" x14ac:dyDescent="0.3">
      <c r="A2" s="278"/>
      <c r="B2" s="279"/>
      <c r="C2" s="279"/>
      <c r="D2" s="279"/>
      <c r="E2" s="279"/>
      <c r="F2" s="279"/>
      <c r="G2" s="279"/>
      <c r="H2" s="279"/>
      <c r="I2" s="279"/>
      <c r="J2" s="279"/>
      <c r="K2" s="280"/>
    </row>
    <row r="3" spans="1:11" ht="19.5" thickTop="1" x14ac:dyDescent="0.25">
      <c r="A3" s="281" t="s">
        <v>0</v>
      </c>
      <c r="B3" s="283" t="s">
        <v>1</v>
      </c>
      <c r="C3" s="285" t="s">
        <v>92</v>
      </c>
      <c r="D3" s="285" t="s">
        <v>20</v>
      </c>
      <c r="E3" s="283" t="s">
        <v>32</v>
      </c>
      <c r="F3" s="285" t="s">
        <v>21</v>
      </c>
      <c r="G3" s="287" t="s">
        <v>2</v>
      </c>
      <c r="H3" s="287"/>
      <c r="I3" s="287"/>
      <c r="J3" s="287"/>
      <c r="K3" s="288" t="s">
        <v>3</v>
      </c>
    </row>
    <row r="4" spans="1:11" ht="15.75" customHeight="1" x14ac:dyDescent="0.25">
      <c r="A4" s="282"/>
      <c r="B4" s="284"/>
      <c r="C4" s="286"/>
      <c r="D4" s="286"/>
      <c r="E4" s="284"/>
      <c r="F4" s="286"/>
      <c r="G4" s="21" t="s">
        <v>4</v>
      </c>
      <c r="H4" s="22" t="s">
        <v>22</v>
      </c>
      <c r="I4" s="22" t="s">
        <v>23</v>
      </c>
      <c r="J4" s="23" t="s">
        <v>24</v>
      </c>
      <c r="K4" s="289"/>
    </row>
    <row r="5" spans="1:11" ht="15" customHeight="1" x14ac:dyDescent="0.25">
      <c r="A5" s="291" t="s">
        <v>31</v>
      </c>
      <c r="B5" s="292"/>
      <c r="C5" s="292"/>
      <c r="D5" s="292"/>
      <c r="E5" s="292"/>
      <c r="F5" s="293"/>
      <c r="G5" s="13" t="s">
        <v>27</v>
      </c>
      <c r="H5" s="40" t="s">
        <v>28</v>
      </c>
      <c r="I5" s="40" t="s">
        <v>29</v>
      </c>
      <c r="J5" s="40" t="s">
        <v>93</v>
      </c>
      <c r="K5" s="290"/>
    </row>
    <row r="6" spans="1:11" ht="15.75" thickBot="1" x14ac:dyDescent="0.3">
      <c r="A6" s="82">
        <v>1</v>
      </c>
      <c r="B6" s="78" t="s">
        <v>278</v>
      </c>
      <c r="C6" s="135" t="s">
        <v>285</v>
      </c>
      <c r="D6" s="25" t="s">
        <v>31</v>
      </c>
      <c r="E6" s="25" t="s">
        <v>31</v>
      </c>
      <c r="F6" s="29" t="s">
        <v>75</v>
      </c>
      <c r="G6" s="38"/>
      <c r="H6" s="38">
        <v>66700</v>
      </c>
      <c r="I6" s="27"/>
      <c r="J6" s="27"/>
      <c r="K6" s="83">
        <f t="shared" ref="K6" si="0">SUM(G6:J6)</f>
        <v>66700</v>
      </c>
    </row>
    <row r="7" spans="1:11" s="2" customFormat="1" x14ac:dyDescent="0.25">
      <c r="A7" s="225" t="s">
        <v>3</v>
      </c>
      <c r="B7" s="226"/>
      <c r="C7" s="226"/>
      <c r="D7" s="226"/>
      <c r="E7" s="226"/>
      <c r="F7" s="226"/>
      <c r="G7" s="28">
        <f>SUM(G6:G6)</f>
        <v>0</v>
      </c>
      <c r="H7" s="28">
        <f>SUM(H6:H6)</f>
        <v>66700</v>
      </c>
      <c r="I7" s="28">
        <f>SUM(I6:I6)</f>
        <v>0</v>
      </c>
      <c r="J7" s="28">
        <f>SUM(J6:J6)</f>
        <v>0</v>
      </c>
      <c r="K7" s="84">
        <f>SUM(G7:J7)</f>
        <v>66700</v>
      </c>
    </row>
    <row r="8" spans="1:11" s="2" customFormat="1" ht="15.75" x14ac:dyDescent="0.25">
      <c r="A8" s="256" t="s">
        <v>16</v>
      </c>
      <c r="B8" s="257"/>
      <c r="C8" s="257"/>
      <c r="D8" s="257"/>
      <c r="E8" s="257"/>
      <c r="F8" s="257"/>
      <c r="G8" s="251"/>
      <c r="H8" s="252"/>
      <c r="I8" s="252"/>
      <c r="J8" s="252"/>
      <c r="K8" s="253"/>
    </row>
    <row r="9" spans="1:11" s="2" customFormat="1" x14ac:dyDescent="0.25">
      <c r="A9" s="82">
        <v>1</v>
      </c>
      <c r="B9" s="24" t="s">
        <v>271</v>
      </c>
      <c r="C9" s="69"/>
      <c r="D9" s="24" t="s">
        <v>16</v>
      </c>
      <c r="E9" s="24" t="s">
        <v>16</v>
      </c>
      <c r="F9" s="25" t="s">
        <v>75</v>
      </c>
      <c r="G9" s="26"/>
      <c r="H9" s="115">
        <v>23000</v>
      </c>
      <c r="I9" s="26">
        <v>0</v>
      </c>
      <c r="J9" s="27">
        <v>0</v>
      </c>
      <c r="K9" s="83">
        <f t="shared" ref="K9:K45" si="1">SUM(G9:J9)</f>
        <v>23000</v>
      </c>
    </row>
    <row r="10" spans="1:11" s="2" customFormat="1" x14ac:dyDescent="0.25">
      <c r="A10" s="82">
        <v>2</v>
      </c>
      <c r="B10" s="24" t="s">
        <v>272</v>
      </c>
      <c r="C10" s="69"/>
      <c r="D10" s="24" t="s">
        <v>16</v>
      </c>
      <c r="E10" s="24" t="s">
        <v>16</v>
      </c>
      <c r="F10" s="25" t="s">
        <v>75</v>
      </c>
      <c r="G10" s="26"/>
      <c r="H10" s="26">
        <v>23000</v>
      </c>
      <c r="I10" s="26">
        <v>0</v>
      </c>
      <c r="J10" s="27">
        <v>0</v>
      </c>
      <c r="K10" s="83">
        <f t="shared" si="1"/>
        <v>23000</v>
      </c>
    </row>
    <row r="11" spans="1:11" s="2" customFormat="1" x14ac:dyDescent="0.25">
      <c r="A11" s="82">
        <v>3</v>
      </c>
      <c r="B11" s="24" t="s">
        <v>207</v>
      </c>
      <c r="C11" s="129" t="s">
        <v>304</v>
      </c>
      <c r="D11" s="24" t="s">
        <v>16</v>
      </c>
      <c r="E11" s="24" t="s">
        <v>16</v>
      </c>
      <c r="F11" s="25" t="s">
        <v>75</v>
      </c>
      <c r="G11" s="26"/>
      <c r="H11" s="26">
        <v>20700</v>
      </c>
      <c r="I11" s="26">
        <v>55500</v>
      </c>
      <c r="J11" s="27">
        <v>20700</v>
      </c>
      <c r="K11" s="83">
        <f t="shared" si="1"/>
        <v>96900</v>
      </c>
    </row>
    <row r="12" spans="1:11" s="5" customFormat="1" x14ac:dyDescent="0.25">
      <c r="A12" s="82">
        <v>4</v>
      </c>
      <c r="B12" s="45" t="s">
        <v>104</v>
      </c>
      <c r="C12" s="129" t="s">
        <v>287</v>
      </c>
      <c r="D12" s="24" t="s">
        <v>16</v>
      </c>
      <c r="E12" s="24" t="s">
        <v>16</v>
      </c>
      <c r="F12" s="25" t="s">
        <v>198</v>
      </c>
      <c r="G12" s="26"/>
      <c r="H12" s="26">
        <v>11500</v>
      </c>
      <c r="I12" s="26">
        <v>291700</v>
      </c>
      <c r="J12" s="27">
        <v>312800</v>
      </c>
      <c r="K12" s="83">
        <f t="shared" si="1"/>
        <v>616000</v>
      </c>
    </row>
    <row r="13" spans="1:11" s="5" customFormat="1" x14ac:dyDescent="0.25">
      <c r="A13" s="82">
        <v>5</v>
      </c>
      <c r="B13" s="24" t="s">
        <v>273</v>
      </c>
      <c r="C13" s="69"/>
      <c r="D13" s="24" t="s">
        <v>16</v>
      </c>
      <c r="E13" s="24" t="s">
        <v>16</v>
      </c>
      <c r="F13" s="25" t="s">
        <v>75</v>
      </c>
      <c r="G13" s="26"/>
      <c r="H13" s="26">
        <v>18400</v>
      </c>
      <c r="I13" s="26">
        <v>0</v>
      </c>
      <c r="J13" s="27">
        <v>0</v>
      </c>
      <c r="K13" s="83">
        <f t="shared" si="1"/>
        <v>18400</v>
      </c>
    </row>
    <row r="14" spans="1:11" s="5" customFormat="1" x14ac:dyDescent="0.25">
      <c r="A14" s="82">
        <v>6</v>
      </c>
      <c r="B14" s="24" t="s">
        <v>274</v>
      </c>
      <c r="C14" s="69" t="s">
        <v>605</v>
      </c>
      <c r="D14" s="24" t="s">
        <v>16</v>
      </c>
      <c r="E14" s="24" t="s">
        <v>16</v>
      </c>
      <c r="F14" s="25" t="s">
        <v>75</v>
      </c>
      <c r="G14" s="26"/>
      <c r="H14" s="26">
        <v>22500</v>
      </c>
      <c r="I14" s="26">
        <v>27600</v>
      </c>
      <c r="J14" s="27">
        <v>27500</v>
      </c>
      <c r="K14" s="83">
        <f t="shared" si="1"/>
        <v>77600</v>
      </c>
    </row>
    <row r="15" spans="1:11" s="5" customFormat="1" x14ac:dyDescent="0.25">
      <c r="A15" s="82">
        <v>7</v>
      </c>
      <c r="B15" s="24" t="s">
        <v>275</v>
      </c>
      <c r="C15" s="69"/>
      <c r="D15" s="24" t="s">
        <v>16</v>
      </c>
      <c r="E15" s="24" t="s">
        <v>16</v>
      </c>
      <c r="F15" s="25" t="s">
        <v>75</v>
      </c>
      <c r="G15" s="26"/>
      <c r="H15" s="26">
        <v>27500</v>
      </c>
      <c r="I15" s="26">
        <v>0</v>
      </c>
      <c r="J15" s="27">
        <v>0</v>
      </c>
      <c r="K15" s="83">
        <f t="shared" si="1"/>
        <v>27500</v>
      </c>
    </row>
    <row r="16" spans="1:11" s="5" customFormat="1" x14ac:dyDescent="0.25">
      <c r="A16" s="82">
        <v>8</v>
      </c>
      <c r="B16" s="24" t="s">
        <v>276</v>
      </c>
      <c r="C16" s="69"/>
      <c r="D16" s="24" t="s">
        <v>16</v>
      </c>
      <c r="E16" s="24" t="s">
        <v>16</v>
      </c>
      <c r="F16" s="25" t="s">
        <v>75</v>
      </c>
      <c r="G16" s="26"/>
      <c r="H16" s="26">
        <v>46000</v>
      </c>
      <c r="I16" s="26">
        <v>0</v>
      </c>
      <c r="J16" s="27">
        <v>0</v>
      </c>
      <c r="K16" s="83">
        <f t="shared" si="1"/>
        <v>46000</v>
      </c>
    </row>
    <row r="17" spans="1:11" s="5" customFormat="1" x14ac:dyDescent="0.25">
      <c r="A17" s="82">
        <v>9</v>
      </c>
      <c r="B17" s="24" t="s">
        <v>277</v>
      </c>
      <c r="C17" s="69" t="s">
        <v>286</v>
      </c>
      <c r="D17" s="24" t="s">
        <v>16</v>
      </c>
      <c r="E17" s="24" t="s">
        <v>16</v>
      </c>
      <c r="F17" s="25" t="s">
        <v>75</v>
      </c>
      <c r="G17" s="26"/>
      <c r="H17" s="26">
        <v>11500</v>
      </c>
      <c r="I17" s="26">
        <v>30000</v>
      </c>
      <c r="J17" s="27">
        <v>0</v>
      </c>
      <c r="K17" s="83">
        <f t="shared" si="1"/>
        <v>41500</v>
      </c>
    </row>
    <row r="18" spans="1:11" s="5" customFormat="1" x14ac:dyDescent="0.25">
      <c r="A18" s="82">
        <v>10</v>
      </c>
      <c r="B18" s="143" t="s">
        <v>516</v>
      </c>
      <c r="C18" s="177"/>
      <c r="D18" s="143" t="s">
        <v>16</v>
      </c>
      <c r="E18" s="143" t="s">
        <v>16</v>
      </c>
      <c r="F18" s="25" t="s">
        <v>75</v>
      </c>
      <c r="G18" s="26"/>
      <c r="H18" s="26"/>
      <c r="I18" s="26">
        <v>46000</v>
      </c>
      <c r="J18" s="27">
        <v>0</v>
      </c>
      <c r="K18" s="83">
        <f t="shared" si="1"/>
        <v>46000</v>
      </c>
    </row>
    <row r="19" spans="1:11" s="5" customFormat="1" x14ac:dyDescent="0.25">
      <c r="A19" s="82">
        <v>11</v>
      </c>
      <c r="B19" s="143" t="s">
        <v>517</v>
      </c>
      <c r="C19" s="177"/>
      <c r="D19" s="143" t="s">
        <v>16</v>
      </c>
      <c r="E19" s="143" t="s">
        <v>16</v>
      </c>
      <c r="F19" s="25" t="s">
        <v>75</v>
      </c>
      <c r="G19" s="26"/>
      <c r="H19" s="26"/>
      <c r="I19" s="26">
        <v>34500</v>
      </c>
      <c r="J19" s="27">
        <v>0</v>
      </c>
      <c r="K19" s="83">
        <f t="shared" si="1"/>
        <v>34500</v>
      </c>
    </row>
    <row r="20" spans="1:11" s="5" customFormat="1" x14ac:dyDescent="0.25">
      <c r="A20" s="82">
        <v>12</v>
      </c>
      <c r="B20" s="143" t="s">
        <v>518</v>
      </c>
      <c r="C20" s="177" t="s">
        <v>604</v>
      </c>
      <c r="D20" s="143" t="s">
        <v>16</v>
      </c>
      <c r="E20" s="143" t="s">
        <v>16</v>
      </c>
      <c r="F20" s="25" t="s">
        <v>75</v>
      </c>
      <c r="G20" s="26"/>
      <c r="H20" s="26"/>
      <c r="I20" s="26">
        <v>15000</v>
      </c>
      <c r="J20" s="27">
        <v>0</v>
      </c>
      <c r="K20" s="83">
        <f t="shared" si="1"/>
        <v>15000</v>
      </c>
    </row>
    <row r="21" spans="1:11" s="5" customFormat="1" x14ac:dyDescent="0.25">
      <c r="A21" s="82">
        <v>13</v>
      </c>
      <c r="B21" s="143" t="s">
        <v>314</v>
      </c>
      <c r="C21" s="177"/>
      <c r="D21" s="143" t="s">
        <v>16</v>
      </c>
      <c r="E21" s="143" t="s">
        <v>16</v>
      </c>
      <c r="F21" s="25" t="s">
        <v>75</v>
      </c>
      <c r="G21" s="26"/>
      <c r="H21" s="26"/>
      <c r="I21" s="26">
        <v>17500</v>
      </c>
      <c r="J21" s="27">
        <v>0</v>
      </c>
      <c r="K21" s="83">
        <f t="shared" si="1"/>
        <v>17500</v>
      </c>
    </row>
    <row r="22" spans="1:11" s="5" customFormat="1" x14ac:dyDescent="0.25">
      <c r="A22" s="82">
        <v>14</v>
      </c>
      <c r="B22" s="143" t="s">
        <v>114</v>
      </c>
      <c r="C22" s="177" t="s">
        <v>603</v>
      </c>
      <c r="D22" s="143" t="s">
        <v>16</v>
      </c>
      <c r="E22" s="143" t="s">
        <v>16</v>
      </c>
      <c r="F22" s="25" t="s">
        <v>75</v>
      </c>
      <c r="G22" s="26"/>
      <c r="H22" s="26"/>
      <c r="I22" s="26">
        <v>30000</v>
      </c>
      <c r="J22" s="27">
        <v>0</v>
      </c>
      <c r="K22" s="83">
        <f t="shared" si="1"/>
        <v>30000</v>
      </c>
    </row>
    <row r="23" spans="1:11" s="5" customFormat="1" x14ac:dyDescent="0.25">
      <c r="A23" s="82">
        <v>15</v>
      </c>
      <c r="B23" s="143" t="s">
        <v>519</v>
      </c>
      <c r="C23" s="177"/>
      <c r="D23" s="143" t="s">
        <v>16</v>
      </c>
      <c r="E23" s="143" t="s">
        <v>16</v>
      </c>
      <c r="F23" s="25" t="s">
        <v>75</v>
      </c>
      <c r="G23" s="26"/>
      <c r="H23" s="26"/>
      <c r="I23" s="26">
        <v>22000</v>
      </c>
      <c r="J23" s="27">
        <v>0</v>
      </c>
      <c r="K23" s="83">
        <f t="shared" si="1"/>
        <v>22000</v>
      </c>
    </row>
    <row r="24" spans="1:11" s="5" customFormat="1" x14ac:dyDescent="0.25">
      <c r="A24" s="82">
        <v>16</v>
      </c>
      <c r="B24" s="143" t="s">
        <v>624</v>
      </c>
      <c r="C24" s="143"/>
      <c r="D24" s="143" t="s">
        <v>16</v>
      </c>
      <c r="E24" s="143" t="s">
        <v>16</v>
      </c>
      <c r="F24" s="25" t="s">
        <v>75</v>
      </c>
      <c r="G24" s="26"/>
      <c r="H24" s="26"/>
      <c r="I24" s="26">
        <v>0</v>
      </c>
      <c r="J24" s="27">
        <v>23000</v>
      </c>
      <c r="K24" s="83">
        <f t="shared" si="1"/>
        <v>23000</v>
      </c>
    </row>
    <row r="25" spans="1:11" s="2" customFormat="1" x14ac:dyDescent="0.25">
      <c r="A25" s="82">
        <v>17</v>
      </c>
      <c r="B25" s="143" t="s">
        <v>625</v>
      </c>
      <c r="C25" s="362"/>
      <c r="D25" s="143" t="s">
        <v>16</v>
      </c>
      <c r="E25" s="143" t="s">
        <v>16</v>
      </c>
      <c r="F25" s="25" t="s">
        <v>75</v>
      </c>
      <c r="G25" s="26"/>
      <c r="H25" s="26"/>
      <c r="I25" s="26"/>
      <c r="J25" s="27">
        <v>23000</v>
      </c>
      <c r="K25" s="83">
        <f t="shared" si="1"/>
        <v>23000</v>
      </c>
    </row>
    <row r="26" spans="1:11" s="123" customFormat="1" x14ac:dyDescent="0.25">
      <c r="A26" s="82">
        <v>18</v>
      </c>
      <c r="B26" s="143" t="s">
        <v>626</v>
      </c>
      <c r="C26" s="143"/>
      <c r="D26" s="143" t="s">
        <v>16</v>
      </c>
      <c r="E26" s="143" t="s">
        <v>16</v>
      </c>
      <c r="F26" s="25" t="s">
        <v>75</v>
      </c>
      <c r="G26" s="26"/>
      <c r="H26" s="26"/>
      <c r="I26" s="26"/>
      <c r="J26" s="27">
        <v>6900</v>
      </c>
      <c r="K26" s="83">
        <f t="shared" si="1"/>
        <v>6900</v>
      </c>
    </row>
    <row r="27" spans="1:11" s="123" customFormat="1" x14ac:dyDescent="0.25">
      <c r="A27" s="82">
        <v>19</v>
      </c>
      <c r="B27" s="143" t="s">
        <v>627</v>
      </c>
      <c r="C27" s="143"/>
      <c r="D27" s="143" t="s">
        <v>16</v>
      </c>
      <c r="E27" s="143" t="s">
        <v>16</v>
      </c>
      <c r="F27" s="25" t="s">
        <v>75</v>
      </c>
      <c r="G27" s="26"/>
      <c r="H27" s="26"/>
      <c r="I27" s="26"/>
      <c r="J27" s="27">
        <v>55200</v>
      </c>
      <c r="K27" s="83">
        <f t="shared" si="1"/>
        <v>55200</v>
      </c>
    </row>
    <row r="28" spans="1:11" s="123" customFormat="1" x14ac:dyDescent="0.25">
      <c r="A28" s="82">
        <v>20</v>
      </c>
      <c r="B28" s="143" t="s">
        <v>578</v>
      </c>
      <c r="C28" s="143"/>
      <c r="D28" s="143" t="s">
        <v>16</v>
      </c>
      <c r="E28" s="143" t="s">
        <v>16</v>
      </c>
      <c r="F28" s="25" t="s">
        <v>75</v>
      </c>
      <c r="G28" s="26"/>
      <c r="H28" s="26"/>
      <c r="I28" s="26"/>
      <c r="J28" s="27">
        <v>55200</v>
      </c>
      <c r="K28" s="83">
        <f t="shared" si="1"/>
        <v>55200</v>
      </c>
    </row>
    <row r="29" spans="1:11" s="123" customFormat="1" x14ac:dyDescent="0.25">
      <c r="A29" s="82">
        <v>21</v>
      </c>
      <c r="B29" s="143" t="s">
        <v>150</v>
      </c>
      <c r="C29" s="143"/>
      <c r="D29" s="143" t="s">
        <v>16</v>
      </c>
      <c r="E29" s="143" t="s">
        <v>16</v>
      </c>
      <c r="F29" s="25" t="s">
        <v>75</v>
      </c>
      <c r="G29" s="26"/>
      <c r="H29" s="26"/>
      <c r="I29" s="26"/>
      <c r="J29" s="27">
        <v>39100</v>
      </c>
      <c r="K29" s="83">
        <f t="shared" si="1"/>
        <v>39100</v>
      </c>
    </row>
    <row r="30" spans="1:11" s="123" customFormat="1" x14ac:dyDescent="0.25">
      <c r="A30" s="82">
        <v>22</v>
      </c>
      <c r="B30" s="143" t="s">
        <v>628</v>
      </c>
      <c r="C30" s="143"/>
      <c r="D30" s="143" t="s">
        <v>16</v>
      </c>
      <c r="E30" s="143" t="s">
        <v>16</v>
      </c>
      <c r="F30" s="25" t="s">
        <v>75</v>
      </c>
      <c r="G30" s="26"/>
      <c r="H30" s="26"/>
      <c r="I30" s="26"/>
      <c r="J30" s="27">
        <v>39100</v>
      </c>
      <c r="K30" s="83">
        <f t="shared" si="1"/>
        <v>39100</v>
      </c>
    </row>
    <row r="31" spans="1:11" s="123" customFormat="1" x14ac:dyDescent="0.25">
      <c r="A31" s="82">
        <v>23</v>
      </c>
      <c r="B31" s="143" t="s">
        <v>282</v>
      </c>
      <c r="C31" s="131"/>
      <c r="D31" s="143" t="s">
        <v>16</v>
      </c>
      <c r="E31" s="143" t="s">
        <v>16</v>
      </c>
      <c r="F31" s="25" t="s">
        <v>75</v>
      </c>
      <c r="G31" s="26"/>
      <c r="H31" s="26"/>
      <c r="I31" s="26"/>
      <c r="J31" s="27">
        <v>28000</v>
      </c>
      <c r="K31" s="83">
        <f t="shared" si="1"/>
        <v>28000</v>
      </c>
    </row>
    <row r="32" spans="1:11" s="123" customFormat="1" x14ac:dyDescent="0.25">
      <c r="A32" s="82">
        <v>24</v>
      </c>
      <c r="B32" s="143" t="s">
        <v>629</v>
      </c>
      <c r="C32" s="143"/>
      <c r="D32" s="143" t="s">
        <v>16</v>
      </c>
      <c r="E32" s="143" t="s">
        <v>16</v>
      </c>
      <c r="F32" s="25" t="s">
        <v>75</v>
      </c>
      <c r="G32" s="26"/>
      <c r="H32" s="26"/>
      <c r="I32" s="26"/>
      <c r="J32" s="27">
        <v>28000</v>
      </c>
      <c r="K32" s="83">
        <f t="shared" si="1"/>
        <v>28000</v>
      </c>
    </row>
    <row r="33" spans="1:11" s="123" customFormat="1" x14ac:dyDescent="0.25">
      <c r="A33" s="82">
        <v>25</v>
      </c>
      <c r="B33" s="143" t="s">
        <v>630</v>
      </c>
      <c r="C33" s="143"/>
      <c r="D33" s="143" t="s">
        <v>16</v>
      </c>
      <c r="E33" s="143" t="s">
        <v>16</v>
      </c>
      <c r="F33" s="25" t="s">
        <v>75</v>
      </c>
      <c r="G33" s="26"/>
      <c r="H33" s="26"/>
      <c r="I33" s="26"/>
      <c r="J33" s="27">
        <v>1872200</v>
      </c>
      <c r="K33" s="83">
        <f t="shared" si="1"/>
        <v>1872200</v>
      </c>
    </row>
    <row r="34" spans="1:11" s="123" customFormat="1" x14ac:dyDescent="0.25">
      <c r="A34" s="82">
        <v>26</v>
      </c>
      <c r="B34" s="143" t="s">
        <v>242</v>
      </c>
      <c r="C34" s="143"/>
      <c r="D34" s="143" t="s">
        <v>16</v>
      </c>
      <c r="E34" s="143" t="s">
        <v>16</v>
      </c>
      <c r="F34" s="25" t="s">
        <v>75</v>
      </c>
      <c r="G34" s="26"/>
      <c r="H34" s="26"/>
      <c r="I34" s="26"/>
      <c r="J34" s="27">
        <v>105800</v>
      </c>
      <c r="K34" s="83">
        <f t="shared" si="1"/>
        <v>105800</v>
      </c>
    </row>
    <row r="35" spans="1:11" s="123" customFormat="1" x14ac:dyDescent="0.25">
      <c r="A35" s="82">
        <v>27</v>
      </c>
      <c r="B35" s="143" t="s">
        <v>244</v>
      </c>
      <c r="C35" s="143"/>
      <c r="D35" s="143" t="s">
        <v>16</v>
      </c>
      <c r="E35" s="143" t="s">
        <v>16</v>
      </c>
      <c r="F35" s="25" t="s">
        <v>75</v>
      </c>
      <c r="G35" s="26"/>
      <c r="H35" s="26"/>
      <c r="I35" s="26"/>
      <c r="J35" s="27">
        <v>50000</v>
      </c>
      <c r="K35" s="83">
        <f t="shared" si="1"/>
        <v>50000</v>
      </c>
    </row>
    <row r="36" spans="1:11" s="123" customFormat="1" x14ac:dyDescent="0.25">
      <c r="A36" s="82">
        <v>28</v>
      </c>
      <c r="B36" s="143" t="s">
        <v>631</v>
      </c>
      <c r="C36" s="143"/>
      <c r="D36" s="143" t="s">
        <v>16</v>
      </c>
      <c r="E36" s="143" t="s">
        <v>16</v>
      </c>
      <c r="F36" s="25" t="s">
        <v>75</v>
      </c>
      <c r="G36" s="26"/>
      <c r="H36" s="26"/>
      <c r="I36" s="26"/>
      <c r="J36" s="27">
        <v>11500</v>
      </c>
      <c r="K36" s="83">
        <f t="shared" si="1"/>
        <v>11500</v>
      </c>
    </row>
    <row r="37" spans="1:11" s="123" customFormat="1" x14ac:dyDescent="0.25">
      <c r="A37" s="82">
        <v>29</v>
      </c>
      <c r="B37" s="143" t="s">
        <v>632</v>
      </c>
      <c r="C37" s="143"/>
      <c r="D37" s="143" t="s">
        <v>16</v>
      </c>
      <c r="E37" s="143" t="s">
        <v>16</v>
      </c>
      <c r="F37" s="25" t="s">
        <v>75</v>
      </c>
      <c r="G37" s="26"/>
      <c r="H37" s="26"/>
      <c r="I37" s="26"/>
      <c r="J37" s="27">
        <v>426800</v>
      </c>
      <c r="K37" s="83">
        <f t="shared" si="1"/>
        <v>426800</v>
      </c>
    </row>
    <row r="38" spans="1:11" s="123" customFormat="1" x14ac:dyDescent="0.25">
      <c r="A38" s="82">
        <v>30</v>
      </c>
      <c r="B38" s="143" t="s">
        <v>499</v>
      </c>
      <c r="C38" s="177"/>
      <c r="D38" s="143" t="s">
        <v>16</v>
      </c>
      <c r="E38" s="143" t="s">
        <v>16</v>
      </c>
      <c r="F38" s="25" t="s">
        <v>75</v>
      </c>
      <c r="G38" s="26"/>
      <c r="H38" s="26"/>
      <c r="I38" s="26"/>
      <c r="J38" s="27">
        <v>46000</v>
      </c>
      <c r="K38" s="83">
        <f t="shared" si="1"/>
        <v>46000</v>
      </c>
    </row>
    <row r="39" spans="1:11" s="123" customFormat="1" x14ac:dyDescent="0.25">
      <c r="A39" s="82">
        <v>31</v>
      </c>
      <c r="B39" s="143" t="s">
        <v>258</v>
      </c>
      <c r="C39" s="177"/>
      <c r="D39" s="143" t="s">
        <v>16</v>
      </c>
      <c r="E39" s="143" t="s">
        <v>16</v>
      </c>
      <c r="F39" s="25" t="s">
        <v>75</v>
      </c>
      <c r="G39" s="26"/>
      <c r="H39" s="26"/>
      <c r="I39" s="26"/>
      <c r="J39" s="27">
        <v>17500</v>
      </c>
      <c r="K39" s="83">
        <f t="shared" si="1"/>
        <v>17500</v>
      </c>
    </row>
    <row r="40" spans="1:11" s="123" customFormat="1" x14ac:dyDescent="0.25">
      <c r="A40" s="82">
        <v>32</v>
      </c>
      <c r="B40" s="143" t="s">
        <v>633</v>
      </c>
      <c r="C40" s="177"/>
      <c r="D40" s="143" t="s">
        <v>16</v>
      </c>
      <c r="E40" s="143" t="s">
        <v>16</v>
      </c>
      <c r="F40" s="25" t="s">
        <v>75</v>
      </c>
      <c r="G40" s="26"/>
      <c r="H40" s="26"/>
      <c r="I40" s="26"/>
      <c r="J40" s="27">
        <v>23000</v>
      </c>
      <c r="K40" s="83">
        <f t="shared" si="1"/>
        <v>23000</v>
      </c>
    </row>
    <row r="41" spans="1:11" s="123" customFormat="1" x14ac:dyDescent="0.25">
      <c r="A41" s="82">
        <v>33</v>
      </c>
      <c r="B41" s="143" t="s">
        <v>634</v>
      </c>
      <c r="C41" s="177"/>
      <c r="D41" s="143" t="s">
        <v>16</v>
      </c>
      <c r="E41" s="143" t="s">
        <v>16</v>
      </c>
      <c r="F41" s="25" t="s">
        <v>75</v>
      </c>
      <c r="G41" s="26"/>
      <c r="H41" s="26"/>
      <c r="I41" s="26"/>
      <c r="J41" s="27">
        <v>50000</v>
      </c>
      <c r="K41" s="83">
        <f t="shared" si="1"/>
        <v>50000</v>
      </c>
    </row>
    <row r="42" spans="1:11" s="123" customFormat="1" x14ac:dyDescent="0.25">
      <c r="A42" s="82">
        <v>34</v>
      </c>
      <c r="B42" s="143" t="s">
        <v>635</v>
      </c>
      <c r="C42" s="177"/>
      <c r="D42" s="143" t="s">
        <v>16</v>
      </c>
      <c r="E42" s="143" t="s">
        <v>16</v>
      </c>
      <c r="F42" s="25" t="s">
        <v>75</v>
      </c>
      <c r="G42" s="26"/>
      <c r="H42" s="26"/>
      <c r="I42" s="26"/>
      <c r="J42" s="27">
        <v>22500</v>
      </c>
      <c r="K42" s="83">
        <f t="shared" si="1"/>
        <v>22500</v>
      </c>
    </row>
    <row r="43" spans="1:11" s="123" customFormat="1" x14ac:dyDescent="0.25">
      <c r="A43" s="82">
        <v>35</v>
      </c>
      <c r="B43" s="143" t="s">
        <v>636</v>
      </c>
      <c r="C43" s="177"/>
      <c r="D43" s="143" t="s">
        <v>16</v>
      </c>
      <c r="E43" s="143" t="s">
        <v>16</v>
      </c>
      <c r="F43" s="25" t="s">
        <v>75</v>
      </c>
      <c r="G43" s="26"/>
      <c r="H43" s="26"/>
      <c r="I43" s="26"/>
      <c r="J43" s="27">
        <v>35000</v>
      </c>
      <c r="K43" s="83">
        <f t="shared" si="1"/>
        <v>35000</v>
      </c>
    </row>
    <row r="44" spans="1:11" s="123" customFormat="1" x14ac:dyDescent="0.25">
      <c r="A44" s="82">
        <v>36</v>
      </c>
      <c r="B44" s="143" t="s">
        <v>637</v>
      </c>
      <c r="C44" s="177"/>
      <c r="D44" s="143" t="s">
        <v>16</v>
      </c>
      <c r="E44" s="143" t="s">
        <v>16</v>
      </c>
      <c r="F44" s="25" t="s">
        <v>75</v>
      </c>
      <c r="G44" s="26"/>
      <c r="H44" s="26"/>
      <c r="I44" s="26"/>
      <c r="J44" s="27">
        <v>22500</v>
      </c>
      <c r="K44" s="83">
        <f t="shared" si="1"/>
        <v>22500</v>
      </c>
    </row>
    <row r="45" spans="1:11" s="123" customFormat="1" ht="15.75" thickBot="1" x14ac:dyDescent="0.3">
      <c r="A45" s="82">
        <v>37</v>
      </c>
      <c r="B45" s="143" t="s">
        <v>638</v>
      </c>
      <c r="C45" s="143"/>
      <c r="D45" s="143" t="s">
        <v>16</v>
      </c>
      <c r="E45" s="143" t="s">
        <v>16</v>
      </c>
      <c r="F45" s="25" t="s">
        <v>75</v>
      </c>
      <c r="G45" s="26"/>
      <c r="H45" s="26"/>
      <c r="I45" s="26"/>
      <c r="J45" s="27">
        <v>17500</v>
      </c>
      <c r="K45" s="83">
        <f t="shared" si="1"/>
        <v>17500</v>
      </c>
    </row>
    <row r="46" spans="1:11" ht="15.75" x14ac:dyDescent="0.25">
      <c r="A46" s="294" t="s">
        <v>3</v>
      </c>
      <c r="B46" s="295"/>
      <c r="C46" s="295"/>
      <c r="D46" s="295"/>
      <c r="E46" s="295"/>
      <c r="F46" s="295"/>
      <c r="G46" s="28">
        <f>SUM(G9:G45)</f>
        <v>0</v>
      </c>
      <c r="H46" s="28">
        <f>SUM(H9:H45)</f>
        <v>204100</v>
      </c>
      <c r="I46" s="28">
        <f>SUM(I9:I45)</f>
        <v>569800</v>
      </c>
      <c r="J46" s="28">
        <f>SUM(J9:J45)</f>
        <v>3358800</v>
      </c>
      <c r="K46" s="84">
        <f t="shared" ref="K46" si="2">SUM(G46:J46)</f>
        <v>4132700</v>
      </c>
    </row>
    <row r="47" spans="1:11" ht="15.75" x14ac:dyDescent="0.25">
      <c r="A47" s="256" t="s">
        <v>17</v>
      </c>
      <c r="B47" s="257"/>
      <c r="C47" s="257"/>
      <c r="D47" s="257"/>
      <c r="E47" s="257"/>
      <c r="F47" s="257"/>
      <c r="G47" s="251"/>
      <c r="H47" s="252"/>
      <c r="I47" s="252"/>
      <c r="J47" s="252"/>
      <c r="K47" s="253"/>
    </row>
    <row r="48" spans="1:11" x14ac:dyDescent="0.25">
      <c r="A48" s="82">
        <v>1</v>
      </c>
      <c r="B48" s="45" t="s">
        <v>279</v>
      </c>
      <c r="C48" s="69" t="s">
        <v>288</v>
      </c>
      <c r="D48" s="24" t="s">
        <v>17</v>
      </c>
      <c r="E48" s="24" t="s">
        <v>17</v>
      </c>
      <c r="F48" s="25" t="s">
        <v>472</v>
      </c>
      <c r="G48" s="26">
        <v>386000</v>
      </c>
      <c r="H48" s="27">
        <v>0</v>
      </c>
      <c r="I48" s="25">
        <v>972000</v>
      </c>
      <c r="J48" s="26">
        <v>690000</v>
      </c>
      <c r="K48" s="85">
        <f>SUM(G48:J48)</f>
        <v>2048000</v>
      </c>
    </row>
    <row r="49" spans="1:11" s="5" customFormat="1" x14ac:dyDescent="0.25">
      <c r="A49" s="82">
        <v>2</v>
      </c>
      <c r="B49" s="24" t="s">
        <v>119</v>
      </c>
      <c r="C49" s="69" t="s">
        <v>292</v>
      </c>
      <c r="D49" s="24" t="s">
        <v>17</v>
      </c>
      <c r="E49" s="24" t="s">
        <v>17</v>
      </c>
      <c r="F49" s="25" t="s">
        <v>75</v>
      </c>
      <c r="G49" s="48">
        <v>101200</v>
      </c>
      <c r="H49" s="49">
        <v>0</v>
      </c>
      <c r="I49" s="25">
        <v>46000</v>
      </c>
      <c r="J49" s="48">
        <v>0</v>
      </c>
      <c r="K49" s="85">
        <f t="shared" ref="K49:K63" si="3">SUM(G49:J49)</f>
        <v>147200</v>
      </c>
    </row>
    <row r="50" spans="1:11" s="123" customFormat="1" x14ac:dyDescent="0.25">
      <c r="A50" s="82">
        <v>3</v>
      </c>
      <c r="B50" s="24" t="s">
        <v>280</v>
      </c>
      <c r="C50" s="69" t="s">
        <v>289</v>
      </c>
      <c r="D50" s="24" t="s">
        <v>17</v>
      </c>
      <c r="E50" s="24" t="s">
        <v>17</v>
      </c>
      <c r="F50" s="25" t="s">
        <v>75</v>
      </c>
      <c r="G50" s="48"/>
      <c r="H50" s="49">
        <v>204200</v>
      </c>
      <c r="I50" s="25">
        <v>0</v>
      </c>
      <c r="J50" s="48">
        <v>0</v>
      </c>
      <c r="K50" s="85">
        <f t="shared" si="3"/>
        <v>204200</v>
      </c>
    </row>
    <row r="51" spans="1:11" s="123" customFormat="1" x14ac:dyDescent="0.25">
      <c r="A51" s="82">
        <v>4</v>
      </c>
      <c r="B51" s="24" t="s">
        <v>281</v>
      </c>
      <c r="C51" s="69" t="s">
        <v>290</v>
      </c>
      <c r="D51" s="24" t="s">
        <v>17</v>
      </c>
      <c r="E51" s="24" t="s">
        <v>17</v>
      </c>
      <c r="F51" s="25" t="s">
        <v>75</v>
      </c>
      <c r="G51" s="48"/>
      <c r="H51" s="49">
        <v>137500</v>
      </c>
      <c r="I51" s="25">
        <v>0</v>
      </c>
      <c r="J51" s="48">
        <v>0</v>
      </c>
      <c r="K51" s="85">
        <f t="shared" si="3"/>
        <v>137500</v>
      </c>
    </row>
    <row r="52" spans="1:11" s="123" customFormat="1" x14ac:dyDescent="0.25">
      <c r="A52" s="82">
        <v>5</v>
      </c>
      <c r="B52" s="24" t="s">
        <v>282</v>
      </c>
      <c r="C52" s="69" t="s">
        <v>291</v>
      </c>
      <c r="D52" s="24" t="s">
        <v>17</v>
      </c>
      <c r="E52" s="24" t="s">
        <v>17</v>
      </c>
      <c r="F52" s="25" t="s">
        <v>75</v>
      </c>
      <c r="G52" s="48"/>
      <c r="H52" s="49">
        <v>77500</v>
      </c>
      <c r="I52" s="25">
        <v>78200</v>
      </c>
      <c r="J52" s="48">
        <v>0</v>
      </c>
      <c r="K52" s="85">
        <f t="shared" si="3"/>
        <v>155700</v>
      </c>
    </row>
    <row r="53" spans="1:11" s="123" customFormat="1" x14ac:dyDescent="0.25">
      <c r="A53" s="82">
        <v>6</v>
      </c>
      <c r="B53" s="24" t="s">
        <v>283</v>
      </c>
      <c r="C53" s="69" t="s">
        <v>289</v>
      </c>
      <c r="D53" s="24" t="s">
        <v>17</v>
      </c>
      <c r="E53" s="24" t="s">
        <v>17</v>
      </c>
      <c r="F53" s="25" t="s">
        <v>75</v>
      </c>
      <c r="G53" s="48"/>
      <c r="H53" s="49">
        <v>30000</v>
      </c>
      <c r="I53" s="25">
        <v>0</v>
      </c>
      <c r="J53" s="48">
        <v>0</v>
      </c>
      <c r="K53" s="85">
        <f t="shared" si="3"/>
        <v>30000</v>
      </c>
    </row>
    <row r="54" spans="1:11" s="123" customFormat="1" x14ac:dyDescent="0.25">
      <c r="A54" s="82">
        <v>7</v>
      </c>
      <c r="B54" s="24" t="s">
        <v>284</v>
      </c>
      <c r="C54" s="69" t="s">
        <v>289</v>
      </c>
      <c r="D54" s="24" t="s">
        <v>17</v>
      </c>
      <c r="E54" s="24" t="s">
        <v>17</v>
      </c>
      <c r="F54" s="25" t="s">
        <v>75</v>
      </c>
      <c r="G54" s="48"/>
      <c r="H54" s="49">
        <v>50000</v>
      </c>
      <c r="I54" s="25">
        <v>110400</v>
      </c>
      <c r="J54" s="48">
        <v>188600</v>
      </c>
      <c r="K54" s="85">
        <f t="shared" si="3"/>
        <v>349000</v>
      </c>
    </row>
    <row r="55" spans="1:11" s="123" customFormat="1" x14ac:dyDescent="0.25">
      <c r="A55" s="82">
        <v>8</v>
      </c>
      <c r="B55" s="176" t="s">
        <v>520</v>
      </c>
      <c r="C55" s="177" t="s">
        <v>589</v>
      </c>
      <c r="D55" s="143" t="s">
        <v>17</v>
      </c>
      <c r="E55" s="143" t="s">
        <v>17</v>
      </c>
      <c r="F55" s="25" t="s">
        <v>472</v>
      </c>
      <c r="G55" s="48"/>
      <c r="H55" s="49"/>
      <c r="I55" s="25">
        <v>276000</v>
      </c>
      <c r="J55" s="48">
        <v>828000</v>
      </c>
      <c r="K55" s="85">
        <f t="shared" si="3"/>
        <v>1104000</v>
      </c>
    </row>
    <row r="56" spans="1:11" s="123" customFormat="1" x14ac:dyDescent="0.25">
      <c r="A56" s="82">
        <v>9</v>
      </c>
      <c r="B56" s="176" t="s">
        <v>521</v>
      </c>
      <c r="C56" s="177" t="s">
        <v>590</v>
      </c>
      <c r="D56" s="143" t="s">
        <v>17</v>
      </c>
      <c r="E56" s="143" t="s">
        <v>17</v>
      </c>
      <c r="F56" s="25" t="s">
        <v>472</v>
      </c>
      <c r="G56" s="48"/>
      <c r="H56" s="49"/>
      <c r="I56" s="25">
        <v>220000</v>
      </c>
      <c r="J56" s="48">
        <v>330000</v>
      </c>
      <c r="K56" s="85">
        <f t="shared" si="3"/>
        <v>550000</v>
      </c>
    </row>
    <row r="57" spans="1:11" s="123" customFormat="1" x14ac:dyDescent="0.25">
      <c r="A57" s="82">
        <v>10</v>
      </c>
      <c r="B57" s="143" t="s">
        <v>522</v>
      </c>
      <c r="C57" s="177" t="s">
        <v>591</v>
      </c>
      <c r="D57" s="143" t="s">
        <v>17</v>
      </c>
      <c r="E57" s="143" t="s">
        <v>17</v>
      </c>
      <c r="F57" s="25" t="s">
        <v>75</v>
      </c>
      <c r="G57" s="48"/>
      <c r="H57" s="49"/>
      <c r="I57" s="25">
        <v>88000</v>
      </c>
      <c r="J57" s="48">
        <v>0</v>
      </c>
      <c r="K57" s="85">
        <f t="shared" si="3"/>
        <v>88000</v>
      </c>
    </row>
    <row r="58" spans="1:11" s="123" customFormat="1" x14ac:dyDescent="0.25">
      <c r="A58" s="82">
        <v>11</v>
      </c>
      <c r="B58" s="143" t="s">
        <v>639</v>
      </c>
      <c r="C58" s="177"/>
      <c r="D58" s="143" t="s">
        <v>17</v>
      </c>
      <c r="E58" s="143" t="s">
        <v>17</v>
      </c>
      <c r="F58" s="25" t="s">
        <v>75</v>
      </c>
      <c r="G58" s="48"/>
      <c r="H58" s="49"/>
      <c r="I58" s="25"/>
      <c r="J58" s="48">
        <v>34500</v>
      </c>
      <c r="K58" s="85">
        <f t="shared" si="3"/>
        <v>34500</v>
      </c>
    </row>
    <row r="59" spans="1:11" s="123" customFormat="1" x14ac:dyDescent="0.25">
      <c r="A59" s="82">
        <v>12</v>
      </c>
      <c r="B59" s="143" t="s">
        <v>117</v>
      </c>
      <c r="C59" s="177"/>
      <c r="D59" s="143" t="s">
        <v>17</v>
      </c>
      <c r="E59" s="143" t="s">
        <v>17</v>
      </c>
      <c r="F59" s="25" t="s">
        <v>75</v>
      </c>
      <c r="G59" s="48"/>
      <c r="H59" s="49"/>
      <c r="I59" s="25"/>
      <c r="J59" s="48">
        <v>78000</v>
      </c>
      <c r="K59" s="85">
        <f t="shared" si="3"/>
        <v>78000</v>
      </c>
    </row>
    <row r="60" spans="1:11" s="123" customFormat="1" x14ac:dyDescent="0.25">
      <c r="A60" s="82">
        <v>13</v>
      </c>
      <c r="B60" s="143" t="s">
        <v>640</v>
      </c>
      <c r="C60" s="177"/>
      <c r="D60" s="143" t="s">
        <v>17</v>
      </c>
      <c r="E60" s="143" t="s">
        <v>17</v>
      </c>
      <c r="F60" s="25" t="s">
        <v>75</v>
      </c>
      <c r="G60" s="48"/>
      <c r="H60" s="49"/>
      <c r="I60" s="25"/>
      <c r="J60" s="48">
        <v>55200</v>
      </c>
      <c r="K60" s="85">
        <f t="shared" si="3"/>
        <v>55200</v>
      </c>
    </row>
    <row r="61" spans="1:11" s="123" customFormat="1" x14ac:dyDescent="0.25">
      <c r="A61" s="82">
        <v>14</v>
      </c>
      <c r="B61" s="176" t="s">
        <v>121</v>
      </c>
      <c r="C61" s="178"/>
      <c r="D61" s="143" t="s">
        <v>17</v>
      </c>
      <c r="E61" s="143" t="s">
        <v>17</v>
      </c>
      <c r="F61" s="25" t="s">
        <v>198</v>
      </c>
      <c r="G61" s="48"/>
      <c r="H61" s="49"/>
      <c r="I61" s="25"/>
      <c r="J61" s="48">
        <v>55000</v>
      </c>
      <c r="K61" s="85">
        <f t="shared" si="3"/>
        <v>55000</v>
      </c>
    </row>
    <row r="62" spans="1:11" s="123" customFormat="1" x14ac:dyDescent="0.25">
      <c r="A62" s="82">
        <v>15</v>
      </c>
      <c r="B62" s="143" t="s">
        <v>641</v>
      </c>
      <c r="C62" s="177"/>
      <c r="D62" s="143" t="s">
        <v>17</v>
      </c>
      <c r="E62" s="143" t="s">
        <v>17</v>
      </c>
      <c r="F62" s="25" t="s">
        <v>75</v>
      </c>
      <c r="G62" s="48"/>
      <c r="H62" s="49"/>
      <c r="I62" s="25"/>
      <c r="J62" s="48">
        <v>110400</v>
      </c>
      <c r="K62" s="85">
        <f t="shared" si="3"/>
        <v>110400</v>
      </c>
    </row>
    <row r="63" spans="1:11" s="123" customFormat="1" ht="15.75" thickBot="1" x14ac:dyDescent="0.3">
      <c r="A63" s="82">
        <v>16</v>
      </c>
      <c r="B63" s="143" t="s">
        <v>642</v>
      </c>
      <c r="C63" s="177"/>
      <c r="D63" s="143" t="s">
        <v>17</v>
      </c>
      <c r="E63" s="143" t="s">
        <v>17</v>
      </c>
      <c r="F63" s="25" t="s">
        <v>75</v>
      </c>
      <c r="G63" s="48"/>
      <c r="H63" s="49"/>
      <c r="I63" s="25"/>
      <c r="J63" s="48">
        <v>55200</v>
      </c>
      <c r="K63" s="85">
        <f t="shared" si="3"/>
        <v>55200</v>
      </c>
    </row>
    <row r="64" spans="1:11" ht="15.75" x14ac:dyDescent="0.25">
      <c r="A64" s="243" t="s">
        <v>3</v>
      </c>
      <c r="B64" s="244"/>
      <c r="C64" s="244"/>
      <c r="D64" s="244"/>
      <c r="E64" s="244"/>
      <c r="F64" s="244"/>
      <c r="G64" s="28">
        <f>SUM(G48:G63)</f>
        <v>487200</v>
      </c>
      <c r="H64" s="28">
        <f>SUM(H48:H63)</f>
        <v>499200</v>
      </c>
      <c r="I64" s="28">
        <f>SUM(I48:I63)</f>
        <v>1790600</v>
      </c>
      <c r="J64" s="28">
        <f>SUM(J48:J63)</f>
        <v>2424900</v>
      </c>
      <c r="K64" s="84">
        <f>SUM(G64:J64)</f>
        <v>5201900</v>
      </c>
    </row>
    <row r="65" spans="1:11" s="5" customFormat="1" ht="15.75" x14ac:dyDescent="0.25">
      <c r="A65" s="254" t="s">
        <v>30</v>
      </c>
      <c r="B65" s="255"/>
      <c r="C65" s="255"/>
      <c r="D65" s="255"/>
      <c r="E65" s="255"/>
      <c r="F65" s="255"/>
      <c r="G65" s="251"/>
      <c r="H65" s="252"/>
      <c r="I65" s="252"/>
      <c r="J65" s="252"/>
      <c r="K65" s="253"/>
    </row>
    <row r="66" spans="1:11" s="5" customFormat="1" x14ac:dyDescent="0.25">
      <c r="A66" s="86">
        <v>1</v>
      </c>
      <c r="B66" s="78" t="s">
        <v>282</v>
      </c>
      <c r="C66" s="135" t="s">
        <v>297</v>
      </c>
      <c r="D66" s="25" t="s">
        <v>30</v>
      </c>
      <c r="E66" s="25" t="s">
        <v>30</v>
      </c>
      <c r="F66" s="25" t="s">
        <v>75</v>
      </c>
      <c r="G66" s="31">
        <v>110000</v>
      </c>
      <c r="H66" s="27">
        <v>0</v>
      </c>
      <c r="I66" s="27">
        <v>110000</v>
      </c>
      <c r="J66" s="27">
        <v>0</v>
      </c>
      <c r="K66" s="83">
        <f>SUM(G66:J66)</f>
        <v>220000</v>
      </c>
    </row>
    <row r="67" spans="1:11" s="5" customFormat="1" x14ac:dyDescent="0.25">
      <c r="A67" s="86">
        <v>2</v>
      </c>
      <c r="B67" s="78" t="s">
        <v>293</v>
      </c>
      <c r="C67" s="135"/>
      <c r="D67" s="25" t="s">
        <v>30</v>
      </c>
      <c r="E67" s="25" t="s">
        <v>30</v>
      </c>
      <c r="F67" s="25" t="s">
        <v>75</v>
      </c>
      <c r="G67" s="31"/>
      <c r="H67" s="26">
        <v>187500</v>
      </c>
      <c r="I67" s="26">
        <v>0</v>
      </c>
      <c r="J67" s="26">
        <v>0</v>
      </c>
      <c r="K67" s="83">
        <f t="shared" ref="K67:K81" si="4">SUM(G67:J67)</f>
        <v>187500</v>
      </c>
    </row>
    <row r="68" spans="1:11" s="5" customFormat="1" x14ac:dyDescent="0.25">
      <c r="A68" s="86">
        <v>3</v>
      </c>
      <c r="B68" s="78" t="s">
        <v>294</v>
      </c>
      <c r="C68" s="135" t="s">
        <v>296</v>
      </c>
      <c r="D68" s="25" t="s">
        <v>30</v>
      </c>
      <c r="E68" s="25" t="s">
        <v>30</v>
      </c>
      <c r="F68" s="25" t="s">
        <v>75</v>
      </c>
      <c r="G68" s="31"/>
      <c r="H68" s="26">
        <v>154000</v>
      </c>
      <c r="I68" s="26">
        <v>0</v>
      </c>
      <c r="J68" s="26">
        <v>0</v>
      </c>
      <c r="K68" s="83">
        <f t="shared" si="4"/>
        <v>154000</v>
      </c>
    </row>
    <row r="69" spans="1:11" s="5" customFormat="1" x14ac:dyDescent="0.25">
      <c r="A69" s="86">
        <v>4</v>
      </c>
      <c r="B69" s="78" t="s">
        <v>295</v>
      </c>
      <c r="C69" s="135" t="s">
        <v>296</v>
      </c>
      <c r="D69" s="25" t="s">
        <v>30</v>
      </c>
      <c r="E69" s="25" t="s">
        <v>30</v>
      </c>
      <c r="F69" s="25" t="s">
        <v>96</v>
      </c>
      <c r="G69" s="31"/>
      <c r="H69" s="26">
        <v>43700</v>
      </c>
      <c r="I69" s="26">
        <v>57300</v>
      </c>
      <c r="J69" s="26">
        <v>0</v>
      </c>
      <c r="K69" s="83">
        <f t="shared" si="4"/>
        <v>101000</v>
      </c>
    </row>
    <row r="70" spans="1:11" s="5" customFormat="1" x14ac:dyDescent="0.25">
      <c r="A70" s="86">
        <v>5</v>
      </c>
      <c r="B70" s="78" t="s">
        <v>523</v>
      </c>
      <c r="C70" s="135" t="s">
        <v>592</v>
      </c>
      <c r="D70" s="25" t="s">
        <v>30</v>
      </c>
      <c r="E70" s="25" t="s">
        <v>30</v>
      </c>
      <c r="F70" s="25" t="s">
        <v>96</v>
      </c>
      <c r="G70" s="31"/>
      <c r="H70" s="26"/>
      <c r="I70" s="26">
        <v>66700</v>
      </c>
      <c r="J70" s="26">
        <v>990200</v>
      </c>
      <c r="K70" s="83">
        <f t="shared" si="4"/>
        <v>1056900</v>
      </c>
    </row>
    <row r="71" spans="1:11" s="5" customFormat="1" x14ac:dyDescent="0.25">
      <c r="A71" s="86">
        <v>6</v>
      </c>
      <c r="B71" s="78" t="s">
        <v>524</v>
      </c>
      <c r="C71" s="135" t="s">
        <v>601</v>
      </c>
      <c r="D71" s="25" t="s">
        <v>30</v>
      </c>
      <c r="E71" s="25" t="s">
        <v>30</v>
      </c>
      <c r="F71" s="25" t="s">
        <v>75</v>
      </c>
      <c r="G71" s="31"/>
      <c r="H71" s="26"/>
      <c r="I71" s="26">
        <v>62100</v>
      </c>
      <c r="J71" s="26">
        <v>0</v>
      </c>
      <c r="K71" s="83">
        <f t="shared" si="4"/>
        <v>62100</v>
      </c>
    </row>
    <row r="72" spans="1:11" s="5" customFormat="1" x14ac:dyDescent="0.25">
      <c r="A72" s="86">
        <v>7</v>
      </c>
      <c r="B72" s="127" t="s">
        <v>525</v>
      </c>
      <c r="C72" s="135" t="s">
        <v>593</v>
      </c>
      <c r="D72" s="25" t="s">
        <v>30</v>
      </c>
      <c r="E72" s="25" t="s">
        <v>30</v>
      </c>
      <c r="F72" s="25" t="s">
        <v>472</v>
      </c>
      <c r="G72" s="31"/>
      <c r="H72" s="26"/>
      <c r="I72" s="26">
        <v>991300</v>
      </c>
      <c r="J72" s="26">
        <v>670000</v>
      </c>
      <c r="K72" s="83">
        <f t="shared" si="4"/>
        <v>1661300</v>
      </c>
    </row>
    <row r="73" spans="1:11" s="5" customFormat="1" x14ac:dyDescent="0.25">
      <c r="A73" s="86">
        <v>8</v>
      </c>
      <c r="B73" s="78" t="s">
        <v>355</v>
      </c>
      <c r="C73" s="135" t="s">
        <v>595</v>
      </c>
      <c r="D73" s="25" t="s">
        <v>30</v>
      </c>
      <c r="E73" s="25" t="s">
        <v>30</v>
      </c>
      <c r="F73" s="25" t="s">
        <v>75</v>
      </c>
      <c r="G73" s="31"/>
      <c r="H73" s="26"/>
      <c r="I73" s="26">
        <v>74000</v>
      </c>
      <c r="J73" s="26">
        <v>122700</v>
      </c>
      <c r="K73" s="83">
        <f t="shared" si="4"/>
        <v>196700</v>
      </c>
    </row>
    <row r="74" spans="1:11" s="123" customFormat="1" x14ac:dyDescent="0.25">
      <c r="A74" s="86">
        <v>9</v>
      </c>
      <c r="B74" s="78" t="s">
        <v>526</v>
      </c>
      <c r="C74" s="135" t="s">
        <v>296</v>
      </c>
      <c r="D74" s="25" t="s">
        <v>30</v>
      </c>
      <c r="E74" s="25" t="s">
        <v>30</v>
      </c>
      <c r="F74" s="25" t="s">
        <v>75</v>
      </c>
      <c r="G74" s="31"/>
      <c r="H74" s="26"/>
      <c r="I74" s="26">
        <v>32200</v>
      </c>
      <c r="J74" s="26">
        <v>0</v>
      </c>
      <c r="K74" s="83">
        <f t="shared" si="4"/>
        <v>32200</v>
      </c>
    </row>
    <row r="75" spans="1:11" s="123" customFormat="1" x14ac:dyDescent="0.25">
      <c r="A75" s="86">
        <v>10</v>
      </c>
      <c r="B75" s="127" t="s">
        <v>222</v>
      </c>
      <c r="C75" s="177" t="s">
        <v>396</v>
      </c>
      <c r="D75" s="25" t="s">
        <v>16</v>
      </c>
      <c r="E75" s="25" t="s">
        <v>30</v>
      </c>
      <c r="F75" s="25" t="s">
        <v>198</v>
      </c>
      <c r="G75" s="31"/>
      <c r="H75" s="26"/>
      <c r="I75" s="26">
        <v>59800</v>
      </c>
      <c r="J75" s="26">
        <v>48000</v>
      </c>
      <c r="K75" s="83">
        <f t="shared" si="4"/>
        <v>107800</v>
      </c>
    </row>
    <row r="76" spans="1:11" s="123" customFormat="1" x14ac:dyDescent="0.25">
      <c r="A76" s="86">
        <v>11</v>
      </c>
      <c r="B76" s="78" t="s">
        <v>225</v>
      </c>
      <c r="C76" s="135" t="s">
        <v>594</v>
      </c>
      <c r="D76" s="25" t="s">
        <v>30</v>
      </c>
      <c r="E76" s="25" t="s">
        <v>30</v>
      </c>
      <c r="F76" s="25" t="s">
        <v>75</v>
      </c>
      <c r="G76" s="31"/>
      <c r="H76" s="26"/>
      <c r="I76" s="26">
        <v>34500</v>
      </c>
      <c r="J76" s="26">
        <v>27600</v>
      </c>
      <c r="K76" s="83">
        <f t="shared" si="4"/>
        <v>62100</v>
      </c>
    </row>
    <row r="77" spans="1:11" s="123" customFormat="1" x14ac:dyDescent="0.25">
      <c r="A77" s="86">
        <v>12</v>
      </c>
      <c r="B77" s="78" t="s">
        <v>527</v>
      </c>
      <c r="C77" s="135" t="s">
        <v>600</v>
      </c>
      <c r="D77" s="25" t="s">
        <v>30</v>
      </c>
      <c r="E77" s="25" t="s">
        <v>30</v>
      </c>
      <c r="F77" s="25" t="s">
        <v>75</v>
      </c>
      <c r="G77" s="31"/>
      <c r="H77" s="26"/>
      <c r="I77" s="26">
        <v>46000</v>
      </c>
      <c r="J77" s="26">
        <v>0</v>
      </c>
      <c r="K77" s="83">
        <f t="shared" si="4"/>
        <v>46000</v>
      </c>
    </row>
    <row r="78" spans="1:11" s="123" customFormat="1" x14ac:dyDescent="0.25">
      <c r="A78" s="86">
        <v>13</v>
      </c>
      <c r="B78" s="78" t="s">
        <v>643</v>
      </c>
      <c r="C78" s="135"/>
      <c r="D78" s="25" t="s">
        <v>30</v>
      </c>
      <c r="E78" s="25" t="s">
        <v>30</v>
      </c>
      <c r="F78" s="25" t="s">
        <v>75</v>
      </c>
      <c r="G78" s="31"/>
      <c r="H78" s="26"/>
      <c r="I78" s="26"/>
      <c r="J78" s="26">
        <v>220000</v>
      </c>
      <c r="K78" s="83">
        <f t="shared" si="4"/>
        <v>220000</v>
      </c>
    </row>
    <row r="79" spans="1:11" s="123" customFormat="1" x14ac:dyDescent="0.25">
      <c r="A79" s="86">
        <v>14</v>
      </c>
      <c r="B79" s="78" t="s">
        <v>229</v>
      </c>
      <c r="C79" s="78"/>
      <c r="D79" s="25" t="s">
        <v>30</v>
      </c>
      <c r="E79" s="25" t="s">
        <v>30</v>
      </c>
      <c r="F79" s="25" t="s">
        <v>75</v>
      </c>
      <c r="G79" s="31"/>
      <c r="H79" s="26"/>
      <c r="I79" s="26"/>
      <c r="J79" s="26">
        <v>89700</v>
      </c>
      <c r="K79" s="83">
        <f t="shared" si="4"/>
        <v>89700</v>
      </c>
    </row>
    <row r="80" spans="1:11" s="123" customFormat="1" x14ac:dyDescent="0.25">
      <c r="A80" s="86">
        <v>15</v>
      </c>
      <c r="B80" s="78" t="s">
        <v>644</v>
      </c>
      <c r="C80" s="78"/>
      <c r="D80" s="25" t="s">
        <v>30</v>
      </c>
      <c r="E80" s="25" t="s">
        <v>30</v>
      </c>
      <c r="F80" s="25" t="s">
        <v>75</v>
      </c>
      <c r="G80" s="31"/>
      <c r="H80" s="26"/>
      <c r="I80" s="26"/>
      <c r="J80" s="26">
        <v>39100</v>
      </c>
      <c r="K80" s="83">
        <f t="shared" si="4"/>
        <v>39100</v>
      </c>
    </row>
    <row r="81" spans="1:11" s="123" customFormat="1" ht="15.75" thickBot="1" x14ac:dyDescent="0.3">
      <c r="A81" s="86">
        <v>16</v>
      </c>
      <c r="B81" s="78" t="s">
        <v>645</v>
      </c>
      <c r="C81" s="78"/>
      <c r="D81" s="25" t="s">
        <v>30</v>
      </c>
      <c r="E81" s="25" t="s">
        <v>30</v>
      </c>
      <c r="F81" s="25" t="s">
        <v>75</v>
      </c>
      <c r="G81" s="31"/>
      <c r="H81" s="26"/>
      <c r="I81" s="26"/>
      <c r="J81" s="26">
        <v>25300</v>
      </c>
      <c r="K81" s="83">
        <f t="shared" si="4"/>
        <v>25300</v>
      </c>
    </row>
    <row r="82" spans="1:11" ht="15.75" x14ac:dyDescent="0.25">
      <c r="A82" s="258" t="s">
        <v>3</v>
      </c>
      <c r="B82" s="259"/>
      <c r="C82" s="259"/>
      <c r="D82" s="259"/>
      <c r="E82" s="259"/>
      <c r="F82" s="260"/>
      <c r="G82" s="28">
        <f>SUM(G66:G81)</f>
        <v>110000</v>
      </c>
      <c r="H82" s="28">
        <f>SUM(H66:H81)</f>
        <v>385200</v>
      </c>
      <c r="I82" s="28">
        <f>SUM(I66:I81)</f>
        <v>1533900</v>
      </c>
      <c r="J82" s="28">
        <f>SUM(J66:J81)</f>
        <v>2232600</v>
      </c>
      <c r="K82" s="84">
        <f>SUM(G82:J82)</f>
        <v>4261700</v>
      </c>
    </row>
    <row r="83" spans="1:11" ht="15.75" x14ac:dyDescent="0.25">
      <c r="A83" s="264" t="s">
        <v>87</v>
      </c>
      <c r="B83" s="265"/>
      <c r="C83" s="265"/>
      <c r="D83" s="265"/>
      <c r="E83" s="265"/>
      <c r="F83" s="265"/>
      <c r="G83" s="266"/>
      <c r="H83" s="267"/>
      <c r="I83" s="267"/>
      <c r="J83" s="267"/>
      <c r="K83" s="268"/>
    </row>
    <row r="84" spans="1:11" x14ac:dyDescent="0.25">
      <c r="A84" s="87">
        <v>1</v>
      </c>
      <c r="B84" s="29" t="s">
        <v>298</v>
      </c>
      <c r="C84" s="69" t="s">
        <v>303</v>
      </c>
      <c r="D84" s="30" t="s">
        <v>299</v>
      </c>
      <c r="E84" s="30" t="s">
        <v>299</v>
      </c>
      <c r="F84" s="25" t="s">
        <v>75</v>
      </c>
      <c r="G84" s="26">
        <v>55000</v>
      </c>
      <c r="H84" s="26"/>
      <c r="I84" s="26"/>
      <c r="J84" s="26"/>
      <c r="K84" s="85">
        <f>SUM(G84:J84)</f>
        <v>55000</v>
      </c>
    </row>
    <row r="85" spans="1:11" s="123" customFormat="1" x14ac:dyDescent="0.25">
      <c r="A85" s="87">
        <v>2</v>
      </c>
      <c r="B85" s="29" t="s">
        <v>528</v>
      </c>
      <c r="C85" s="177" t="s">
        <v>303</v>
      </c>
      <c r="D85" s="30" t="s">
        <v>529</v>
      </c>
      <c r="E85" s="30" t="s">
        <v>529</v>
      </c>
      <c r="F85" s="25" t="s">
        <v>75</v>
      </c>
      <c r="G85" s="26"/>
      <c r="H85" s="26"/>
      <c r="I85" s="26">
        <v>105000</v>
      </c>
      <c r="J85" s="26"/>
      <c r="K85" s="85">
        <f t="shared" ref="K85:K87" si="5">SUM(G85:J85)</f>
        <v>105000</v>
      </c>
    </row>
    <row r="86" spans="1:11" s="123" customFormat="1" x14ac:dyDescent="0.25">
      <c r="A86" s="87">
        <v>3</v>
      </c>
      <c r="B86" s="30"/>
      <c r="C86" s="30"/>
      <c r="D86" s="30"/>
      <c r="E86" s="30"/>
      <c r="F86" s="25"/>
      <c r="G86" s="26"/>
      <c r="H86" s="26"/>
      <c r="I86" s="26"/>
      <c r="J86" s="26"/>
      <c r="K86" s="85">
        <f t="shared" si="5"/>
        <v>0</v>
      </c>
    </row>
    <row r="87" spans="1:11" s="123" customFormat="1" ht="15.75" thickBot="1" x14ac:dyDescent="0.3">
      <c r="A87" s="87"/>
      <c r="B87" s="29"/>
      <c r="C87" s="69"/>
      <c r="D87" s="30"/>
      <c r="E87" s="30"/>
      <c r="F87" s="25"/>
      <c r="G87" s="139"/>
      <c r="H87" s="139"/>
      <c r="I87" s="139"/>
      <c r="J87" s="139"/>
      <c r="K87" s="85">
        <f t="shared" si="5"/>
        <v>0</v>
      </c>
    </row>
    <row r="88" spans="1:11" s="5" customFormat="1" x14ac:dyDescent="0.25">
      <c r="A88" s="261" t="s">
        <v>3</v>
      </c>
      <c r="B88" s="262"/>
      <c r="C88" s="262"/>
      <c r="D88" s="262"/>
      <c r="E88" s="262"/>
      <c r="F88" s="263"/>
      <c r="G88" s="32">
        <f>SUM(G84:G87)</f>
        <v>55000</v>
      </c>
      <c r="H88" s="32">
        <f t="shared" ref="H88:J88" si="6">SUM(H84:H87)</f>
        <v>0</v>
      </c>
      <c r="I88" s="32">
        <f t="shared" si="6"/>
        <v>105000</v>
      </c>
      <c r="J88" s="32">
        <f t="shared" si="6"/>
        <v>0</v>
      </c>
      <c r="K88" s="32">
        <f>SUM(K84:K87)</f>
        <v>160000</v>
      </c>
    </row>
    <row r="89" spans="1:11" s="5" customFormat="1" ht="15.75" x14ac:dyDescent="0.25">
      <c r="A89" s="264" t="s">
        <v>59</v>
      </c>
      <c r="B89" s="265"/>
      <c r="C89" s="265"/>
      <c r="D89" s="265"/>
      <c r="E89" s="265"/>
      <c r="F89" s="265"/>
      <c r="G89" s="266"/>
      <c r="H89" s="267"/>
      <c r="I89" s="267"/>
      <c r="J89" s="267"/>
      <c r="K89" s="268"/>
    </row>
    <row r="90" spans="1:11" s="5" customFormat="1" x14ac:dyDescent="0.25">
      <c r="A90" s="111">
        <v>1</v>
      </c>
      <c r="B90" s="29" t="s">
        <v>242</v>
      </c>
      <c r="C90" s="69" t="s">
        <v>303</v>
      </c>
      <c r="D90" s="30" t="s">
        <v>300</v>
      </c>
      <c r="E90" s="30" t="s">
        <v>300</v>
      </c>
      <c r="F90" s="30" t="s">
        <v>251</v>
      </c>
      <c r="G90" s="26">
        <v>518000</v>
      </c>
      <c r="H90" s="26">
        <v>607200</v>
      </c>
      <c r="I90" s="26">
        <v>430100</v>
      </c>
      <c r="J90" s="26">
        <v>572700</v>
      </c>
      <c r="K90" s="85">
        <f>SUM(G90:J90)</f>
        <v>2128000</v>
      </c>
    </row>
    <row r="91" spans="1:11" s="5" customFormat="1" x14ac:dyDescent="0.25">
      <c r="A91" s="111">
        <v>2</v>
      </c>
      <c r="B91" s="29" t="s">
        <v>301</v>
      </c>
      <c r="C91" s="69" t="s">
        <v>303</v>
      </c>
      <c r="D91" s="30" t="s">
        <v>300</v>
      </c>
      <c r="E91" s="30" t="s">
        <v>300</v>
      </c>
      <c r="F91" s="30" t="s">
        <v>75</v>
      </c>
      <c r="G91" s="26">
        <v>73600</v>
      </c>
      <c r="H91" s="26">
        <v>94300</v>
      </c>
      <c r="I91" s="26">
        <v>0</v>
      </c>
      <c r="J91" s="26">
        <v>0</v>
      </c>
      <c r="K91" s="85">
        <f>SUM(G91:J91)</f>
        <v>167900</v>
      </c>
    </row>
    <row r="92" spans="1:11" s="123" customFormat="1" x14ac:dyDescent="0.25">
      <c r="A92" s="111">
        <v>3</v>
      </c>
      <c r="B92" s="29" t="s">
        <v>302</v>
      </c>
      <c r="C92" s="69" t="s">
        <v>303</v>
      </c>
      <c r="D92" s="30" t="s">
        <v>300</v>
      </c>
      <c r="E92" s="30" t="s">
        <v>300</v>
      </c>
      <c r="F92" s="30" t="s">
        <v>75</v>
      </c>
      <c r="G92" s="26">
        <v>991300</v>
      </c>
      <c r="H92" s="26"/>
      <c r="I92" s="26">
        <v>0</v>
      </c>
      <c r="J92" s="26">
        <v>0</v>
      </c>
      <c r="K92" s="85">
        <f t="shared" ref="K92:K96" si="7">SUM(G92:J92)</f>
        <v>991300</v>
      </c>
    </row>
    <row r="93" spans="1:11" s="123" customFormat="1" x14ac:dyDescent="0.25">
      <c r="A93" s="111">
        <v>4</v>
      </c>
      <c r="B93" s="117" t="s">
        <v>222</v>
      </c>
      <c r="C93" s="177" t="s">
        <v>396</v>
      </c>
      <c r="D93" s="30" t="s">
        <v>16</v>
      </c>
      <c r="E93" s="30" t="s">
        <v>300</v>
      </c>
      <c r="F93" s="30" t="s">
        <v>198</v>
      </c>
      <c r="G93" s="26"/>
      <c r="H93" s="26"/>
      <c r="I93" s="26">
        <v>110000</v>
      </c>
      <c r="J93" s="26">
        <v>0</v>
      </c>
      <c r="K93" s="85">
        <f t="shared" si="7"/>
        <v>110000</v>
      </c>
    </row>
    <row r="94" spans="1:11" s="123" customFormat="1" x14ac:dyDescent="0.25">
      <c r="A94" s="111">
        <v>5</v>
      </c>
      <c r="B94" s="29" t="s">
        <v>530</v>
      </c>
      <c r="C94" s="177" t="s">
        <v>303</v>
      </c>
      <c r="D94" s="30" t="s">
        <v>300</v>
      </c>
      <c r="E94" s="30" t="s">
        <v>300</v>
      </c>
      <c r="F94" s="30" t="s">
        <v>75</v>
      </c>
      <c r="G94" s="26"/>
      <c r="H94" s="26"/>
      <c r="I94" s="26">
        <v>770500</v>
      </c>
      <c r="J94" s="26">
        <v>0</v>
      </c>
      <c r="K94" s="85">
        <f t="shared" si="7"/>
        <v>770500</v>
      </c>
    </row>
    <row r="95" spans="1:11" s="123" customFormat="1" x14ac:dyDescent="0.25">
      <c r="A95" s="111">
        <v>6</v>
      </c>
      <c r="B95" s="29" t="s">
        <v>531</v>
      </c>
      <c r="C95" s="177" t="s">
        <v>303</v>
      </c>
      <c r="D95" s="29" t="s">
        <v>300</v>
      </c>
      <c r="E95" s="30" t="s">
        <v>300</v>
      </c>
      <c r="F95" s="30" t="s">
        <v>251</v>
      </c>
      <c r="G95" s="26"/>
      <c r="H95" s="26"/>
      <c r="I95" s="26">
        <v>7233500</v>
      </c>
      <c r="J95" s="26">
        <v>0</v>
      </c>
      <c r="K95" s="85">
        <f t="shared" si="7"/>
        <v>7233500</v>
      </c>
    </row>
    <row r="96" spans="1:11" s="123" customFormat="1" ht="15.75" thickBot="1" x14ac:dyDescent="0.3">
      <c r="A96" s="111">
        <v>7</v>
      </c>
      <c r="B96" s="117" t="s">
        <v>104</v>
      </c>
      <c r="C96" s="117"/>
      <c r="D96" s="30" t="s">
        <v>16</v>
      </c>
      <c r="E96" s="30" t="s">
        <v>300</v>
      </c>
      <c r="F96" s="30" t="s">
        <v>198</v>
      </c>
      <c r="G96" s="26"/>
      <c r="H96" s="26"/>
      <c r="I96" s="26"/>
      <c r="J96" s="26">
        <v>3192100</v>
      </c>
      <c r="K96" s="85">
        <f t="shared" si="7"/>
        <v>3192100</v>
      </c>
    </row>
    <row r="97" spans="1:11" s="2" customFormat="1" x14ac:dyDescent="0.25">
      <c r="A97" s="261" t="s">
        <v>3</v>
      </c>
      <c r="B97" s="262"/>
      <c r="C97" s="262"/>
      <c r="D97" s="262"/>
      <c r="E97" s="262"/>
      <c r="F97" s="263"/>
      <c r="G97" s="32">
        <f>SUM(G90:G96)</f>
        <v>1582900</v>
      </c>
      <c r="H97" s="32">
        <f>SUM(H90:H96)</f>
        <v>701500</v>
      </c>
      <c r="I97" s="32">
        <f>SUM(I90:I96)</f>
        <v>8544100</v>
      </c>
      <c r="J97" s="32">
        <f>SUM(J90:J96)</f>
        <v>3764800</v>
      </c>
      <c r="K97" s="32">
        <f>SUM(K90:K96)</f>
        <v>14593300</v>
      </c>
    </row>
    <row r="98" spans="1:11" ht="15.75" x14ac:dyDescent="0.25">
      <c r="A98" s="273" t="s">
        <v>14</v>
      </c>
      <c r="B98" s="274"/>
      <c r="C98" s="274"/>
      <c r="D98" s="274"/>
      <c r="E98" s="274"/>
      <c r="F98" s="274"/>
      <c r="G98" s="270"/>
      <c r="H98" s="271"/>
      <c r="I98" s="271"/>
      <c r="J98" s="271"/>
      <c r="K98" s="272"/>
    </row>
    <row r="99" spans="1:11" x14ac:dyDescent="0.25">
      <c r="A99" s="86">
        <v>1</v>
      </c>
      <c r="B99" s="29" t="s">
        <v>305</v>
      </c>
      <c r="C99" s="69" t="s">
        <v>420</v>
      </c>
      <c r="D99" s="30" t="s">
        <v>14</v>
      </c>
      <c r="E99" s="30" t="s">
        <v>14</v>
      </c>
      <c r="F99" s="25" t="s">
        <v>75</v>
      </c>
      <c r="G99" s="81">
        <v>276000</v>
      </c>
      <c r="H99" s="34">
        <v>0</v>
      </c>
      <c r="I99" s="33">
        <v>331200</v>
      </c>
      <c r="J99" s="34">
        <v>0</v>
      </c>
      <c r="K99" s="88">
        <f>SUM(G99:J99)</f>
        <v>607200</v>
      </c>
    </row>
    <row r="100" spans="1:11" s="5" customFormat="1" x14ac:dyDescent="0.25">
      <c r="A100" s="108">
        <v>2</v>
      </c>
      <c r="B100" s="29" t="s">
        <v>306</v>
      </c>
      <c r="C100" s="69" t="s">
        <v>421</v>
      </c>
      <c r="D100" s="30" t="s">
        <v>14</v>
      </c>
      <c r="E100" s="30" t="s">
        <v>14</v>
      </c>
      <c r="F100" s="25" t="s">
        <v>96</v>
      </c>
      <c r="G100" s="33">
        <v>881200</v>
      </c>
      <c r="H100" s="109">
        <v>737500</v>
      </c>
      <c r="I100" s="33">
        <v>0</v>
      </c>
      <c r="J100" s="109">
        <v>330000</v>
      </c>
      <c r="K100" s="88">
        <f t="shared" ref="K100:K146" si="8">SUM(G100:J100)</f>
        <v>1948700</v>
      </c>
    </row>
    <row r="101" spans="1:11" s="5" customFormat="1" x14ac:dyDescent="0.25">
      <c r="A101" s="86">
        <v>3</v>
      </c>
      <c r="B101" s="117" t="s">
        <v>104</v>
      </c>
      <c r="C101" s="129" t="s">
        <v>287</v>
      </c>
      <c r="D101" s="30" t="s">
        <v>16</v>
      </c>
      <c r="E101" s="30" t="s">
        <v>14</v>
      </c>
      <c r="F101" s="25" t="s">
        <v>198</v>
      </c>
      <c r="G101" s="33">
        <v>270600</v>
      </c>
      <c r="H101" s="109">
        <v>0</v>
      </c>
      <c r="I101" s="33">
        <v>385000</v>
      </c>
      <c r="J101" s="109">
        <v>1205700</v>
      </c>
      <c r="K101" s="88">
        <f t="shared" si="8"/>
        <v>1861300</v>
      </c>
    </row>
    <row r="102" spans="1:11" s="5" customFormat="1" x14ac:dyDescent="0.25">
      <c r="A102" s="108">
        <v>4</v>
      </c>
      <c r="B102" s="29" t="s">
        <v>307</v>
      </c>
      <c r="C102" s="69" t="s">
        <v>423</v>
      </c>
      <c r="D102" s="30" t="s">
        <v>14</v>
      </c>
      <c r="E102" s="30" t="s">
        <v>14</v>
      </c>
      <c r="F102" s="25" t="s">
        <v>75</v>
      </c>
      <c r="G102" s="33">
        <v>232300</v>
      </c>
      <c r="H102" s="109">
        <v>0</v>
      </c>
      <c r="I102" s="33">
        <v>0</v>
      </c>
      <c r="J102" s="109">
        <v>0</v>
      </c>
      <c r="K102" s="88">
        <f t="shared" si="8"/>
        <v>232300</v>
      </c>
    </row>
    <row r="103" spans="1:11" s="5" customFormat="1" x14ac:dyDescent="0.25">
      <c r="A103" s="86">
        <v>5</v>
      </c>
      <c r="B103" s="117" t="s">
        <v>101</v>
      </c>
      <c r="C103" s="69" t="s">
        <v>395</v>
      </c>
      <c r="D103" s="30" t="s">
        <v>16</v>
      </c>
      <c r="E103" s="30" t="s">
        <v>14</v>
      </c>
      <c r="F103" s="25" t="s">
        <v>198</v>
      </c>
      <c r="G103" s="33">
        <v>832300</v>
      </c>
      <c r="H103" s="109">
        <v>552000</v>
      </c>
      <c r="I103" s="33">
        <v>1471400</v>
      </c>
      <c r="J103" s="109">
        <v>1288300</v>
      </c>
      <c r="K103" s="88">
        <f t="shared" si="8"/>
        <v>4144000</v>
      </c>
    </row>
    <row r="104" spans="1:11" s="5" customFormat="1" x14ac:dyDescent="0.25">
      <c r="A104" s="108">
        <v>6</v>
      </c>
      <c r="B104" s="117" t="s">
        <v>308</v>
      </c>
      <c r="C104" s="69" t="s">
        <v>389</v>
      </c>
      <c r="D104" s="30" t="s">
        <v>5</v>
      </c>
      <c r="E104" s="30" t="s">
        <v>14</v>
      </c>
      <c r="F104" s="25" t="s">
        <v>198</v>
      </c>
      <c r="G104" s="33">
        <v>30000</v>
      </c>
      <c r="H104" s="109">
        <v>142100</v>
      </c>
      <c r="I104" s="33">
        <v>27600</v>
      </c>
      <c r="J104" s="109">
        <v>194000</v>
      </c>
      <c r="K104" s="88">
        <f t="shared" si="8"/>
        <v>393700</v>
      </c>
    </row>
    <row r="105" spans="1:11" s="5" customFormat="1" x14ac:dyDescent="0.25">
      <c r="A105" s="86">
        <v>7</v>
      </c>
      <c r="B105" s="117" t="s">
        <v>98</v>
      </c>
      <c r="C105" s="69" t="s">
        <v>379</v>
      </c>
      <c r="D105" s="30" t="s">
        <v>6</v>
      </c>
      <c r="E105" s="30" t="s">
        <v>14</v>
      </c>
      <c r="F105" s="25" t="s">
        <v>198</v>
      </c>
      <c r="G105" s="33">
        <v>110000</v>
      </c>
      <c r="H105" s="109">
        <v>0</v>
      </c>
      <c r="I105" s="33">
        <v>0</v>
      </c>
      <c r="J105" s="109">
        <v>0</v>
      </c>
      <c r="K105" s="88">
        <f t="shared" si="8"/>
        <v>110000</v>
      </c>
    </row>
    <row r="106" spans="1:11" s="5" customFormat="1" x14ac:dyDescent="0.25">
      <c r="A106" s="108">
        <v>8</v>
      </c>
      <c r="B106" s="29" t="s">
        <v>265</v>
      </c>
      <c r="C106" s="69" t="s">
        <v>430</v>
      </c>
      <c r="D106" s="30" t="s">
        <v>14</v>
      </c>
      <c r="E106" s="30" t="s">
        <v>14</v>
      </c>
      <c r="F106" s="25" t="s">
        <v>75</v>
      </c>
      <c r="G106" s="33">
        <v>188000</v>
      </c>
      <c r="H106" s="109">
        <v>0</v>
      </c>
      <c r="I106" s="33">
        <v>0</v>
      </c>
      <c r="J106" s="109">
        <v>0</v>
      </c>
      <c r="K106" s="88">
        <f t="shared" si="8"/>
        <v>188000</v>
      </c>
    </row>
    <row r="107" spans="1:11" s="5" customFormat="1" x14ac:dyDescent="0.25">
      <c r="A107" s="86">
        <v>9</v>
      </c>
      <c r="B107" s="29" t="s">
        <v>146</v>
      </c>
      <c r="C107" s="69" t="s">
        <v>429</v>
      </c>
      <c r="D107" s="30" t="s">
        <v>14</v>
      </c>
      <c r="E107" s="30" t="s">
        <v>14</v>
      </c>
      <c r="F107" s="25" t="s">
        <v>75</v>
      </c>
      <c r="G107" s="33">
        <v>56000</v>
      </c>
      <c r="H107" s="109">
        <v>0</v>
      </c>
      <c r="I107" s="33">
        <v>0</v>
      </c>
      <c r="J107" s="109">
        <v>0</v>
      </c>
      <c r="K107" s="88">
        <f t="shared" si="8"/>
        <v>56000</v>
      </c>
    </row>
    <row r="108" spans="1:11" s="5" customFormat="1" x14ac:dyDescent="0.25">
      <c r="A108" s="108">
        <v>10</v>
      </c>
      <c r="B108" s="29" t="s">
        <v>309</v>
      </c>
      <c r="C108" s="69" t="s">
        <v>428</v>
      </c>
      <c r="D108" s="30" t="s">
        <v>14</v>
      </c>
      <c r="E108" s="30" t="s">
        <v>14</v>
      </c>
      <c r="F108" s="25" t="s">
        <v>75</v>
      </c>
      <c r="G108" s="33">
        <v>165600</v>
      </c>
      <c r="H108" s="109">
        <v>276000</v>
      </c>
      <c r="I108" s="33">
        <v>0</v>
      </c>
      <c r="J108" s="109">
        <v>788500</v>
      </c>
      <c r="K108" s="88">
        <f t="shared" si="8"/>
        <v>1230100</v>
      </c>
    </row>
    <row r="109" spans="1:11" s="5" customFormat="1" x14ac:dyDescent="0.25">
      <c r="A109" s="86">
        <v>11</v>
      </c>
      <c r="B109" s="117" t="s">
        <v>100</v>
      </c>
      <c r="C109" s="69" t="s">
        <v>389</v>
      </c>
      <c r="D109" s="30" t="s">
        <v>5</v>
      </c>
      <c r="E109" s="30" t="s">
        <v>14</v>
      </c>
      <c r="F109" s="25" t="s">
        <v>198</v>
      </c>
      <c r="G109" s="33">
        <v>165600</v>
      </c>
      <c r="H109" s="109">
        <v>0</v>
      </c>
      <c r="I109" s="33">
        <v>309300</v>
      </c>
      <c r="J109" s="109">
        <v>503700</v>
      </c>
      <c r="K109" s="88">
        <f t="shared" si="8"/>
        <v>978600</v>
      </c>
    </row>
    <row r="110" spans="1:11" s="5" customFormat="1" x14ac:dyDescent="0.25">
      <c r="A110" s="108">
        <v>12</v>
      </c>
      <c r="B110" s="29" t="s">
        <v>134</v>
      </c>
      <c r="C110" s="69" t="s">
        <v>431</v>
      </c>
      <c r="D110" s="30" t="s">
        <v>14</v>
      </c>
      <c r="E110" s="30" t="s">
        <v>14</v>
      </c>
      <c r="F110" s="25" t="s">
        <v>75</v>
      </c>
      <c r="G110" s="33">
        <v>188600</v>
      </c>
      <c r="H110" s="109">
        <v>0</v>
      </c>
      <c r="I110" s="33">
        <v>0</v>
      </c>
      <c r="J110" s="109">
        <v>0</v>
      </c>
      <c r="K110" s="88">
        <f t="shared" si="8"/>
        <v>188600</v>
      </c>
    </row>
    <row r="111" spans="1:11" s="123" customFormat="1" x14ac:dyDescent="0.25">
      <c r="A111" s="86">
        <v>13</v>
      </c>
      <c r="B111" s="29" t="s">
        <v>310</v>
      </c>
      <c r="C111" s="69" t="s">
        <v>432</v>
      </c>
      <c r="D111" s="30" t="s">
        <v>14</v>
      </c>
      <c r="E111" s="30" t="s">
        <v>14</v>
      </c>
      <c r="F111" s="25" t="s">
        <v>75</v>
      </c>
      <c r="G111" s="33">
        <v>220800</v>
      </c>
      <c r="H111" s="109">
        <v>0</v>
      </c>
      <c r="I111" s="33">
        <v>0</v>
      </c>
      <c r="J111" s="109">
        <v>0</v>
      </c>
      <c r="K111" s="88">
        <f t="shared" si="8"/>
        <v>220800</v>
      </c>
    </row>
    <row r="112" spans="1:11" s="123" customFormat="1" x14ac:dyDescent="0.25">
      <c r="A112" s="108">
        <v>14</v>
      </c>
      <c r="B112" s="29" t="s">
        <v>120</v>
      </c>
      <c r="C112" s="69" t="s">
        <v>440</v>
      </c>
      <c r="D112" s="30" t="s">
        <v>14</v>
      </c>
      <c r="E112" s="30" t="s">
        <v>14</v>
      </c>
      <c r="F112" s="25" t="s">
        <v>96</v>
      </c>
      <c r="G112" s="33">
        <v>56000</v>
      </c>
      <c r="H112" s="109">
        <v>56000</v>
      </c>
      <c r="I112" s="33">
        <v>34000</v>
      </c>
      <c r="J112" s="109">
        <v>334000</v>
      </c>
      <c r="K112" s="88">
        <f t="shared" si="8"/>
        <v>480000</v>
      </c>
    </row>
    <row r="113" spans="1:11" s="123" customFormat="1" x14ac:dyDescent="0.25">
      <c r="A113" s="86">
        <v>15</v>
      </c>
      <c r="B113" s="117" t="s">
        <v>102</v>
      </c>
      <c r="C113" s="69" t="s">
        <v>422</v>
      </c>
      <c r="D113" s="30" t="s">
        <v>99</v>
      </c>
      <c r="E113" s="30" t="s">
        <v>14</v>
      </c>
      <c r="F113" s="25" t="s">
        <v>198</v>
      </c>
      <c r="G113" s="33">
        <v>386400</v>
      </c>
      <c r="H113" s="109">
        <v>232500</v>
      </c>
      <c r="I113" s="33">
        <v>110000</v>
      </c>
      <c r="J113" s="109">
        <v>403600</v>
      </c>
      <c r="K113" s="88">
        <f t="shared" si="8"/>
        <v>1132500</v>
      </c>
    </row>
    <row r="114" spans="1:11" s="123" customFormat="1" x14ac:dyDescent="0.25">
      <c r="A114" s="108">
        <v>16</v>
      </c>
      <c r="B114" s="29" t="s">
        <v>311</v>
      </c>
      <c r="C114" s="69" t="s">
        <v>424</v>
      </c>
      <c r="D114" s="30" t="s">
        <v>14</v>
      </c>
      <c r="E114" s="30" t="s">
        <v>14</v>
      </c>
      <c r="F114" s="25" t="s">
        <v>75</v>
      </c>
      <c r="G114" s="33">
        <v>210000</v>
      </c>
      <c r="H114" s="109">
        <v>56000</v>
      </c>
      <c r="I114" s="33">
        <v>133400</v>
      </c>
      <c r="J114" s="109">
        <v>220000</v>
      </c>
      <c r="K114" s="88">
        <f t="shared" si="8"/>
        <v>619400</v>
      </c>
    </row>
    <row r="115" spans="1:11" s="123" customFormat="1" x14ac:dyDescent="0.25">
      <c r="A115" s="86">
        <v>17</v>
      </c>
      <c r="B115" s="117" t="s">
        <v>97</v>
      </c>
      <c r="C115" s="69" t="s">
        <v>395</v>
      </c>
      <c r="D115" s="30" t="s">
        <v>6</v>
      </c>
      <c r="E115" s="30" t="s">
        <v>14</v>
      </c>
      <c r="F115" s="25" t="s">
        <v>198</v>
      </c>
      <c r="G115" s="33">
        <v>809200</v>
      </c>
      <c r="H115" s="109">
        <v>420000</v>
      </c>
      <c r="I115" s="33">
        <v>693100</v>
      </c>
      <c r="J115" s="109">
        <v>377200</v>
      </c>
      <c r="K115" s="88">
        <f t="shared" si="8"/>
        <v>2299500</v>
      </c>
    </row>
    <row r="116" spans="1:11" s="123" customFormat="1" x14ac:dyDescent="0.25">
      <c r="A116" s="108">
        <v>18</v>
      </c>
      <c r="B116" s="29" t="s">
        <v>312</v>
      </c>
      <c r="C116" s="69" t="s">
        <v>425</v>
      </c>
      <c r="D116" s="30" t="s">
        <v>14</v>
      </c>
      <c r="E116" s="30" t="s">
        <v>14</v>
      </c>
      <c r="F116" s="25" t="s">
        <v>75</v>
      </c>
      <c r="G116" s="33">
        <v>110000</v>
      </c>
      <c r="H116" s="109">
        <v>0</v>
      </c>
      <c r="I116" s="33">
        <v>0</v>
      </c>
      <c r="J116" s="109">
        <v>0</v>
      </c>
      <c r="K116" s="88">
        <f t="shared" si="8"/>
        <v>110000</v>
      </c>
    </row>
    <row r="117" spans="1:11" s="123" customFormat="1" x14ac:dyDescent="0.25">
      <c r="A117" s="86">
        <v>19</v>
      </c>
      <c r="B117" s="29" t="s">
        <v>313</v>
      </c>
      <c r="C117" s="69" t="s">
        <v>426</v>
      </c>
      <c r="D117" s="30" t="s">
        <v>14</v>
      </c>
      <c r="E117" s="30" t="s">
        <v>14</v>
      </c>
      <c r="F117" s="25" t="s">
        <v>75</v>
      </c>
      <c r="G117" s="33">
        <v>172000</v>
      </c>
      <c r="H117" s="109">
        <v>90000</v>
      </c>
      <c r="I117" s="33">
        <v>0</v>
      </c>
      <c r="J117" s="109">
        <v>0</v>
      </c>
      <c r="K117" s="88">
        <f t="shared" si="8"/>
        <v>262000</v>
      </c>
    </row>
    <row r="118" spans="1:11" s="123" customFormat="1" x14ac:dyDescent="0.25">
      <c r="A118" s="108">
        <v>20</v>
      </c>
      <c r="B118" s="29" t="s">
        <v>314</v>
      </c>
      <c r="C118" s="69" t="s">
        <v>427</v>
      </c>
      <c r="D118" s="30" t="s">
        <v>14</v>
      </c>
      <c r="E118" s="30" t="s">
        <v>14</v>
      </c>
      <c r="F118" s="25" t="s">
        <v>75</v>
      </c>
      <c r="G118" s="33">
        <v>62000</v>
      </c>
      <c r="H118" s="109">
        <v>0</v>
      </c>
      <c r="I118" s="33">
        <v>110400</v>
      </c>
      <c r="J118" s="109">
        <v>22000</v>
      </c>
      <c r="K118" s="88">
        <f t="shared" si="8"/>
        <v>194400</v>
      </c>
    </row>
    <row r="119" spans="1:11" s="123" customFormat="1" x14ac:dyDescent="0.25">
      <c r="A119" s="86">
        <v>21</v>
      </c>
      <c r="B119" s="29" t="s">
        <v>124</v>
      </c>
      <c r="C119" s="69" t="s">
        <v>435</v>
      </c>
      <c r="D119" s="30" t="s">
        <v>14</v>
      </c>
      <c r="E119" s="30" t="s">
        <v>14</v>
      </c>
      <c r="F119" s="25" t="s">
        <v>75</v>
      </c>
      <c r="G119" s="33"/>
      <c r="H119" s="109">
        <v>166000</v>
      </c>
      <c r="I119" s="33">
        <v>0</v>
      </c>
      <c r="J119" s="109">
        <v>0</v>
      </c>
      <c r="K119" s="88">
        <f t="shared" si="8"/>
        <v>166000</v>
      </c>
    </row>
    <row r="120" spans="1:11" s="123" customFormat="1" x14ac:dyDescent="0.25">
      <c r="A120" s="108">
        <v>22</v>
      </c>
      <c r="B120" s="117" t="s">
        <v>111</v>
      </c>
      <c r="C120" s="69" t="s">
        <v>399</v>
      </c>
      <c r="D120" s="30" t="s">
        <v>5</v>
      </c>
      <c r="E120" s="30" t="s">
        <v>14</v>
      </c>
      <c r="F120" s="25" t="s">
        <v>198</v>
      </c>
      <c r="G120" s="33"/>
      <c r="H120" s="109">
        <v>651200</v>
      </c>
      <c r="I120" s="33">
        <v>73600</v>
      </c>
      <c r="J120" s="109">
        <v>991300</v>
      </c>
      <c r="K120" s="88">
        <f t="shared" si="8"/>
        <v>1716100</v>
      </c>
    </row>
    <row r="121" spans="1:11" s="123" customFormat="1" x14ac:dyDescent="0.25">
      <c r="A121" s="86">
        <v>23</v>
      </c>
      <c r="B121" s="29" t="s">
        <v>315</v>
      </c>
      <c r="C121" s="69" t="s">
        <v>434</v>
      </c>
      <c r="D121" s="30" t="s">
        <v>14</v>
      </c>
      <c r="E121" s="30" t="s">
        <v>14</v>
      </c>
      <c r="F121" s="25" t="s">
        <v>96</v>
      </c>
      <c r="G121" s="33"/>
      <c r="H121" s="109">
        <v>276000</v>
      </c>
      <c r="I121" s="33">
        <v>0</v>
      </c>
      <c r="J121" s="109">
        <v>342700</v>
      </c>
      <c r="K121" s="88">
        <f t="shared" si="8"/>
        <v>618700</v>
      </c>
    </row>
    <row r="122" spans="1:11" s="123" customFormat="1" x14ac:dyDescent="0.25">
      <c r="A122" s="108">
        <v>24</v>
      </c>
      <c r="B122" s="29" t="s">
        <v>316</v>
      </c>
      <c r="C122" s="69" t="s">
        <v>433</v>
      </c>
      <c r="D122" s="30" t="s">
        <v>14</v>
      </c>
      <c r="E122" s="30" t="s">
        <v>14</v>
      </c>
      <c r="F122" s="25" t="s">
        <v>251</v>
      </c>
      <c r="G122" s="33"/>
      <c r="H122" s="109">
        <v>607200</v>
      </c>
      <c r="I122" s="33">
        <v>0</v>
      </c>
      <c r="J122" s="109">
        <v>0</v>
      </c>
      <c r="K122" s="88">
        <f t="shared" si="8"/>
        <v>607200</v>
      </c>
    </row>
    <row r="123" spans="1:11" s="5" customFormat="1" x14ac:dyDescent="0.25">
      <c r="A123" s="86">
        <v>25</v>
      </c>
      <c r="B123" s="29" t="s">
        <v>317</v>
      </c>
      <c r="C123" s="69" t="s">
        <v>438</v>
      </c>
      <c r="D123" s="30" t="s">
        <v>14</v>
      </c>
      <c r="E123" s="30" t="s">
        <v>14</v>
      </c>
      <c r="F123" s="25" t="s">
        <v>75</v>
      </c>
      <c r="G123" s="33"/>
      <c r="H123" s="109">
        <v>78000</v>
      </c>
      <c r="I123" s="33">
        <v>0</v>
      </c>
      <c r="J123" s="109">
        <v>0</v>
      </c>
      <c r="K123" s="88">
        <f t="shared" si="8"/>
        <v>78000</v>
      </c>
    </row>
    <row r="124" spans="1:11" s="5" customFormat="1" x14ac:dyDescent="0.25">
      <c r="A124" s="108">
        <v>26</v>
      </c>
      <c r="B124" s="29" t="s">
        <v>318</v>
      </c>
      <c r="C124" s="69" t="s">
        <v>607</v>
      </c>
      <c r="D124" s="30" t="s">
        <v>14</v>
      </c>
      <c r="E124" s="30" t="s">
        <v>14</v>
      </c>
      <c r="F124" s="25" t="s">
        <v>75</v>
      </c>
      <c r="G124" s="33"/>
      <c r="H124" s="109">
        <v>310000</v>
      </c>
      <c r="I124" s="33">
        <v>0</v>
      </c>
      <c r="J124" s="109">
        <v>0</v>
      </c>
      <c r="K124" s="88">
        <f t="shared" si="8"/>
        <v>310000</v>
      </c>
    </row>
    <row r="125" spans="1:11" s="5" customFormat="1" x14ac:dyDescent="0.25">
      <c r="A125" s="86">
        <v>27</v>
      </c>
      <c r="B125" s="29" t="s">
        <v>319</v>
      </c>
      <c r="C125" s="69" t="s">
        <v>405</v>
      </c>
      <c r="D125" s="30" t="s">
        <v>14</v>
      </c>
      <c r="E125" s="30" t="s">
        <v>14</v>
      </c>
      <c r="F125" s="25" t="s">
        <v>75</v>
      </c>
      <c r="G125" s="33"/>
      <c r="H125" s="109">
        <v>187500</v>
      </c>
      <c r="I125" s="33">
        <v>0</v>
      </c>
      <c r="J125" s="109">
        <v>330000</v>
      </c>
      <c r="K125" s="88">
        <f t="shared" si="8"/>
        <v>517500</v>
      </c>
    </row>
    <row r="126" spans="1:11" s="5" customFormat="1" x14ac:dyDescent="0.25">
      <c r="A126" s="108">
        <v>28</v>
      </c>
      <c r="B126" s="29" t="s">
        <v>118</v>
      </c>
      <c r="C126" s="69" t="s">
        <v>437</v>
      </c>
      <c r="D126" s="30" t="s">
        <v>6</v>
      </c>
      <c r="E126" s="30" t="s">
        <v>14</v>
      </c>
      <c r="F126" s="25" t="s">
        <v>75</v>
      </c>
      <c r="G126" s="33"/>
      <c r="H126" s="109">
        <v>50000</v>
      </c>
      <c r="I126" s="33">
        <v>0</v>
      </c>
      <c r="J126" s="109">
        <v>0</v>
      </c>
      <c r="K126" s="88">
        <f t="shared" si="8"/>
        <v>50000</v>
      </c>
    </row>
    <row r="127" spans="1:11" s="123" customFormat="1" x14ac:dyDescent="0.25">
      <c r="A127" s="86">
        <v>29</v>
      </c>
      <c r="B127" s="29" t="s">
        <v>320</v>
      </c>
      <c r="C127" s="69" t="s">
        <v>439</v>
      </c>
      <c r="D127" s="30" t="s">
        <v>14</v>
      </c>
      <c r="E127" s="30" t="s">
        <v>14</v>
      </c>
      <c r="F127" s="25" t="s">
        <v>75</v>
      </c>
      <c r="G127" s="33"/>
      <c r="H127" s="109">
        <v>145000</v>
      </c>
      <c r="I127" s="33">
        <v>0</v>
      </c>
      <c r="J127" s="109">
        <v>0</v>
      </c>
      <c r="K127" s="88">
        <f t="shared" si="8"/>
        <v>145000</v>
      </c>
    </row>
    <row r="128" spans="1:11" s="123" customFormat="1" x14ac:dyDescent="0.25">
      <c r="A128" s="108">
        <v>30</v>
      </c>
      <c r="B128" s="29" t="s">
        <v>321</v>
      </c>
      <c r="C128" s="69" t="s">
        <v>436</v>
      </c>
      <c r="D128" s="30" t="s">
        <v>14</v>
      </c>
      <c r="E128" s="30" t="s">
        <v>14</v>
      </c>
      <c r="F128" s="25" t="s">
        <v>75</v>
      </c>
      <c r="G128" s="33"/>
      <c r="H128" s="109">
        <v>11500</v>
      </c>
      <c r="I128" s="33">
        <v>0</v>
      </c>
      <c r="J128" s="109">
        <v>0</v>
      </c>
      <c r="K128" s="88">
        <f t="shared" si="8"/>
        <v>11500</v>
      </c>
    </row>
    <row r="129" spans="1:11" s="123" customFormat="1" x14ac:dyDescent="0.25">
      <c r="A129" s="86">
        <v>31</v>
      </c>
      <c r="B129" s="29" t="s">
        <v>495</v>
      </c>
      <c r="C129" s="177" t="s">
        <v>596</v>
      </c>
      <c r="D129" s="30" t="s">
        <v>14</v>
      </c>
      <c r="E129" s="30" t="s">
        <v>14</v>
      </c>
      <c r="F129" s="25" t="s">
        <v>75</v>
      </c>
      <c r="G129" s="33"/>
      <c r="H129" s="109"/>
      <c r="I129" s="33">
        <v>430100</v>
      </c>
      <c r="J129" s="109">
        <v>0</v>
      </c>
      <c r="K129" s="88">
        <f t="shared" si="8"/>
        <v>430100</v>
      </c>
    </row>
    <row r="130" spans="1:11" s="123" customFormat="1" x14ac:dyDescent="0.25">
      <c r="A130" s="108">
        <v>32</v>
      </c>
      <c r="B130" s="29" t="s">
        <v>532</v>
      </c>
      <c r="C130" s="177" t="s">
        <v>602</v>
      </c>
      <c r="D130" s="30" t="s">
        <v>14</v>
      </c>
      <c r="E130" s="30" t="s">
        <v>14</v>
      </c>
      <c r="F130" s="25" t="s">
        <v>75</v>
      </c>
      <c r="G130" s="33"/>
      <c r="H130" s="109"/>
      <c r="I130" s="33">
        <v>110400</v>
      </c>
      <c r="J130" s="109">
        <v>0</v>
      </c>
      <c r="K130" s="88">
        <f t="shared" si="8"/>
        <v>110400</v>
      </c>
    </row>
    <row r="131" spans="1:11" s="123" customFormat="1" x14ac:dyDescent="0.25">
      <c r="A131" s="86">
        <v>33</v>
      </c>
      <c r="B131" s="29" t="s">
        <v>123</v>
      </c>
      <c r="C131" s="177" t="s">
        <v>435</v>
      </c>
      <c r="D131" s="30" t="s">
        <v>14</v>
      </c>
      <c r="E131" s="30" t="s">
        <v>14</v>
      </c>
      <c r="F131" s="25" t="s">
        <v>75</v>
      </c>
      <c r="G131" s="33"/>
      <c r="H131" s="109"/>
      <c r="I131" s="33">
        <v>220800</v>
      </c>
      <c r="J131" s="109">
        <v>374400</v>
      </c>
      <c r="K131" s="88">
        <f t="shared" si="8"/>
        <v>595200</v>
      </c>
    </row>
    <row r="132" spans="1:11" s="123" customFormat="1" x14ac:dyDescent="0.25">
      <c r="A132" s="108">
        <v>34</v>
      </c>
      <c r="B132" s="29" t="s">
        <v>533</v>
      </c>
      <c r="C132" s="177" t="s">
        <v>597</v>
      </c>
      <c r="D132" s="30" t="s">
        <v>14</v>
      </c>
      <c r="E132" s="30" t="s">
        <v>14</v>
      </c>
      <c r="F132" s="25" t="s">
        <v>75</v>
      </c>
      <c r="G132" s="33"/>
      <c r="H132" s="109"/>
      <c r="I132" s="33">
        <v>276000</v>
      </c>
      <c r="J132" s="109">
        <v>0</v>
      </c>
      <c r="K132" s="88">
        <f t="shared" si="8"/>
        <v>276000</v>
      </c>
    </row>
    <row r="133" spans="1:11" s="123" customFormat="1" x14ac:dyDescent="0.25">
      <c r="A133" s="86">
        <v>35</v>
      </c>
      <c r="B133" s="29" t="s">
        <v>534</v>
      </c>
      <c r="C133" s="177" t="s">
        <v>598</v>
      </c>
      <c r="D133" s="30" t="s">
        <v>14</v>
      </c>
      <c r="E133" s="30" t="s">
        <v>14</v>
      </c>
      <c r="F133" s="25" t="s">
        <v>75</v>
      </c>
      <c r="G133" s="33"/>
      <c r="H133" s="109"/>
      <c r="I133" s="33">
        <v>220800</v>
      </c>
      <c r="J133" s="109">
        <v>0</v>
      </c>
      <c r="K133" s="88">
        <f t="shared" si="8"/>
        <v>220800</v>
      </c>
    </row>
    <row r="134" spans="1:11" s="123" customFormat="1" x14ac:dyDescent="0.25">
      <c r="A134" s="108">
        <v>36</v>
      </c>
      <c r="B134" s="117" t="s">
        <v>222</v>
      </c>
      <c r="C134" s="177" t="s">
        <v>396</v>
      </c>
      <c r="D134" s="30" t="s">
        <v>16</v>
      </c>
      <c r="E134" s="30" t="s">
        <v>14</v>
      </c>
      <c r="F134" s="25" t="s">
        <v>198</v>
      </c>
      <c r="G134" s="33"/>
      <c r="H134" s="109"/>
      <c r="I134" s="33">
        <v>55200</v>
      </c>
      <c r="J134" s="109">
        <v>55200</v>
      </c>
      <c r="K134" s="88">
        <f t="shared" si="8"/>
        <v>110400</v>
      </c>
    </row>
    <row r="135" spans="1:11" s="123" customFormat="1" x14ac:dyDescent="0.25">
      <c r="A135" s="86">
        <v>37</v>
      </c>
      <c r="B135" s="29" t="s">
        <v>646</v>
      </c>
      <c r="C135" s="29"/>
      <c r="D135" s="30" t="s">
        <v>14</v>
      </c>
      <c r="E135" s="30" t="s">
        <v>14</v>
      </c>
      <c r="F135" s="25" t="s">
        <v>75</v>
      </c>
      <c r="G135" s="33"/>
      <c r="H135" s="109"/>
      <c r="I135" s="33"/>
      <c r="J135" s="109">
        <v>82800</v>
      </c>
      <c r="K135" s="88">
        <f t="shared" si="8"/>
        <v>82800</v>
      </c>
    </row>
    <row r="136" spans="1:11" s="123" customFormat="1" x14ac:dyDescent="0.25">
      <c r="A136" s="108">
        <v>38</v>
      </c>
      <c r="B136" s="29" t="s">
        <v>647</v>
      </c>
      <c r="C136" s="29"/>
      <c r="D136" s="30" t="s">
        <v>14</v>
      </c>
      <c r="E136" s="30" t="s">
        <v>14</v>
      </c>
      <c r="F136" s="25" t="s">
        <v>75</v>
      </c>
      <c r="G136" s="33"/>
      <c r="H136" s="109"/>
      <c r="I136" s="33"/>
      <c r="J136" s="109">
        <v>40000</v>
      </c>
      <c r="K136" s="88">
        <f t="shared" si="8"/>
        <v>40000</v>
      </c>
    </row>
    <row r="137" spans="1:11" s="123" customFormat="1" x14ac:dyDescent="0.25">
      <c r="A137" s="86">
        <v>39</v>
      </c>
      <c r="B137" s="29" t="s">
        <v>648</v>
      </c>
      <c r="C137" s="29"/>
      <c r="D137" s="30" t="s">
        <v>14</v>
      </c>
      <c r="E137" s="30" t="s">
        <v>14</v>
      </c>
      <c r="F137" s="25" t="s">
        <v>75</v>
      </c>
      <c r="G137" s="33"/>
      <c r="H137" s="109"/>
      <c r="I137" s="33"/>
      <c r="J137" s="109">
        <v>110000</v>
      </c>
      <c r="K137" s="88">
        <f t="shared" si="8"/>
        <v>110000</v>
      </c>
    </row>
    <row r="138" spans="1:11" s="123" customFormat="1" x14ac:dyDescent="0.25">
      <c r="A138" s="108">
        <v>40</v>
      </c>
      <c r="B138" s="29" t="s">
        <v>209</v>
      </c>
      <c r="C138" s="29"/>
      <c r="D138" s="30" t="s">
        <v>14</v>
      </c>
      <c r="E138" s="30" t="s">
        <v>14</v>
      </c>
      <c r="F138" s="25" t="s">
        <v>75</v>
      </c>
      <c r="G138" s="33"/>
      <c r="H138" s="109"/>
      <c r="I138" s="33"/>
      <c r="J138" s="109">
        <v>56000</v>
      </c>
      <c r="K138" s="88">
        <f t="shared" si="8"/>
        <v>56000</v>
      </c>
    </row>
    <row r="139" spans="1:11" s="123" customFormat="1" x14ac:dyDescent="0.25">
      <c r="A139" s="86">
        <v>41</v>
      </c>
      <c r="B139" s="29" t="s">
        <v>264</v>
      </c>
      <c r="C139" s="131"/>
      <c r="D139" s="30" t="s">
        <v>14</v>
      </c>
      <c r="E139" s="30" t="s">
        <v>14</v>
      </c>
      <c r="F139" s="25" t="s">
        <v>75</v>
      </c>
      <c r="G139" s="33"/>
      <c r="H139" s="109"/>
      <c r="I139" s="33"/>
      <c r="J139" s="109">
        <v>220800</v>
      </c>
      <c r="K139" s="88">
        <f t="shared" si="8"/>
        <v>220800</v>
      </c>
    </row>
    <row r="140" spans="1:11" s="123" customFormat="1" x14ac:dyDescent="0.25">
      <c r="A140" s="108">
        <v>42</v>
      </c>
      <c r="B140" s="29" t="s">
        <v>649</v>
      </c>
      <c r="C140" s="131"/>
      <c r="D140" s="30" t="s">
        <v>14</v>
      </c>
      <c r="E140" s="30" t="s">
        <v>14</v>
      </c>
      <c r="F140" s="25" t="s">
        <v>75</v>
      </c>
      <c r="G140" s="33"/>
      <c r="H140" s="109"/>
      <c r="I140" s="33"/>
      <c r="J140" s="109">
        <v>55200</v>
      </c>
      <c r="K140" s="88">
        <f t="shared" si="8"/>
        <v>55200</v>
      </c>
    </row>
    <row r="141" spans="1:11" s="123" customFormat="1" x14ac:dyDescent="0.25">
      <c r="A141" s="86">
        <v>43</v>
      </c>
      <c r="B141" s="29" t="s">
        <v>650</v>
      </c>
      <c r="C141" s="131"/>
      <c r="D141" s="30" t="s">
        <v>14</v>
      </c>
      <c r="E141" s="30" t="s">
        <v>14</v>
      </c>
      <c r="F141" s="25" t="s">
        <v>75</v>
      </c>
      <c r="G141" s="33"/>
      <c r="H141" s="109"/>
      <c r="I141" s="33"/>
      <c r="J141" s="109">
        <v>517500</v>
      </c>
      <c r="K141" s="88">
        <f t="shared" si="8"/>
        <v>517500</v>
      </c>
    </row>
    <row r="142" spans="1:11" s="123" customFormat="1" x14ac:dyDescent="0.25">
      <c r="A142" s="108">
        <v>44</v>
      </c>
      <c r="B142" s="29" t="s">
        <v>207</v>
      </c>
      <c r="C142" s="131"/>
      <c r="D142" s="30" t="s">
        <v>14</v>
      </c>
      <c r="E142" s="30" t="s">
        <v>14</v>
      </c>
      <c r="F142" s="25" t="s">
        <v>75</v>
      </c>
      <c r="G142" s="33"/>
      <c r="H142" s="109"/>
      <c r="I142" s="33"/>
      <c r="J142" s="109">
        <v>46000</v>
      </c>
      <c r="K142" s="88">
        <f t="shared" si="8"/>
        <v>46000</v>
      </c>
    </row>
    <row r="143" spans="1:11" s="123" customFormat="1" x14ac:dyDescent="0.25">
      <c r="A143" s="86">
        <v>45</v>
      </c>
      <c r="B143" s="29" t="s">
        <v>651</v>
      </c>
      <c r="C143" s="131"/>
      <c r="D143" s="30" t="s">
        <v>14</v>
      </c>
      <c r="E143" s="30" t="s">
        <v>14</v>
      </c>
      <c r="F143" s="25" t="s">
        <v>75</v>
      </c>
      <c r="G143" s="33"/>
      <c r="H143" s="109"/>
      <c r="I143" s="33"/>
      <c r="J143" s="109">
        <v>55000</v>
      </c>
      <c r="K143" s="88">
        <f t="shared" si="8"/>
        <v>55000</v>
      </c>
    </row>
    <row r="144" spans="1:11" s="123" customFormat="1" x14ac:dyDescent="0.25">
      <c r="A144" s="108">
        <v>46</v>
      </c>
      <c r="B144" s="29" t="s">
        <v>652</v>
      </c>
      <c r="C144" s="131"/>
      <c r="D144" s="30" t="s">
        <v>14</v>
      </c>
      <c r="E144" s="30" t="s">
        <v>14</v>
      </c>
      <c r="F144" s="25" t="s">
        <v>75</v>
      </c>
      <c r="G144" s="33"/>
      <c r="H144" s="109"/>
      <c r="I144" s="33"/>
      <c r="J144" s="109">
        <v>34000</v>
      </c>
      <c r="K144" s="88">
        <f t="shared" si="8"/>
        <v>34000</v>
      </c>
    </row>
    <row r="145" spans="1:11" s="123" customFormat="1" x14ac:dyDescent="0.25">
      <c r="A145" s="86">
        <v>47</v>
      </c>
      <c r="B145" s="29" t="s">
        <v>653</v>
      </c>
      <c r="C145" s="131"/>
      <c r="D145" s="30" t="s">
        <v>14</v>
      </c>
      <c r="E145" s="30" t="s">
        <v>14</v>
      </c>
      <c r="F145" s="25" t="s">
        <v>75</v>
      </c>
      <c r="G145" s="33"/>
      <c r="H145" s="109"/>
      <c r="I145" s="33"/>
      <c r="J145" s="109">
        <v>165000</v>
      </c>
      <c r="K145" s="88">
        <f t="shared" si="8"/>
        <v>165000</v>
      </c>
    </row>
    <row r="146" spans="1:11" s="123" customFormat="1" ht="15.75" thickBot="1" x14ac:dyDescent="0.3">
      <c r="A146" s="108">
        <v>48</v>
      </c>
      <c r="B146" s="29" t="s">
        <v>654</v>
      </c>
      <c r="C146" s="131"/>
      <c r="D146" s="30" t="s">
        <v>14</v>
      </c>
      <c r="E146" s="30" t="s">
        <v>14</v>
      </c>
      <c r="F146" s="25" t="s">
        <v>75</v>
      </c>
      <c r="G146" s="33"/>
      <c r="H146" s="109"/>
      <c r="I146" s="33"/>
      <c r="J146" s="109">
        <v>82500</v>
      </c>
      <c r="K146" s="88">
        <f t="shared" si="8"/>
        <v>82500</v>
      </c>
    </row>
    <row r="147" spans="1:11" x14ac:dyDescent="0.25">
      <c r="A147" s="261" t="s">
        <v>3</v>
      </c>
      <c r="B147" s="262"/>
      <c r="C147" s="262"/>
      <c r="D147" s="262"/>
      <c r="E147" s="262"/>
      <c r="F147" s="263"/>
      <c r="G147" s="35">
        <f>SUM(G99:G146)</f>
        <v>5422600</v>
      </c>
      <c r="H147" s="35">
        <f>SUM(H99:H146)</f>
        <v>5044500</v>
      </c>
      <c r="I147" s="35">
        <f>SUM(I99:I146)</f>
        <v>4992300</v>
      </c>
      <c r="J147" s="35">
        <f>SUM(J99:J146)</f>
        <v>9225400</v>
      </c>
      <c r="K147" s="35">
        <f>SUM(K99:K146)</f>
        <v>24684800</v>
      </c>
    </row>
    <row r="148" spans="1:11" ht="15.75" x14ac:dyDescent="0.25">
      <c r="A148" s="246" t="s">
        <v>82</v>
      </c>
      <c r="B148" s="247"/>
      <c r="C148" s="247"/>
      <c r="D148" s="247"/>
      <c r="E148" s="247"/>
      <c r="F148" s="269"/>
      <c r="G148" s="270"/>
      <c r="H148" s="271"/>
      <c r="I148" s="271"/>
      <c r="J148" s="271"/>
      <c r="K148" s="272"/>
    </row>
    <row r="149" spans="1:11" s="2" customFormat="1" x14ac:dyDescent="0.25">
      <c r="A149" s="82">
        <v>1</v>
      </c>
      <c r="B149" s="24" t="s">
        <v>322</v>
      </c>
      <c r="C149" s="169" t="s">
        <v>486</v>
      </c>
      <c r="D149" s="24" t="s">
        <v>88</v>
      </c>
      <c r="E149" s="24" t="s">
        <v>88</v>
      </c>
      <c r="F149" s="25" t="s">
        <v>96</v>
      </c>
      <c r="G149" s="39">
        <v>1564000</v>
      </c>
      <c r="H149" s="25">
        <v>2179600</v>
      </c>
      <c r="I149" s="25">
        <v>1465100</v>
      </c>
      <c r="J149" s="27">
        <v>1980800</v>
      </c>
      <c r="K149" s="83">
        <f>SUM(G149:J149)</f>
        <v>7189500</v>
      </c>
    </row>
    <row r="150" spans="1:11" s="2" customFormat="1" x14ac:dyDescent="0.25">
      <c r="A150" s="86">
        <v>2</v>
      </c>
      <c r="B150" s="24" t="s">
        <v>163</v>
      </c>
      <c r="C150" s="169" t="s">
        <v>486</v>
      </c>
      <c r="D150" s="24" t="s">
        <v>88</v>
      </c>
      <c r="E150" s="24" t="s">
        <v>88</v>
      </c>
      <c r="F150" s="25" t="s">
        <v>75</v>
      </c>
      <c r="G150" s="31">
        <v>20700</v>
      </c>
      <c r="H150" s="25">
        <v>0</v>
      </c>
      <c r="I150" s="25">
        <v>0</v>
      </c>
      <c r="J150" s="26">
        <v>0</v>
      </c>
      <c r="K150" s="83">
        <f t="shared" ref="K150:K218" si="9">SUM(G150:J150)</f>
        <v>20700</v>
      </c>
    </row>
    <row r="151" spans="1:11" s="5" customFormat="1" x14ac:dyDescent="0.25">
      <c r="A151" s="82">
        <v>3</v>
      </c>
      <c r="B151" s="24" t="s">
        <v>264</v>
      </c>
      <c r="C151" s="169" t="s">
        <v>486</v>
      </c>
      <c r="D151" s="24" t="s">
        <v>88</v>
      </c>
      <c r="E151" s="24" t="s">
        <v>88</v>
      </c>
      <c r="F151" s="25" t="s">
        <v>96</v>
      </c>
      <c r="G151" s="31">
        <v>1630700</v>
      </c>
      <c r="H151" s="25">
        <v>1014900</v>
      </c>
      <c r="I151" s="25">
        <v>1421400</v>
      </c>
      <c r="J151" s="26">
        <v>2706200</v>
      </c>
      <c r="K151" s="83">
        <f t="shared" si="9"/>
        <v>6773200</v>
      </c>
    </row>
    <row r="152" spans="1:11" s="5" customFormat="1" x14ac:dyDescent="0.25">
      <c r="A152" s="86">
        <v>4</v>
      </c>
      <c r="B152" s="24" t="s">
        <v>323</v>
      </c>
      <c r="C152" s="169" t="s">
        <v>486</v>
      </c>
      <c r="D152" s="24" t="s">
        <v>88</v>
      </c>
      <c r="E152" s="24" t="s">
        <v>88</v>
      </c>
      <c r="F152" s="25" t="s">
        <v>75</v>
      </c>
      <c r="G152" s="31">
        <v>135700</v>
      </c>
      <c r="H152" s="25">
        <v>501400</v>
      </c>
      <c r="I152" s="25">
        <v>0</v>
      </c>
      <c r="J152" s="26">
        <v>0</v>
      </c>
      <c r="K152" s="83">
        <f t="shared" si="9"/>
        <v>637100</v>
      </c>
    </row>
    <row r="153" spans="1:11" s="5" customFormat="1" x14ac:dyDescent="0.25">
      <c r="A153" s="82">
        <v>5</v>
      </c>
      <c r="B153" s="24" t="s">
        <v>272</v>
      </c>
      <c r="C153" s="169" t="s">
        <v>486</v>
      </c>
      <c r="D153" s="24" t="s">
        <v>88</v>
      </c>
      <c r="E153" s="24" t="s">
        <v>88</v>
      </c>
      <c r="F153" s="25" t="s">
        <v>75</v>
      </c>
      <c r="G153" s="31">
        <v>46000</v>
      </c>
      <c r="H153" s="25">
        <v>0</v>
      </c>
      <c r="I153" s="25">
        <v>0</v>
      </c>
      <c r="J153" s="26">
        <v>0</v>
      </c>
      <c r="K153" s="83">
        <f t="shared" si="9"/>
        <v>46000</v>
      </c>
    </row>
    <row r="154" spans="1:11" s="5" customFormat="1" x14ac:dyDescent="0.25">
      <c r="A154" s="86">
        <v>6</v>
      </c>
      <c r="B154" s="24" t="s">
        <v>324</v>
      </c>
      <c r="C154" s="169" t="s">
        <v>486</v>
      </c>
      <c r="D154" s="24" t="s">
        <v>88</v>
      </c>
      <c r="E154" s="24" t="s">
        <v>88</v>
      </c>
      <c r="F154" s="25" t="s">
        <v>75</v>
      </c>
      <c r="G154" s="31">
        <v>46000</v>
      </c>
      <c r="H154" s="25">
        <v>66700</v>
      </c>
      <c r="I154" s="25">
        <v>0</v>
      </c>
      <c r="J154" s="26">
        <v>78200</v>
      </c>
      <c r="K154" s="83">
        <f t="shared" si="9"/>
        <v>190900</v>
      </c>
    </row>
    <row r="155" spans="1:11" s="5" customFormat="1" x14ac:dyDescent="0.25">
      <c r="A155" s="82">
        <v>7</v>
      </c>
      <c r="B155" s="24" t="s">
        <v>325</v>
      </c>
      <c r="C155" s="169" t="s">
        <v>486</v>
      </c>
      <c r="D155" s="24" t="s">
        <v>88</v>
      </c>
      <c r="E155" s="24" t="s">
        <v>88</v>
      </c>
      <c r="F155" s="25" t="s">
        <v>75</v>
      </c>
      <c r="G155" s="31">
        <v>326600</v>
      </c>
      <c r="H155" s="25">
        <v>71300</v>
      </c>
      <c r="I155" s="25">
        <v>404800</v>
      </c>
      <c r="J155" s="26">
        <v>178200</v>
      </c>
      <c r="K155" s="83">
        <f t="shared" si="9"/>
        <v>980900</v>
      </c>
    </row>
    <row r="156" spans="1:11" s="5" customFormat="1" x14ac:dyDescent="0.25">
      <c r="A156" s="86">
        <v>8</v>
      </c>
      <c r="B156" s="24" t="s">
        <v>326</v>
      </c>
      <c r="C156" s="169" t="s">
        <v>486</v>
      </c>
      <c r="D156" s="24" t="s">
        <v>88</v>
      </c>
      <c r="E156" s="24" t="s">
        <v>88</v>
      </c>
      <c r="F156" s="25" t="s">
        <v>75</v>
      </c>
      <c r="G156" s="31">
        <v>55200</v>
      </c>
      <c r="H156" s="25">
        <v>34500</v>
      </c>
      <c r="I156" s="25">
        <v>0</v>
      </c>
      <c r="J156" s="26">
        <v>0</v>
      </c>
      <c r="K156" s="83">
        <f t="shared" si="9"/>
        <v>89700</v>
      </c>
    </row>
    <row r="157" spans="1:11" s="5" customFormat="1" x14ac:dyDescent="0.25">
      <c r="A157" s="82">
        <v>9</v>
      </c>
      <c r="B157" s="24" t="s">
        <v>327</v>
      </c>
      <c r="C157" s="169" t="s">
        <v>486</v>
      </c>
      <c r="D157" s="24" t="s">
        <v>88</v>
      </c>
      <c r="E157" s="24" t="s">
        <v>88</v>
      </c>
      <c r="F157" s="25" t="s">
        <v>75</v>
      </c>
      <c r="G157" s="31">
        <v>23000</v>
      </c>
      <c r="H157" s="25">
        <v>0</v>
      </c>
      <c r="I157" s="25">
        <v>0</v>
      </c>
      <c r="J157" s="26">
        <v>0</v>
      </c>
      <c r="K157" s="83">
        <f t="shared" si="9"/>
        <v>23000</v>
      </c>
    </row>
    <row r="158" spans="1:11" s="5" customFormat="1" x14ac:dyDescent="0.25">
      <c r="A158" s="86">
        <v>10</v>
      </c>
      <c r="B158" s="24" t="s">
        <v>328</v>
      </c>
      <c r="C158" s="169" t="s">
        <v>486</v>
      </c>
      <c r="D158" s="24" t="s">
        <v>88</v>
      </c>
      <c r="E158" s="24" t="s">
        <v>88</v>
      </c>
      <c r="F158" s="25" t="s">
        <v>75</v>
      </c>
      <c r="G158" s="31">
        <v>243800</v>
      </c>
      <c r="H158" s="25">
        <v>0</v>
      </c>
      <c r="I158" s="25">
        <v>73600</v>
      </c>
      <c r="J158" s="26">
        <v>459000</v>
      </c>
      <c r="K158" s="83">
        <f t="shared" si="9"/>
        <v>776400</v>
      </c>
    </row>
    <row r="159" spans="1:11" s="5" customFormat="1" x14ac:dyDescent="0.25">
      <c r="A159" s="82">
        <v>11</v>
      </c>
      <c r="B159" s="9" t="s">
        <v>329</v>
      </c>
      <c r="C159" s="169" t="s">
        <v>486</v>
      </c>
      <c r="D159" s="24" t="s">
        <v>88</v>
      </c>
      <c r="E159" s="24" t="s">
        <v>88</v>
      </c>
      <c r="F159" s="25" t="s">
        <v>75</v>
      </c>
      <c r="G159" s="31">
        <v>149500</v>
      </c>
      <c r="H159" s="25">
        <v>0</v>
      </c>
      <c r="I159" s="25">
        <v>73600</v>
      </c>
      <c r="J159" s="26">
        <v>0</v>
      </c>
      <c r="K159" s="83">
        <f t="shared" si="9"/>
        <v>223100</v>
      </c>
    </row>
    <row r="160" spans="1:11" s="5" customFormat="1" x14ac:dyDescent="0.25">
      <c r="A160" s="86">
        <v>12</v>
      </c>
      <c r="B160" s="24" t="s">
        <v>330</v>
      </c>
      <c r="C160" s="169" t="s">
        <v>486</v>
      </c>
      <c r="D160" s="24" t="s">
        <v>88</v>
      </c>
      <c r="E160" s="24" t="s">
        <v>88</v>
      </c>
      <c r="F160" s="25" t="s">
        <v>75</v>
      </c>
      <c r="G160" s="31">
        <v>271400</v>
      </c>
      <c r="H160" s="25">
        <v>0</v>
      </c>
      <c r="I160" s="25">
        <v>0</v>
      </c>
      <c r="J160" s="26">
        <v>78200</v>
      </c>
      <c r="K160" s="83">
        <f t="shared" si="9"/>
        <v>349600</v>
      </c>
    </row>
    <row r="161" spans="1:11" s="5" customFormat="1" x14ac:dyDescent="0.25">
      <c r="A161" s="82">
        <v>13</v>
      </c>
      <c r="B161" s="24" t="s">
        <v>331</v>
      </c>
      <c r="C161" s="169" t="s">
        <v>486</v>
      </c>
      <c r="D161" s="24" t="s">
        <v>88</v>
      </c>
      <c r="E161" s="24" t="s">
        <v>88</v>
      </c>
      <c r="F161" s="25" t="s">
        <v>75</v>
      </c>
      <c r="G161" s="31">
        <v>110400</v>
      </c>
      <c r="H161" s="25">
        <v>78200</v>
      </c>
      <c r="I161" s="25">
        <v>0</v>
      </c>
      <c r="J161" s="26">
        <v>184000</v>
      </c>
      <c r="K161" s="83">
        <f t="shared" si="9"/>
        <v>372600</v>
      </c>
    </row>
    <row r="162" spans="1:11" s="5" customFormat="1" x14ac:dyDescent="0.25">
      <c r="A162" s="86">
        <v>14</v>
      </c>
      <c r="B162" s="24" t="s">
        <v>332</v>
      </c>
      <c r="C162" s="169" t="s">
        <v>486</v>
      </c>
      <c r="D162" s="24" t="s">
        <v>88</v>
      </c>
      <c r="E162" s="24" t="s">
        <v>88</v>
      </c>
      <c r="F162" s="25" t="s">
        <v>75</v>
      </c>
      <c r="G162" s="31">
        <v>23000</v>
      </c>
      <c r="H162" s="25">
        <v>0</v>
      </c>
      <c r="I162" s="25">
        <v>0</v>
      </c>
      <c r="J162" s="26">
        <v>0</v>
      </c>
      <c r="K162" s="83">
        <f t="shared" si="9"/>
        <v>23000</v>
      </c>
    </row>
    <row r="163" spans="1:11" s="5" customFormat="1" x14ac:dyDescent="0.25">
      <c r="A163" s="82">
        <v>15</v>
      </c>
      <c r="B163" s="24" t="s">
        <v>117</v>
      </c>
      <c r="C163" s="169" t="s">
        <v>486</v>
      </c>
      <c r="D163" s="24" t="s">
        <v>88</v>
      </c>
      <c r="E163" s="24" t="s">
        <v>88</v>
      </c>
      <c r="F163" s="25" t="s">
        <v>75</v>
      </c>
      <c r="G163" s="31">
        <v>39100</v>
      </c>
      <c r="H163" s="25">
        <v>0</v>
      </c>
      <c r="I163" s="25">
        <v>46000</v>
      </c>
      <c r="J163" s="26">
        <v>0</v>
      </c>
      <c r="K163" s="83">
        <f t="shared" si="9"/>
        <v>85100</v>
      </c>
    </row>
    <row r="164" spans="1:11" s="5" customFormat="1" x14ac:dyDescent="0.25">
      <c r="A164" s="86">
        <v>16</v>
      </c>
      <c r="B164" s="29" t="s">
        <v>333</v>
      </c>
      <c r="C164" s="169" t="s">
        <v>486</v>
      </c>
      <c r="D164" s="30" t="s">
        <v>88</v>
      </c>
      <c r="E164" s="24" t="s">
        <v>88</v>
      </c>
      <c r="F164" s="25" t="s">
        <v>75</v>
      </c>
      <c r="G164" s="31">
        <v>253000</v>
      </c>
      <c r="H164" s="25">
        <v>0</v>
      </c>
      <c r="I164" s="25">
        <v>0</v>
      </c>
      <c r="J164" s="26">
        <v>0</v>
      </c>
      <c r="K164" s="83">
        <f t="shared" si="9"/>
        <v>253000</v>
      </c>
    </row>
    <row r="165" spans="1:11" s="5" customFormat="1" x14ac:dyDescent="0.25">
      <c r="A165" s="82">
        <v>17</v>
      </c>
      <c r="B165" s="45" t="s">
        <v>100</v>
      </c>
      <c r="C165" s="177" t="s">
        <v>389</v>
      </c>
      <c r="D165" s="24" t="s">
        <v>5</v>
      </c>
      <c r="E165" s="24" t="s">
        <v>88</v>
      </c>
      <c r="F165" s="25" t="s">
        <v>198</v>
      </c>
      <c r="G165" s="31">
        <v>816500</v>
      </c>
      <c r="H165" s="25">
        <v>867400</v>
      </c>
      <c r="I165" s="25">
        <v>262500</v>
      </c>
      <c r="J165" s="26">
        <v>1042500</v>
      </c>
      <c r="K165" s="83">
        <f t="shared" si="9"/>
        <v>2988900</v>
      </c>
    </row>
    <row r="166" spans="1:11" s="5" customFormat="1" x14ac:dyDescent="0.25">
      <c r="A166" s="86">
        <v>18</v>
      </c>
      <c r="B166" s="45" t="s">
        <v>104</v>
      </c>
      <c r="C166" s="175" t="s">
        <v>287</v>
      </c>
      <c r="D166" s="24" t="s">
        <v>16</v>
      </c>
      <c r="E166" s="24" t="s">
        <v>88</v>
      </c>
      <c r="F166" s="25" t="s">
        <v>198</v>
      </c>
      <c r="G166" s="31">
        <v>1395000</v>
      </c>
      <c r="H166" s="25">
        <v>2420000</v>
      </c>
      <c r="I166" s="25">
        <v>1602500</v>
      </c>
      <c r="J166" s="26">
        <v>2178700</v>
      </c>
      <c r="K166" s="83">
        <f t="shared" si="9"/>
        <v>7596200</v>
      </c>
    </row>
    <row r="167" spans="1:11" s="5" customFormat="1" x14ac:dyDescent="0.25">
      <c r="A167" s="82">
        <v>19</v>
      </c>
      <c r="B167" s="24" t="s">
        <v>334</v>
      </c>
      <c r="C167" s="169" t="s">
        <v>486</v>
      </c>
      <c r="D167" s="24" t="s">
        <v>88</v>
      </c>
      <c r="E167" s="24" t="s">
        <v>88</v>
      </c>
      <c r="F167" s="25" t="s">
        <v>75</v>
      </c>
      <c r="G167" s="31">
        <v>101200</v>
      </c>
      <c r="H167" s="25">
        <v>0</v>
      </c>
      <c r="I167" s="25">
        <v>55200</v>
      </c>
      <c r="J167" s="26">
        <v>278600</v>
      </c>
      <c r="K167" s="83">
        <f t="shared" si="9"/>
        <v>435000</v>
      </c>
    </row>
    <row r="168" spans="1:11" s="5" customFormat="1" x14ac:dyDescent="0.25">
      <c r="A168" s="86">
        <v>20</v>
      </c>
      <c r="B168" s="24" t="s">
        <v>335</v>
      </c>
      <c r="C168" s="169" t="s">
        <v>486</v>
      </c>
      <c r="D168" s="24" t="s">
        <v>88</v>
      </c>
      <c r="E168" s="24" t="s">
        <v>88</v>
      </c>
      <c r="F168" s="25" t="s">
        <v>75</v>
      </c>
      <c r="G168" s="31">
        <v>110400</v>
      </c>
      <c r="H168" s="25">
        <v>0</v>
      </c>
      <c r="I168" s="25">
        <v>46000</v>
      </c>
      <c r="J168" s="26">
        <v>89700</v>
      </c>
      <c r="K168" s="83">
        <f t="shared" si="9"/>
        <v>246100</v>
      </c>
    </row>
    <row r="169" spans="1:11" s="5" customFormat="1" x14ac:dyDescent="0.25">
      <c r="A169" s="82">
        <v>21</v>
      </c>
      <c r="B169" s="24" t="s">
        <v>336</v>
      </c>
      <c r="C169" s="169" t="s">
        <v>486</v>
      </c>
      <c r="D169" s="24" t="s">
        <v>88</v>
      </c>
      <c r="E169" s="24" t="s">
        <v>88</v>
      </c>
      <c r="F169" s="25" t="s">
        <v>75</v>
      </c>
      <c r="G169" s="31">
        <v>110400</v>
      </c>
      <c r="H169" s="25">
        <v>0</v>
      </c>
      <c r="I169" s="25">
        <v>0</v>
      </c>
      <c r="J169" s="26">
        <v>0</v>
      </c>
      <c r="K169" s="83">
        <f t="shared" si="9"/>
        <v>110400</v>
      </c>
    </row>
    <row r="170" spans="1:11" s="5" customFormat="1" x14ac:dyDescent="0.25">
      <c r="A170" s="86">
        <v>22</v>
      </c>
      <c r="B170" s="24" t="s">
        <v>337</v>
      </c>
      <c r="C170" s="169" t="s">
        <v>486</v>
      </c>
      <c r="D170" s="24" t="s">
        <v>88</v>
      </c>
      <c r="E170" s="24" t="s">
        <v>88</v>
      </c>
      <c r="F170" s="25" t="s">
        <v>75</v>
      </c>
      <c r="G170" s="31">
        <v>110400</v>
      </c>
      <c r="H170" s="25">
        <v>0</v>
      </c>
      <c r="I170" s="25">
        <v>0</v>
      </c>
      <c r="J170" s="26">
        <v>0</v>
      </c>
      <c r="K170" s="83">
        <f t="shared" si="9"/>
        <v>110400</v>
      </c>
    </row>
    <row r="171" spans="1:11" s="5" customFormat="1" x14ac:dyDescent="0.25">
      <c r="A171" s="82">
        <v>23</v>
      </c>
      <c r="B171" s="24" t="s">
        <v>220</v>
      </c>
      <c r="C171" s="169" t="s">
        <v>486</v>
      </c>
      <c r="D171" s="24" t="s">
        <v>88</v>
      </c>
      <c r="E171" s="24" t="s">
        <v>88</v>
      </c>
      <c r="F171" s="25" t="s">
        <v>75</v>
      </c>
      <c r="G171" s="31">
        <v>110400</v>
      </c>
      <c r="H171" s="25">
        <v>110400</v>
      </c>
      <c r="I171" s="25">
        <v>0</v>
      </c>
      <c r="J171" s="26">
        <v>220000</v>
      </c>
      <c r="K171" s="83">
        <f t="shared" si="9"/>
        <v>440800</v>
      </c>
    </row>
    <row r="172" spans="1:11" s="5" customFormat="1" x14ac:dyDescent="0.25">
      <c r="A172" s="86">
        <v>24</v>
      </c>
      <c r="B172" s="24" t="s">
        <v>338</v>
      </c>
      <c r="C172" s="169" t="s">
        <v>486</v>
      </c>
      <c r="D172" s="24" t="s">
        <v>88</v>
      </c>
      <c r="E172" s="24" t="s">
        <v>88</v>
      </c>
      <c r="F172" s="25" t="s">
        <v>75</v>
      </c>
      <c r="G172" s="31">
        <v>39100</v>
      </c>
      <c r="H172" s="25">
        <v>0</v>
      </c>
      <c r="I172" s="25">
        <v>0</v>
      </c>
      <c r="J172" s="26">
        <v>0</v>
      </c>
      <c r="K172" s="83">
        <f t="shared" si="9"/>
        <v>39100</v>
      </c>
    </row>
    <row r="173" spans="1:11" s="5" customFormat="1" x14ac:dyDescent="0.25">
      <c r="A173" s="82">
        <v>25</v>
      </c>
      <c r="B173" s="24" t="s">
        <v>339</v>
      </c>
      <c r="C173" s="169" t="s">
        <v>486</v>
      </c>
      <c r="D173" s="24" t="s">
        <v>88</v>
      </c>
      <c r="E173" s="24" t="s">
        <v>88</v>
      </c>
      <c r="F173" s="25" t="s">
        <v>75</v>
      </c>
      <c r="G173" s="31">
        <v>55200</v>
      </c>
      <c r="H173" s="25">
        <v>0</v>
      </c>
      <c r="I173" s="25">
        <v>0</v>
      </c>
      <c r="J173" s="26">
        <v>0</v>
      </c>
      <c r="K173" s="83">
        <f t="shared" si="9"/>
        <v>55200</v>
      </c>
    </row>
    <row r="174" spans="1:11" s="5" customFormat="1" x14ac:dyDescent="0.25">
      <c r="A174" s="86">
        <v>26</v>
      </c>
      <c r="B174" s="24" t="s">
        <v>126</v>
      </c>
      <c r="C174" s="169" t="s">
        <v>486</v>
      </c>
      <c r="D174" s="24" t="s">
        <v>88</v>
      </c>
      <c r="E174" s="24" t="s">
        <v>88</v>
      </c>
      <c r="F174" s="25" t="s">
        <v>75</v>
      </c>
      <c r="G174" s="31">
        <v>55200</v>
      </c>
      <c r="H174" s="25">
        <v>133200</v>
      </c>
      <c r="I174" s="25">
        <v>112700</v>
      </c>
      <c r="J174" s="26">
        <v>0</v>
      </c>
      <c r="K174" s="83">
        <f t="shared" si="9"/>
        <v>301100</v>
      </c>
    </row>
    <row r="175" spans="1:11" s="5" customFormat="1" x14ac:dyDescent="0.25">
      <c r="A175" s="82">
        <v>27</v>
      </c>
      <c r="B175" s="24" t="s">
        <v>340</v>
      </c>
      <c r="C175" s="169" t="s">
        <v>486</v>
      </c>
      <c r="D175" s="24" t="s">
        <v>88</v>
      </c>
      <c r="E175" s="24" t="s">
        <v>88</v>
      </c>
      <c r="F175" s="25" t="s">
        <v>75</v>
      </c>
      <c r="G175" s="31">
        <v>46000</v>
      </c>
      <c r="H175" s="25">
        <v>0</v>
      </c>
      <c r="I175" s="26">
        <v>0</v>
      </c>
      <c r="J175" s="26">
        <v>0</v>
      </c>
      <c r="K175" s="83">
        <f t="shared" si="9"/>
        <v>46000</v>
      </c>
    </row>
    <row r="176" spans="1:11" s="5" customFormat="1" x14ac:dyDescent="0.25">
      <c r="A176" s="86">
        <v>28</v>
      </c>
      <c r="B176" s="24" t="s">
        <v>130</v>
      </c>
      <c r="C176" s="169" t="s">
        <v>486</v>
      </c>
      <c r="D176" s="24" t="s">
        <v>88</v>
      </c>
      <c r="E176" s="24" t="s">
        <v>88</v>
      </c>
      <c r="F176" s="25" t="s">
        <v>75</v>
      </c>
      <c r="G176" s="31">
        <v>23000</v>
      </c>
      <c r="H176" s="25">
        <v>23000</v>
      </c>
      <c r="I176" s="26">
        <v>73600</v>
      </c>
      <c r="J176" s="26">
        <v>69000</v>
      </c>
      <c r="K176" s="83">
        <f t="shared" si="9"/>
        <v>188600</v>
      </c>
    </row>
    <row r="177" spans="1:11" s="5" customFormat="1" x14ac:dyDescent="0.25">
      <c r="A177" s="82">
        <v>29</v>
      </c>
      <c r="B177" s="24" t="s">
        <v>341</v>
      </c>
      <c r="C177" s="169" t="s">
        <v>486</v>
      </c>
      <c r="D177" s="24" t="s">
        <v>88</v>
      </c>
      <c r="E177" s="24" t="s">
        <v>88</v>
      </c>
      <c r="F177" s="25" t="s">
        <v>75</v>
      </c>
      <c r="G177" s="31">
        <v>23000</v>
      </c>
      <c r="H177" s="25">
        <v>0</v>
      </c>
      <c r="I177" s="26">
        <v>0</v>
      </c>
      <c r="J177" s="26">
        <v>105000</v>
      </c>
      <c r="K177" s="83">
        <f t="shared" si="9"/>
        <v>128000</v>
      </c>
    </row>
    <row r="178" spans="1:11" s="5" customFormat="1" x14ac:dyDescent="0.25">
      <c r="A178" s="86">
        <v>30</v>
      </c>
      <c r="B178" s="24" t="s">
        <v>245</v>
      </c>
      <c r="C178" s="169" t="s">
        <v>486</v>
      </c>
      <c r="D178" s="24" t="s">
        <v>88</v>
      </c>
      <c r="E178" s="24" t="s">
        <v>88</v>
      </c>
      <c r="F178" s="25" t="s">
        <v>75</v>
      </c>
      <c r="G178" s="31">
        <v>73600</v>
      </c>
      <c r="H178" s="25">
        <v>0</v>
      </c>
      <c r="I178" s="26">
        <v>0</v>
      </c>
      <c r="J178" s="26">
        <v>0</v>
      </c>
      <c r="K178" s="83">
        <f t="shared" si="9"/>
        <v>73600</v>
      </c>
    </row>
    <row r="179" spans="1:11" s="5" customFormat="1" x14ac:dyDescent="0.25">
      <c r="A179" s="82">
        <v>31</v>
      </c>
      <c r="B179" s="24" t="s">
        <v>118</v>
      </c>
      <c r="C179" s="169" t="s">
        <v>486</v>
      </c>
      <c r="D179" s="24" t="s">
        <v>88</v>
      </c>
      <c r="E179" s="24" t="s">
        <v>88</v>
      </c>
      <c r="F179" s="25" t="s">
        <v>75</v>
      </c>
      <c r="G179" s="31">
        <v>27600</v>
      </c>
      <c r="H179" s="25">
        <v>0</v>
      </c>
      <c r="I179" s="26">
        <v>0</v>
      </c>
      <c r="J179" s="26">
        <v>0</v>
      </c>
      <c r="K179" s="83">
        <f t="shared" si="9"/>
        <v>27600</v>
      </c>
    </row>
    <row r="180" spans="1:11" s="5" customFormat="1" x14ac:dyDescent="0.25">
      <c r="A180" s="86">
        <v>32</v>
      </c>
      <c r="B180" s="24" t="s">
        <v>125</v>
      </c>
      <c r="C180" s="169" t="s">
        <v>486</v>
      </c>
      <c r="D180" s="24" t="s">
        <v>88</v>
      </c>
      <c r="E180" s="24" t="s">
        <v>88</v>
      </c>
      <c r="F180" s="25" t="s">
        <v>75</v>
      </c>
      <c r="G180" s="31">
        <v>144900</v>
      </c>
      <c r="H180" s="25">
        <v>0</v>
      </c>
      <c r="I180" s="26">
        <v>0</v>
      </c>
      <c r="J180" s="26">
        <v>0</v>
      </c>
      <c r="K180" s="83">
        <f t="shared" si="9"/>
        <v>144900</v>
      </c>
    </row>
    <row r="181" spans="1:11" s="5" customFormat="1" x14ac:dyDescent="0.25">
      <c r="A181" s="82">
        <v>33</v>
      </c>
      <c r="B181" s="24" t="s">
        <v>342</v>
      </c>
      <c r="C181" s="169" t="s">
        <v>486</v>
      </c>
      <c r="D181" s="24" t="s">
        <v>88</v>
      </c>
      <c r="E181" s="24" t="s">
        <v>88</v>
      </c>
      <c r="F181" s="25" t="s">
        <v>75</v>
      </c>
      <c r="G181" s="31">
        <v>73600</v>
      </c>
      <c r="H181" s="25">
        <v>55000</v>
      </c>
      <c r="I181" s="26">
        <v>34500</v>
      </c>
      <c r="J181" s="26">
        <v>46000</v>
      </c>
      <c r="K181" s="83">
        <f t="shared" si="9"/>
        <v>209100</v>
      </c>
    </row>
    <row r="182" spans="1:11" s="5" customFormat="1" x14ac:dyDescent="0.25">
      <c r="A182" s="86">
        <v>34</v>
      </c>
      <c r="B182" s="24" t="s">
        <v>343</v>
      </c>
      <c r="C182" s="169" t="s">
        <v>486</v>
      </c>
      <c r="D182" s="24" t="s">
        <v>88</v>
      </c>
      <c r="E182" s="24" t="s">
        <v>88</v>
      </c>
      <c r="F182" s="25" t="s">
        <v>75</v>
      </c>
      <c r="G182" s="31">
        <v>46000</v>
      </c>
      <c r="H182" s="25">
        <v>0</v>
      </c>
      <c r="I182" s="26">
        <v>156400</v>
      </c>
      <c r="J182" s="26">
        <v>46000</v>
      </c>
      <c r="K182" s="83">
        <f t="shared" si="9"/>
        <v>248400</v>
      </c>
    </row>
    <row r="183" spans="1:11" s="5" customFormat="1" x14ac:dyDescent="0.25">
      <c r="A183" s="82">
        <v>35</v>
      </c>
      <c r="B183" s="24" t="s">
        <v>344</v>
      </c>
      <c r="C183" s="169" t="s">
        <v>486</v>
      </c>
      <c r="D183" s="24" t="s">
        <v>88</v>
      </c>
      <c r="E183" s="24" t="s">
        <v>88</v>
      </c>
      <c r="F183" s="25" t="s">
        <v>75</v>
      </c>
      <c r="G183" s="31">
        <v>39100</v>
      </c>
      <c r="H183" s="25">
        <v>0</v>
      </c>
      <c r="I183" s="26">
        <v>78200</v>
      </c>
      <c r="J183" s="26">
        <v>0</v>
      </c>
      <c r="K183" s="83">
        <f t="shared" si="9"/>
        <v>117300</v>
      </c>
    </row>
    <row r="184" spans="1:11" s="5" customFormat="1" x14ac:dyDescent="0.25">
      <c r="A184" s="86">
        <v>36</v>
      </c>
      <c r="B184" s="24" t="s">
        <v>345</v>
      </c>
      <c r="C184" s="169" t="s">
        <v>486</v>
      </c>
      <c r="D184" s="24" t="s">
        <v>88</v>
      </c>
      <c r="E184" s="24" t="s">
        <v>88</v>
      </c>
      <c r="F184" s="25" t="s">
        <v>75</v>
      </c>
      <c r="G184" s="31">
        <v>34500</v>
      </c>
      <c r="H184" s="25">
        <v>0</v>
      </c>
      <c r="I184" s="26">
        <v>0</v>
      </c>
      <c r="J184" s="26">
        <v>0</v>
      </c>
      <c r="K184" s="83">
        <f t="shared" si="9"/>
        <v>34500</v>
      </c>
    </row>
    <row r="185" spans="1:11" s="5" customFormat="1" x14ac:dyDescent="0.25">
      <c r="A185" s="82">
        <v>37</v>
      </c>
      <c r="B185" s="24" t="s">
        <v>346</v>
      </c>
      <c r="C185" s="169" t="s">
        <v>486</v>
      </c>
      <c r="D185" s="24" t="s">
        <v>88</v>
      </c>
      <c r="E185" s="24" t="s">
        <v>88</v>
      </c>
      <c r="F185" s="25" t="s">
        <v>75</v>
      </c>
      <c r="G185" s="31">
        <v>46000</v>
      </c>
      <c r="H185" s="25">
        <v>0</v>
      </c>
      <c r="I185" s="26">
        <v>0</v>
      </c>
      <c r="J185" s="26">
        <v>0</v>
      </c>
      <c r="K185" s="83">
        <f t="shared" si="9"/>
        <v>46000</v>
      </c>
    </row>
    <row r="186" spans="1:11" s="5" customFormat="1" x14ac:dyDescent="0.25">
      <c r="A186" s="86">
        <v>38</v>
      </c>
      <c r="B186" s="24" t="s">
        <v>164</v>
      </c>
      <c r="C186" s="169" t="s">
        <v>486</v>
      </c>
      <c r="D186" s="24" t="s">
        <v>88</v>
      </c>
      <c r="E186" s="24" t="s">
        <v>88</v>
      </c>
      <c r="F186" s="25" t="s">
        <v>75</v>
      </c>
      <c r="G186" s="31"/>
      <c r="H186" s="25">
        <v>133400</v>
      </c>
      <c r="I186" s="26">
        <v>0</v>
      </c>
      <c r="J186" s="26">
        <v>0</v>
      </c>
      <c r="K186" s="83">
        <f t="shared" si="9"/>
        <v>133400</v>
      </c>
    </row>
    <row r="187" spans="1:11" s="5" customFormat="1" x14ac:dyDescent="0.25">
      <c r="A187" s="82">
        <v>39</v>
      </c>
      <c r="B187" s="24" t="s">
        <v>282</v>
      </c>
      <c r="C187" s="169" t="s">
        <v>486</v>
      </c>
      <c r="D187" s="24" t="s">
        <v>88</v>
      </c>
      <c r="E187" s="24" t="s">
        <v>88</v>
      </c>
      <c r="F187" s="25" t="s">
        <v>75</v>
      </c>
      <c r="G187" s="31"/>
      <c r="H187" s="25">
        <v>321600</v>
      </c>
      <c r="I187" s="26">
        <v>156400</v>
      </c>
      <c r="J187" s="26">
        <v>89700</v>
      </c>
      <c r="K187" s="83">
        <f t="shared" si="9"/>
        <v>567700</v>
      </c>
    </row>
    <row r="188" spans="1:11" s="5" customFormat="1" x14ac:dyDescent="0.25">
      <c r="A188" s="86">
        <v>40</v>
      </c>
      <c r="B188" s="24" t="s">
        <v>347</v>
      </c>
      <c r="C188" s="169" t="s">
        <v>486</v>
      </c>
      <c r="D188" s="24" t="s">
        <v>88</v>
      </c>
      <c r="E188" s="24" t="s">
        <v>88</v>
      </c>
      <c r="F188" s="25" t="s">
        <v>75</v>
      </c>
      <c r="G188" s="31"/>
      <c r="H188" s="25">
        <v>133400</v>
      </c>
      <c r="I188" s="26">
        <v>0</v>
      </c>
      <c r="J188" s="26">
        <v>0</v>
      </c>
      <c r="K188" s="83">
        <f t="shared" si="9"/>
        <v>133400</v>
      </c>
    </row>
    <row r="189" spans="1:11" s="5" customFormat="1" x14ac:dyDescent="0.25">
      <c r="A189" s="82">
        <v>41</v>
      </c>
      <c r="B189" s="24" t="s">
        <v>348</v>
      </c>
      <c r="C189" s="169" t="s">
        <v>486</v>
      </c>
      <c r="D189" s="24" t="s">
        <v>88</v>
      </c>
      <c r="E189" s="24" t="s">
        <v>88</v>
      </c>
      <c r="F189" s="25" t="s">
        <v>75</v>
      </c>
      <c r="G189" s="31"/>
      <c r="H189" s="25">
        <v>73600</v>
      </c>
      <c r="I189" s="26">
        <v>78200</v>
      </c>
      <c r="J189" s="26">
        <v>0</v>
      </c>
      <c r="K189" s="83">
        <f t="shared" si="9"/>
        <v>151800</v>
      </c>
    </row>
    <row r="190" spans="1:11" s="5" customFormat="1" x14ac:dyDescent="0.25">
      <c r="A190" s="86">
        <v>42</v>
      </c>
      <c r="B190" s="24" t="s">
        <v>349</v>
      </c>
      <c r="C190" s="169" t="s">
        <v>486</v>
      </c>
      <c r="D190" s="24" t="s">
        <v>88</v>
      </c>
      <c r="E190" s="24" t="s">
        <v>88</v>
      </c>
      <c r="F190" s="25" t="s">
        <v>75</v>
      </c>
      <c r="G190" s="31"/>
      <c r="H190" s="25">
        <v>78200</v>
      </c>
      <c r="I190" s="26">
        <v>0</v>
      </c>
      <c r="J190" s="26">
        <v>105800</v>
      </c>
      <c r="K190" s="83">
        <f t="shared" si="9"/>
        <v>184000</v>
      </c>
    </row>
    <row r="191" spans="1:11" s="5" customFormat="1" x14ac:dyDescent="0.25">
      <c r="A191" s="82">
        <v>43</v>
      </c>
      <c r="B191" s="24" t="s">
        <v>350</v>
      </c>
      <c r="C191" s="169" t="s">
        <v>486</v>
      </c>
      <c r="D191" s="24" t="s">
        <v>88</v>
      </c>
      <c r="E191" s="24" t="s">
        <v>88</v>
      </c>
      <c r="F191" s="25" t="s">
        <v>75</v>
      </c>
      <c r="G191" s="31"/>
      <c r="H191" s="25">
        <v>77700</v>
      </c>
      <c r="I191" s="26">
        <v>0</v>
      </c>
      <c r="J191" s="26">
        <v>182500</v>
      </c>
      <c r="K191" s="83">
        <f t="shared" si="9"/>
        <v>260200</v>
      </c>
    </row>
    <row r="192" spans="1:11" s="5" customFormat="1" x14ac:dyDescent="0.25">
      <c r="A192" s="86">
        <v>44</v>
      </c>
      <c r="B192" s="24" t="s">
        <v>351</v>
      </c>
      <c r="C192" s="169" t="s">
        <v>486</v>
      </c>
      <c r="D192" s="24" t="s">
        <v>88</v>
      </c>
      <c r="E192" s="24" t="s">
        <v>88</v>
      </c>
      <c r="F192" s="25" t="s">
        <v>75</v>
      </c>
      <c r="G192" s="31"/>
      <c r="H192" s="25">
        <v>55200</v>
      </c>
      <c r="I192" s="26">
        <v>69000</v>
      </c>
      <c r="J192" s="26">
        <v>0</v>
      </c>
      <c r="K192" s="83">
        <f t="shared" si="9"/>
        <v>124200</v>
      </c>
    </row>
    <row r="193" spans="1:11" s="5" customFormat="1" x14ac:dyDescent="0.25">
      <c r="A193" s="82">
        <v>45</v>
      </c>
      <c r="B193" s="24" t="s">
        <v>128</v>
      </c>
      <c r="C193" s="169" t="s">
        <v>486</v>
      </c>
      <c r="D193" s="24" t="s">
        <v>88</v>
      </c>
      <c r="E193" s="24" t="s">
        <v>88</v>
      </c>
      <c r="F193" s="25" t="s">
        <v>75</v>
      </c>
      <c r="G193" s="31"/>
      <c r="H193" s="25">
        <v>23000</v>
      </c>
      <c r="I193" s="26">
        <v>151800</v>
      </c>
      <c r="J193" s="26">
        <v>256100</v>
      </c>
      <c r="K193" s="83">
        <f t="shared" si="9"/>
        <v>430900</v>
      </c>
    </row>
    <row r="194" spans="1:11" s="5" customFormat="1" x14ac:dyDescent="0.25">
      <c r="A194" s="86">
        <v>46</v>
      </c>
      <c r="B194" s="24" t="s">
        <v>352</v>
      </c>
      <c r="C194" s="169" t="s">
        <v>486</v>
      </c>
      <c r="D194" s="24" t="s">
        <v>88</v>
      </c>
      <c r="E194" s="24" t="s">
        <v>88</v>
      </c>
      <c r="F194" s="25" t="s">
        <v>75</v>
      </c>
      <c r="G194" s="31"/>
      <c r="H194" s="25">
        <v>78200</v>
      </c>
      <c r="I194" s="26">
        <v>0</v>
      </c>
      <c r="J194" s="26">
        <v>0</v>
      </c>
      <c r="K194" s="83">
        <f t="shared" si="9"/>
        <v>78200</v>
      </c>
    </row>
    <row r="195" spans="1:11" s="5" customFormat="1" x14ac:dyDescent="0.25">
      <c r="A195" s="82">
        <v>47</v>
      </c>
      <c r="B195" s="24" t="s">
        <v>353</v>
      </c>
      <c r="C195" s="169" t="s">
        <v>486</v>
      </c>
      <c r="D195" s="24" t="s">
        <v>88</v>
      </c>
      <c r="E195" s="24" t="s">
        <v>88</v>
      </c>
      <c r="F195" s="25" t="s">
        <v>75</v>
      </c>
      <c r="G195" s="31"/>
      <c r="H195" s="25">
        <v>660100</v>
      </c>
      <c r="I195" s="26">
        <v>880000</v>
      </c>
      <c r="J195" s="26">
        <v>0</v>
      </c>
      <c r="K195" s="83">
        <f t="shared" si="9"/>
        <v>1540100</v>
      </c>
    </row>
    <row r="196" spans="1:11" s="5" customFormat="1" x14ac:dyDescent="0.25">
      <c r="A196" s="86">
        <v>48</v>
      </c>
      <c r="B196" s="24" t="s">
        <v>354</v>
      </c>
      <c r="C196" s="169" t="s">
        <v>486</v>
      </c>
      <c r="D196" s="24" t="s">
        <v>88</v>
      </c>
      <c r="E196" s="24" t="s">
        <v>88</v>
      </c>
      <c r="F196" s="25" t="s">
        <v>75</v>
      </c>
      <c r="G196" s="31"/>
      <c r="H196" s="25">
        <v>165600</v>
      </c>
      <c r="I196" s="26">
        <v>46000</v>
      </c>
      <c r="J196" s="26">
        <v>105800</v>
      </c>
      <c r="K196" s="83">
        <f t="shared" si="9"/>
        <v>317400</v>
      </c>
    </row>
    <row r="197" spans="1:11" s="5" customFormat="1" x14ac:dyDescent="0.25">
      <c r="A197" s="82">
        <v>49</v>
      </c>
      <c r="B197" s="24" t="s">
        <v>355</v>
      </c>
      <c r="C197" s="169" t="s">
        <v>486</v>
      </c>
      <c r="D197" s="24" t="s">
        <v>88</v>
      </c>
      <c r="E197" s="24" t="s">
        <v>88</v>
      </c>
      <c r="F197" s="25" t="s">
        <v>75</v>
      </c>
      <c r="G197" s="31"/>
      <c r="H197" s="25">
        <v>34500</v>
      </c>
      <c r="I197" s="26">
        <v>0</v>
      </c>
      <c r="J197" s="26">
        <v>0</v>
      </c>
      <c r="K197" s="83">
        <f t="shared" si="9"/>
        <v>34500</v>
      </c>
    </row>
    <row r="198" spans="1:11" s="5" customFormat="1" x14ac:dyDescent="0.25">
      <c r="A198" s="86">
        <v>50</v>
      </c>
      <c r="B198" s="24" t="s">
        <v>356</v>
      </c>
      <c r="C198" s="169" t="s">
        <v>486</v>
      </c>
      <c r="D198" s="24" t="s">
        <v>88</v>
      </c>
      <c r="E198" s="24" t="s">
        <v>88</v>
      </c>
      <c r="F198" s="25" t="s">
        <v>75</v>
      </c>
      <c r="G198" s="31"/>
      <c r="H198" s="25">
        <v>78200</v>
      </c>
      <c r="I198" s="26">
        <v>0</v>
      </c>
      <c r="J198" s="26">
        <v>0</v>
      </c>
      <c r="K198" s="83">
        <f t="shared" si="9"/>
        <v>78200</v>
      </c>
    </row>
    <row r="199" spans="1:11" s="5" customFormat="1" x14ac:dyDescent="0.25">
      <c r="A199" s="82">
        <v>51</v>
      </c>
      <c r="B199" s="24" t="s">
        <v>357</v>
      </c>
      <c r="C199" s="169" t="s">
        <v>486</v>
      </c>
      <c r="D199" s="24" t="s">
        <v>88</v>
      </c>
      <c r="E199" s="24" t="s">
        <v>88</v>
      </c>
      <c r="F199" s="25" t="s">
        <v>75</v>
      </c>
      <c r="G199" s="31"/>
      <c r="H199" s="25">
        <v>46000</v>
      </c>
      <c r="I199" s="26">
        <v>0</v>
      </c>
      <c r="J199" s="26">
        <v>0</v>
      </c>
      <c r="K199" s="83">
        <f t="shared" si="9"/>
        <v>46000</v>
      </c>
    </row>
    <row r="200" spans="1:11" s="5" customFormat="1" x14ac:dyDescent="0.25">
      <c r="A200" s="86">
        <v>52</v>
      </c>
      <c r="B200" s="24" t="s">
        <v>281</v>
      </c>
      <c r="C200" s="169" t="s">
        <v>486</v>
      </c>
      <c r="D200" s="24" t="s">
        <v>88</v>
      </c>
      <c r="E200" s="24" t="s">
        <v>88</v>
      </c>
      <c r="F200" s="25" t="s">
        <v>75</v>
      </c>
      <c r="G200" s="31"/>
      <c r="H200" s="25">
        <v>23000</v>
      </c>
      <c r="I200" s="26">
        <v>0</v>
      </c>
      <c r="J200" s="26">
        <v>34500</v>
      </c>
      <c r="K200" s="83">
        <f t="shared" si="9"/>
        <v>57500</v>
      </c>
    </row>
    <row r="201" spans="1:11" s="5" customFormat="1" x14ac:dyDescent="0.25">
      <c r="A201" s="82">
        <v>53</v>
      </c>
      <c r="B201" s="24" t="s">
        <v>358</v>
      </c>
      <c r="C201" s="169" t="s">
        <v>486</v>
      </c>
      <c r="D201" s="24" t="s">
        <v>88</v>
      </c>
      <c r="E201" s="24" t="s">
        <v>88</v>
      </c>
      <c r="F201" s="25" t="s">
        <v>75</v>
      </c>
      <c r="G201" s="31"/>
      <c r="H201" s="25">
        <v>34500</v>
      </c>
      <c r="I201" s="26">
        <v>0</v>
      </c>
      <c r="J201" s="26">
        <v>0</v>
      </c>
      <c r="K201" s="83">
        <f t="shared" si="9"/>
        <v>34500</v>
      </c>
    </row>
    <row r="202" spans="1:11" s="5" customFormat="1" x14ac:dyDescent="0.25">
      <c r="A202" s="86">
        <v>54</v>
      </c>
      <c r="B202" s="24" t="s">
        <v>359</v>
      </c>
      <c r="C202" s="169" t="s">
        <v>486</v>
      </c>
      <c r="D202" s="24" t="s">
        <v>88</v>
      </c>
      <c r="E202" s="24" t="s">
        <v>88</v>
      </c>
      <c r="F202" s="25" t="s">
        <v>75</v>
      </c>
      <c r="G202" s="31"/>
      <c r="H202" s="25">
        <v>34500</v>
      </c>
      <c r="I202" s="26">
        <v>0</v>
      </c>
      <c r="J202" s="26">
        <v>0</v>
      </c>
      <c r="K202" s="83">
        <f t="shared" si="9"/>
        <v>34500</v>
      </c>
    </row>
    <row r="203" spans="1:11" s="5" customFormat="1" x14ac:dyDescent="0.25">
      <c r="A203" s="82">
        <v>55</v>
      </c>
      <c r="B203" s="24" t="s">
        <v>360</v>
      </c>
      <c r="C203" s="169" t="s">
        <v>486</v>
      </c>
      <c r="D203" s="24" t="s">
        <v>88</v>
      </c>
      <c r="E203" s="24" t="s">
        <v>88</v>
      </c>
      <c r="F203" s="25" t="s">
        <v>75</v>
      </c>
      <c r="G203" s="31"/>
      <c r="H203" s="25">
        <v>23000</v>
      </c>
      <c r="I203" s="26">
        <v>46000</v>
      </c>
      <c r="J203" s="26">
        <v>0</v>
      </c>
      <c r="K203" s="83">
        <f t="shared" si="9"/>
        <v>69000</v>
      </c>
    </row>
    <row r="204" spans="1:11" s="5" customFormat="1" x14ac:dyDescent="0.25">
      <c r="A204" s="86">
        <v>56</v>
      </c>
      <c r="B204" s="24" t="s">
        <v>361</v>
      </c>
      <c r="C204" s="169" t="s">
        <v>486</v>
      </c>
      <c r="D204" s="24" t="s">
        <v>88</v>
      </c>
      <c r="E204" s="24" t="s">
        <v>88</v>
      </c>
      <c r="F204" s="25" t="s">
        <v>75</v>
      </c>
      <c r="G204" s="31"/>
      <c r="H204" s="25">
        <v>34500</v>
      </c>
      <c r="I204" s="26">
        <v>0</v>
      </c>
      <c r="J204" s="26">
        <v>0</v>
      </c>
      <c r="K204" s="83">
        <f t="shared" si="9"/>
        <v>34500</v>
      </c>
    </row>
    <row r="205" spans="1:11" s="5" customFormat="1" x14ac:dyDescent="0.25">
      <c r="A205" s="82">
        <v>57</v>
      </c>
      <c r="B205" s="24" t="s">
        <v>362</v>
      </c>
      <c r="C205" s="169" t="s">
        <v>486</v>
      </c>
      <c r="D205" s="24" t="s">
        <v>88</v>
      </c>
      <c r="E205" s="24" t="s">
        <v>88</v>
      </c>
      <c r="F205" s="25" t="s">
        <v>75</v>
      </c>
      <c r="G205" s="31"/>
      <c r="H205" s="25">
        <v>22500</v>
      </c>
      <c r="I205" s="26">
        <v>0</v>
      </c>
      <c r="J205" s="26">
        <v>0</v>
      </c>
      <c r="K205" s="83">
        <f t="shared" si="9"/>
        <v>22500</v>
      </c>
    </row>
    <row r="206" spans="1:11" s="123" customFormat="1" x14ac:dyDescent="0.25">
      <c r="A206" s="86">
        <v>58</v>
      </c>
      <c r="B206" s="24" t="s">
        <v>301</v>
      </c>
      <c r="C206" s="169" t="s">
        <v>486</v>
      </c>
      <c r="D206" s="24" t="s">
        <v>88</v>
      </c>
      <c r="E206" s="24" t="s">
        <v>88</v>
      </c>
      <c r="F206" s="25" t="s">
        <v>75</v>
      </c>
      <c r="G206" s="31"/>
      <c r="H206" s="25">
        <v>22500</v>
      </c>
      <c r="I206" s="26">
        <v>0</v>
      </c>
      <c r="J206" s="26">
        <v>0</v>
      </c>
      <c r="K206" s="83">
        <f t="shared" si="9"/>
        <v>22500</v>
      </c>
    </row>
    <row r="207" spans="1:11" s="123" customFormat="1" x14ac:dyDescent="0.25">
      <c r="A207" s="82">
        <v>59</v>
      </c>
      <c r="B207" s="24" t="s">
        <v>363</v>
      </c>
      <c r="C207" s="169" t="s">
        <v>486</v>
      </c>
      <c r="D207" s="24" t="s">
        <v>88</v>
      </c>
      <c r="E207" s="24" t="s">
        <v>88</v>
      </c>
      <c r="F207" s="25" t="s">
        <v>75</v>
      </c>
      <c r="G207" s="31"/>
      <c r="H207" s="25">
        <v>35000</v>
      </c>
      <c r="I207" s="26">
        <v>0</v>
      </c>
      <c r="J207" s="26">
        <v>0</v>
      </c>
      <c r="K207" s="83">
        <f t="shared" si="9"/>
        <v>35000</v>
      </c>
    </row>
    <row r="208" spans="1:11" s="123" customFormat="1" x14ac:dyDescent="0.25">
      <c r="A208" s="86">
        <v>60</v>
      </c>
      <c r="B208" s="24" t="s">
        <v>364</v>
      </c>
      <c r="C208" s="169" t="s">
        <v>486</v>
      </c>
      <c r="D208" s="24" t="s">
        <v>88</v>
      </c>
      <c r="E208" s="24" t="s">
        <v>88</v>
      </c>
      <c r="F208" s="25" t="s">
        <v>75</v>
      </c>
      <c r="G208" s="31"/>
      <c r="H208" s="25">
        <v>55000</v>
      </c>
      <c r="I208" s="26">
        <v>101200</v>
      </c>
      <c r="J208" s="26">
        <v>0</v>
      </c>
      <c r="K208" s="83">
        <f t="shared" si="9"/>
        <v>156200</v>
      </c>
    </row>
    <row r="209" spans="1:11" s="123" customFormat="1" x14ac:dyDescent="0.25">
      <c r="A209" s="82">
        <v>61</v>
      </c>
      <c r="B209" s="24" t="s">
        <v>365</v>
      </c>
      <c r="C209" s="169" t="s">
        <v>486</v>
      </c>
      <c r="D209" s="24" t="s">
        <v>88</v>
      </c>
      <c r="E209" s="24" t="s">
        <v>88</v>
      </c>
      <c r="F209" s="25" t="s">
        <v>75</v>
      </c>
      <c r="G209" s="31"/>
      <c r="H209" s="25">
        <v>77500</v>
      </c>
      <c r="I209" s="26">
        <v>0</v>
      </c>
      <c r="J209" s="26">
        <v>0</v>
      </c>
      <c r="K209" s="83">
        <f t="shared" si="9"/>
        <v>77500</v>
      </c>
    </row>
    <row r="210" spans="1:11" s="123" customFormat="1" x14ac:dyDescent="0.25">
      <c r="A210" s="86">
        <v>62</v>
      </c>
      <c r="B210" s="24" t="s">
        <v>366</v>
      </c>
      <c r="C210" s="169" t="s">
        <v>486</v>
      </c>
      <c r="D210" s="24" t="s">
        <v>88</v>
      </c>
      <c r="E210" s="24" t="s">
        <v>88</v>
      </c>
      <c r="F210" s="25" t="s">
        <v>75</v>
      </c>
      <c r="G210" s="31"/>
      <c r="H210" s="25">
        <v>77500</v>
      </c>
      <c r="I210" s="26">
        <v>0</v>
      </c>
      <c r="J210" s="26">
        <v>78200</v>
      </c>
      <c r="K210" s="83">
        <f t="shared" si="9"/>
        <v>155700</v>
      </c>
    </row>
    <row r="211" spans="1:11" s="123" customFormat="1" x14ac:dyDescent="0.25">
      <c r="A211" s="82">
        <v>63</v>
      </c>
      <c r="B211" s="24" t="s">
        <v>367</v>
      </c>
      <c r="C211" s="169" t="s">
        <v>486</v>
      </c>
      <c r="D211" s="24" t="s">
        <v>88</v>
      </c>
      <c r="E211" s="24" t="s">
        <v>88</v>
      </c>
      <c r="F211" s="25" t="s">
        <v>75</v>
      </c>
      <c r="G211" s="31"/>
      <c r="H211" s="25">
        <v>77500</v>
      </c>
      <c r="I211" s="26">
        <v>0</v>
      </c>
      <c r="J211" s="26">
        <v>0</v>
      </c>
      <c r="K211" s="83">
        <f t="shared" si="9"/>
        <v>77500</v>
      </c>
    </row>
    <row r="212" spans="1:11" s="5" customFormat="1" x14ac:dyDescent="0.25">
      <c r="A212" s="86">
        <v>64</v>
      </c>
      <c r="B212" s="24" t="s">
        <v>368</v>
      </c>
      <c r="C212" s="169" t="s">
        <v>486</v>
      </c>
      <c r="D212" s="24" t="s">
        <v>88</v>
      </c>
      <c r="E212" s="24" t="s">
        <v>88</v>
      </c>
      <c r="F212" s="25" t="s">
        <v>75</v>
      </c>
      <c r="G212" s="31"/>
      <c r="H212" s="25">
        <v>90000</v>
      </c>
      <c r="I212" s="26">
        <v>0</v>
      </c>
      <c r="J212" s="26">
        <v>0</v>
      </c>
      <c r="K212" s="83">
        <f t="shared" si="9"/>
        <v>90000</v>
      </c>
    </row>
    <row r="213" spans="1:11" s="5" customFormat="1" x14ac:dyDescent="0.25">
      <c r="A213" s="82">
        <v>65</v>
      </c>
      <c r="B213" s="24" t="s">
        <v>369</v>
      </c>
      <c r="C213" s="169" t="s">
        <v>486</v>
      </c>
      <c r="D213" s="24" t="s">
        <v>88</v>
      </c>
      <c r="E213" s="24" t="s">
        <v>88</v>
      </c>
      <c r="F213" s="25" t="s">
        <v>75</v>
      </c>
      <c r="G213" s="31"/>
      <c r="H213" s="25">
        <v>100000</v>
      </c>
      <c r="I213" s="26">
        <v>0</v>
      </c>
      <c r="J213" s="26">
        <v>0</v>
      </c>
      <c r="K213" s="83">
        <f t="shared" si="9"/>
        <v>100000</v>
      </c>
    </row>
    <row r="214" spans="1:11" s="123" customFormat="1" x14ac:dyDescent="0.25">
      <c r="A214" s="86">
        <v>66</v>
      </c>
      <c r="B214" s="24" t="s">
        <v>370</v>
      </c>
      <c r="C214" s="169" t="s">
        <v>486</v>
      </c>
      <c r="D214" s="24" t="s">
        <v>88</v>
      </c>
      <c r="E214" s="24" t="s">
        <v>88</v>
      </c>
      <c r="F214" s="25" t="s">
        <v>75</v>
      </c>
      <c r="G214" s="31"/>
      <c r="H214" s="25">
        <v>110000</v>
      </c>
      <c r="I214" s="26">
        <v>165600</v>
      </c>
      <c r="J214" s="26">
        <v>0</v>
      </c>
      <c r="K214" s="83">
        <f t="shared" si="9"/>
        <v>275600</v>
      </c>
    </row>
    <row r="215" spans="1:11" s="123" customFormat="1" x14ac:dyDescent="0.25">
      <c r="A215" s="82">
        <v>67</v>
      </c>
      <c r="B215" s="24" t="s">
        <v>371</v>
      </c>
      <c r="C215" s="169" t="s">
        <v>486</v>
      </c>
      <c r="D215" s="24" t="s">
        <v>88</v>
      </c>
      <c r="E215" s="24" t="s">
        <v>88</v>
      </c>
      <c r="F215" s="25" t="s">
        <v>75</v>
      </c>
      <c r="G215" s="31"/>
      <c r="H215" s="25">
        <v>127500</v>
      </c>
      <c r="I215" s="26">
        <v>0</v>
      </c>
      <c r="J215" s="26">
        <v>183200</v>
      </c>
      <c r="K215" s="83">
        <f t="shared" si="9"/>
        <v>310700</v>
      </c>
    </row>
    <row r="216" spans="1:11" s="123" customFormat="1" x14ac:dyDescent="0.25">
      <c r="A216" s="86">
        <v>68</v>
      </c>
      <c r="B216" s="24" t="s">
        <v>372</v>
      </c>
      <c r="C216" s="169" t="s">
        <v>486</v>
      </c>
      <c r="D216" s="24" t="s">
        <v>88</v>
      </c>
      <c r="E216" s="24" t="s">
        <v>88</v>
      </c>
      <c r="F216" s="25" t="s">
        <v>75</v>
      </c>
      <c r="G216" s="31"/>
      <c r="H216" s="25">
        <v>330000</v>
      </c>
      <c r="I216" s="26">
        <v>126500</v>
      </c>
      <c r="J216" s="26">
        <v>165000</v>
      </c>
      <c r="K216" s="83">
        <f t="shared" si="9"/>
        <v>621500</v>
      </c>
    </row>
    <row r="217" spans="1:11" s="123" customFormat="1" x14ac:dyDescent="0.25">
      <c r="A217" s="82">
        <v>69</v>
      </c>
      <c r="B217" s="143" t="s">
        <v>535</v>
      </c>
      <c r="C217" s="178" t="s">
        <v>486</v>
      </c>
      <c r="D217" s="143" t="s">
        <v>88</v>
      </c>
      <c r="E217" s="143" t="s">
        <v>88</v>
      </c>
      <c r="F217" s="25" t="s">
        <v>75</v>
      </c>
      <c r="G217" s="31"/>
      <c r="H217" s="25"/>
      <c r="I217" s="26">
        <v>55200</v>
      </c>
      <c r="J217" s="26">
        <v>0</v>
      </c>
      <c r="K217" s="83">
        <f t="shared" si="9"/>
        <v>55200</v>
      </c>
    </row>
    <row r="218" spans="1:11" s="123" customFormat="1" x14ac:dyDescent="0.25">
      <c r="A218" s="86">
        <v>70</v>
      </c>
      <c r="B218" s="143" t="s">
        <v>283</v>
      </c>
      <c r="C218" s="178" t="s">
        <v>486</v>
      </c>
      <c r="D218" s="143" t="s">
        <v>88</v>
      </c>
      <c r="E218" s="143" t="s">
        <v>88</v>
      </c>
      <c r="F218" s="25" t="s">
        <v>75</v>
      </c>
      <c r="G218" s="31"/>
      <c r="H218" s="25"/>
      <c r="I218" s="26">
        <v>46000</v>
      </c>
      <c r="J218" s="26">
        <v>0</v>
      </c>
      <c r="K218" s="83">
        <f t="shared" si="9"/>
        <v>46000</v>
      </c>
    </row>
    <row r="219" spans="1:11" s="123" customFormat="1" x14ac:dyDescent="0.25">
      <c r="A219" s="82">
        <v>71</v>
      </c>
      <c r="B219" s="143" t="s">
        <v>536</v>
      </c>
      <c r="C219" s="178" t="s">
        <v>486</v>
      </c>
      <c r="D219" s="143" t="s">
        <v>88</v>
      </c>
      <c r="E219" s="143" t="s">
        <v>88</v>
      </c>
      <c r="F219" s="25" t="s">
        <v>75</v>
      </c>
      <c r="G219" s="31"/>
      <c r="H219" s="25"/>
      <c r="I219" s="26">
        <v>46000</v>
      </c>
      <c r="J219" s="26">
        <v>34500</v>
      </c>
      <c r="K219" s="83">
        <f t="shared" ref="K219:K277" si="10">SUM(G219:J219)</f>
        <v>80500</v>
      </c>
    </row>
    <row r="220" spans="1:11" s="123" customFormat="1" x14ac:dyDescent="0.25">
      <c r="A220" s="86">
        <v>72</v>
      </c>
      <c r="B220" s="143" t="s">
        <v>537</v>
      </c>
      <c r="C220" s="178" t="s">
        <v>486</v>
      </c>
      <c r="D220" s="143" t="s">
        <v>88</v>
      </c>
      <c r="E220" s="143" t="s">
        <v>88</v>
      </c>
      <c r="F220" s="25" t="s">
        <v>75</v>
      </c>
      <c r="G220" s="31"/>
      <c r="H220" s="25"/>
      <c r="I220" s="26">
        <v>73600</v>
      </c>
      <c r="J220" s="26">
        <v>0</v>
      </c>
      <c r="K220" s="83">
        <f t="shared" si="10"/>
        <v>73600</v>
      </c>
    </row>
    <row r="221" spans="1:11" s="123" customFormat="1" x14ac:dyDescent="0.25">
      <c r="A221" s="82">
        <v>73</v>
      </c>
      <c r="B221" s="143" t="s">
        <v>500</v>
      </c>
      <c r="C221" s="178" t="s">
        <v>486</v>
      </c>
      <c r="D221" s="143" t="s">
        <v>88</v>
      </c>
      <c r="E221" s="143" t="s">
        <v>88</v>
      </c>
      <c r="F221" s="25" t="s">
        <v>75</v>
      </c>
      <c r="G221" s="31"/>
      <c r="H221" s="25"/>
      <c r="I221" s="26">
        <v>119600</v>
      </c>
      <c r="J221" s="26">
        <v>0</v>
      </c>
      <c r="K221" s="83">
        <f t="shared" si="10"/>
        <v>119600</v>
      </c>
    </row>
    <row r="222" spans="1:11" s="123" customFormat="1" x14ac:dyDescent="0.25">
      <c r="A222" s="86">
        <v>74</v>
      </c>
      <c r="B222" s="143" t="s">
        <v>244</v>
      </c>
      <c r="C222" s="178" t="s">
        <v>486</v>
      </c>
      <c r="D222" s="143" t="s">
        <v>88</v>
      </c>
      <c r="E222" s="143" t="s">
        <v>88</v>
      </c>
      <c r="F222" s="25" t="s">
        <v>75</v>
      </c>
      <c r="G222" s="31"/>
      <c r="H222" s="25"/>
      <c r="I222" s="26">
        <v>89700</v>
      </c>
      <c r="J222" s="26">
        <v>0</v>
      </c>
      <c r="K222" s="83">
        <f t="shared" si="10"/>
        <v>89700</v>
      </c>
    </row>
    <row r="223" spans="1:11" s="123" customFormat="1" x14ac:dyDescent="0.25">
      <c r="A223" s="82">
        <v>75</v>
      </c>
      <c r="B223" s="143" t="s">
        <v>241</v>
      </c>
      <c r="C223" s="178" t="s">
        <v>486</v>
      </c>
      <c r="D223" s="143" t="s">
        <v>88</v>
      </c>
      <c r="E223" s="143" t="s">
        <v>88</v>
      </c>
      <c r="F223" s="25" t="s">
        <v>75</v>
      </c>
      <c r="G223" s="31"/>
      <c r="H223" s="25"/>
      <c r="I223" s="26">
        <v>92000</v>
      </c>
      <c r="J223" s="26">
        <v>0</v>
      </c>
      <c r="K223" s="83">
        <f t="shared" si="10"/>
        <v>92000</v>
      </c>
    </row>
    <row r="224" spans="1:11" s="123" customFormat="1" x14ac:dyDescent="0.25">
      <c r="A224" s="86">
        <v>76</v>
      </c>
      <c r="B224" s="143" t="s">
        <v>538</v>
      </c>
      <c r="C224" s="178" t="s">
        <v>486</v>
      </c>
      <c r="D224" s="143" t="s">
        <v>88</v>
      </c>
      <c r="E224" s="143" t="s">
        <v>88</v>
      </c>
      <c r="F224" s="25" t="s">
        <v>75</v>
      </c>
      <c r="G224" s="31"/>
      <c r="H224" s="25"/>
      <c r="I224" s="26">
        <v>73600</v>
      </c>
      <c r="J224" s="26">
        <v>0</v>
      </c>
      <c r="K224" s="83">
        <f t="shared" si="10"/>
        <v>73600</v>
      </c>
    </row>
    <row r="225" spans="1:11" s="123" customFormat="1" x14ac:dyDescent="0.25">
      <c r="A225" s="82">
        <v>77</v>
      </c>
      <c r="B225" s="143" t="s">
        <v>539</v>
      </c>
      <c r="C225" s="178" t="s">
        <v>486</v>
      </c>
      <c r="D225" s="143" t="s">
        <v>88</v>
      </c>
      <c r="E225" s="143" t="s">
        <v>88</v>
      </c>
      <c r="F225" s="25" t="s">
        <v>75</v>
      </c>
      <c r="G225" s="31"/>
      <c r="H225" s="25"/>
      <c r="I225" s="26">
        <v>46000</v>
      </c>
      <c r="J225" s="26">
        <v>0</v>
      </c>
      <c r="K225" s="83">
        <f t="shared" si="10"/>
        <v>46000</v>
      </c>
    </row>
    <row r="226" spans="1:11" s="123" customFormat="1" x14ac:dyDescent="0.25">
      <c r="A226" s="86">
        <v>78</v>
      </c>
      <c r="B226" s="143" t="s">
        <v>540</v>
      </c>
      <c r="C226" s="178" t="s">
        <v>486</v>
      </c>
      <c r="D226" s="143" t="s">
        <v>88</v>
      </c>
      <c r="E226" s="143" t="s">
        <v>88</v>
      </c>
      <c r="F226" s="25" t="s">
        <v>75</v>
      </c>
      <c r="G226" s="31"/>
      <c r="H226" s="25"/>
      <c r="I226" s="26">
        <v>82800</v>
      </c>
      <c r="J226" s="26">
        <v>34500</v>
      </c>
      <c r="K226" s="83">
        <f t="shared" si="10"/>
        <v>117300</v>
      </c>
    </row>
    <row r="227" spans="1:11" s="123" customFormat="1" x14ac:dyDescent="0.25">
      <c r="A227" s="82">
        <v>79</v>
      </c>
      <c r="B227" s="143" t="s">
        <v>134</v>
      </c>
      <c r="C227" s="178" t="s">
        <v>486</v>
      </c>
      <c r="D227" s="143" t="s">
        <v>88</v>
      </c>
      <c r="E227" s="143" t="s">
        <v>88</v>
      </c>
      <c r="F227" s="25" t="s">
        <v>75</v>
      </c>
      <c r="G227" s="31"/>
      <c r="H227" s="25"/>
      <c r="I227" s="26">
        <v>46000</v>
      </c>
      <c r="J227" s="26">
        <v>0</v>
      </c>
      <c r="K227" s="83">
        <f t="shared" si="10"/>
        <v>46000</v>
      </c>
    </row>
    <row r="228" spans="1:11" s="123" customFormat="1" x14ac:dyDescent="0.25">
      <c r="A228" s="86">
        <v>80</v>
      </c>
      <c r="B228" s="143" t="s">
        <v>541</v>
      </c>
      <c r="C228" s="178" t="s">
        <v>486</v>
      </c>
      <c r="D228" s="143" t="s">
        <v>88</v>
      </c>
      <c r="E228" s="143" t="s">
        <v>88</v>
      </c>
      <c r="F228" s="25" t="s">
        <v>75</v>
      </c>
      <c r="G228" s="31"/>
      <c r="H228" s="25"/>
      <c r="I228" s="26">
        <v>73600</v>
      </c>
      <c r="J228" s="26">
        <v>0</v>
      </c>
      <c r="K228" s="83">
        <f t="shared" si="10"/>
        <v>73600</v>
      </c>
    </row>
    <row r="229" spans="1:11" s="123" customFormat="1" x14ac:dyDescent="0.25">
      <c r="A229" s="82">
        <v>81</v>
      </c>
      <c r="B229" s="143" t="s">
        <v>542</v>
      </c>
      <c r="C229" s="178" t="s">
        <v>486</v>
      </c>
      <c r="D229" s="143" t="s">
        <v>88</v>
      </c>
      <c r="E229" s="143" t="s">
        <v>88</v>
      </c>
      <c r="F229" s="25" t="s">
        <v>75</v>
      </c>
      <c r="G229" s="31"/>
      <c r="H229" s="25"/>
      <c r="I229" s="26">
        <v>133400</v>
      </c>
      <c r="J229" s="26">
        <v>0</v>
      </c>
      <c r="K229" s="83">
        <f t="shared" si="10"/>
        <v>133400</v>
      </c>
    </row>
    <row r="230" spans="1:11" s="123" customFormat="1" x14ac:dyDescent="0.25">
      <c r="A230" s="86">
        <v>82</v>
      </c>
      <c r="B230" s="143" t="s">
        <v>543</v>
      </c>
      <c r="C230" s="178" t="s">
        <v>486</v>
      </c>
      <c r="D230" s="143" t="s">
        <v>88</v>
      </c>
      <c r="E230" s="143" t="s">
        <v>88</v>
      </c>
      <c r="F230" s="25" t="s">
        <v>75</v>
      </c>
      <c r="G230" s="31"/>
      <c r="H230" s="25"/>
      <c r="I230" s="26">
        <v>105800</v>
      </c>
      <c r="J230" s="26">
        <v>0</v>
      </c>
      <c r="K230" s="83">
        <f t="shared" si="10"/>
        <v>105800</v>
      </c>
    </row>
    <row r="231" spans="1:11" s="123" customFormat="1" x14ac:dyDescent="0.25">
      <c r="A231" s="82">
        <v>83</v>
      </c>
      <c r="B231" s="143" t="s">
        <v>229</v>
      </c>
      <c r="C231" s="178" t="s">
        <v>486</v>
      </c>
      <c r="D231" s="143" t="s">
        <v>88</v>
      </c>
      <c r="E231" s="143" t="s">
        <v>88</v>
      </c>
      <c r="F231" s="25" t="s">
        <v>75</v>
      </c>
      <c r="G231" s="31"/>
      <c r="H231" s="25"/>
      <c r="I231" s="26">
        <v>46000</v>
      </c>
      <c r="J231" s="26">
        <v>105800</v>
      </c>
      <c r="K231" s="83">
        <f t="shared" si="10"/>
        <v>151800</v>
      </c>
    </row>
    <row r="232" spans="1:11" s="123" customFormat="1" x14ac:dyDescent="0.25">
      <c r="A232" s="86">
        <v>84</v>
      </c>
      <c r="B232" s="143" t="s">
        <v>544</v>
      </c>
      <c r="C232" s="178" t="s">
        <v>486</v>
      </c>
      <c r="D232" s="143" t="s">
        <v>88</v>
      </c>
      <c r="E232" s="143" t="s">
        <v>88</v>
      </c>
      <c r="F232" s="25" t="s">
        <v>75</v>
      </c>
      <c r="G232" s="31"/>
      <c r="H232" s="25"/>
      <c r="I232" s="26">
        <v>105800</v>
      </c>
      <c r="J232" s="26">
        <v>0</v>
      </c>
      <c r="K232" s="83">
        <f t="shared" si="10"/>
        <v>105800</v>
      </c>
    </row>
    <row r="233" spans="1:11" s="123" customFormat="1" x14ac:dyDescent="0.25">
      <c r="A233" s="82">
        <v>85</v>
      </c>
      <c r="B233" s="143" t="s">
        <v>545</v>
      </c>
      <c r="C233" s="178" t="s">
        <v>486</v>
      </c>
      <c r="D233" s="143" t="s">
        <v>88</v>
      </c>
      <c r="E233" s="143" t="s">
        <v>88</v>
      </c>
      <c r="F233" s="25" t="s">
        <v>75</v>
      </c>
      <c r="G233" s="31"/>
      <c r="H233" s="25"/>
      <c r="I233" s="26">
        <v>46000</v>
      </c>
      <c r="J233" s="26">
        <v>0</v>
      </c>
      <c r="K233" s="83">
        <f t="shared" si="10"/>
        <v>46000</v>
      </c>
    </row>
    <row r="234" spans="1:11" s="123" customFormat="1" x14ac:dyDescent="0.25">
      <c r="A234" s="86">
        <v>86</v>
      </c>
      <c r="B234" s="143" t="s">
        <v>503</v>
      </c>
      <c r="C234" s="178" t="s">
        <v>486</v>
      </c>
      <c r="D234" s="143" t="s">
        <v>88</v>
      </c>
      <c r="E234" s="143" t="s">
        <v>88</v>
      </c>
      <c r="F234" s="25" t="s">
        <v>75</v>
      </c>
      <c r="G234" s="31"/>
      <c r="H234" s="25"/>
      <c r="I234" s="26">
        <v>46000</v>
      </c>
      <c r="J234" s="26">
        <v>0</v>
      </c>
      <c r="K234" s="83">
        <f t="shared" si="10"/>
        <v>46000</v>
      </c>
    </row>
    <row r="235" spans="1:11" s="123" customFormat="1" x14ac:dyDescent="0.25">
      <c r="A235" s="82">
        <v>87</v>
      </c>
      <c r="B235" s="143" t="s">
        <v>119</v>
      </c>
      <c r="C235" s="178" t="s">
        <v>486</v>
      </c>
      <c r="D235" s="143" t="s">
        <v>88</v>
      </c>
      <c r="E235" s="143" t="s">
        <v>88</v>
      </c>
      <c r="F235" s="25" t="s">
        <v>75</v>
      </c>
      <c r="G235" s="31"/>
      <c r="H235" s="25"/>
      <c r="I235" s="26">
        <v>23000</v>
      </c>
      <c r="J235" s="26">
        <v>140800</v>
      </c>
      <c r="K235" s="83">
        <f t="shared" si="10"/>
        <v>163800</v>
      </c>
    </row>
    <row r="236" spans="1:11" s="123" customFormat="1" x14ac:dyDescent="0.25">
      <c r="A236" s="86">
        <v>88</v>
      </c>
      <c r="B236" s="143" t="s">
        <v>546</v>
      </c>
      <c r="C236" s="178" t="s">
        <v>486</v>
      </c>
      <c r="D236" s="143" t="s">
        <v>88</v>
      </c>
      <c r="E236" s="143" t="s">
        <v>88</v>
      </c>
      <c r="F236" s="25" t="s">
        <v>75</v>
      </c>
      <c r="G236" s="31"/>
      <c r="H236" s="25"/>
      <c r="I236" s="26">
        <v>34500</v>
      </c>
      <c r="J236" s="26">
        <v>0</v>
      </c>
      <c r="K236" s="83">
        <f t="shared" si="10"/>
        <v>34500</v>
      </c>
    </row>
    <row r="237" spans="1:11" s="123" customFormat="1" x14ac:dyDescent="0.25">
      <c r="A237" s="82">
        <v>89</v>
      </c>
      <c r="B237" s="143" t="s">
        <v>547</v>
      </c>
      <c r="C237" s="178" t="s">
        <v>486</v>
      </c>
      <c r="D237" s="143" t="s">
        <v>88</v>
      </c>
      <c r="E237" s="143" t="s">
        <v>88</v>
      </c>
      <c r="F237" s="25" t="s">
        <v>75</v>
      </c>
      <c r="G237" s="31"/>
      <c r="H237" s="25"/>
      <c r="I237" s="26">
        <v>89700</v>
      </c>
      <c r="J237" s="26">
        <v>0</v>
      </c>
      <c r="K237" s="83">
        <f t="shared" si="10"/>
        <v>89700</v>
      </c>
    </row>
    <row r="238" spans="1:11" s="123" customFormat="1" x14ac:dyDescent="0.25">
      <c r="A238" s="86">
        <v>90</v>
      </c>
      <c r="B238" s="143" t="s">
        <v>548</v>
      </c>
      <c r="C238" s="178" t="s">
        <v>486</v>
      </c>
      <c r="D238" s="143" t="s">
        <v>88</v>
      </c>
      <c r="E238" s="143" t="s">
        <v>88</v>
      </c>
      <c r="F238" s="25" t="s">
        <v>75</v>
      </c>
      <c r="G238" s="31"/>
      <c r="H238" s="25"/>
      <c r="I238" s="26">
        <v>46000</v>
      </c>
      <c r="J238" s="26">
        <v>0</v>
      </c>
      <c r="K238" s="83">
        <f t="shared" si="10"/>
        <v>46000</v>
      </c>
    </row>
    <row r="239" spans="1:11" s="123" customFormat="1" x14ac:dyDescent="0.25">
      <c r="A239" s="82">
        <v>91</v>
      </c>
      <c r="B239" s="143" t="s">
        <v>549</v>
      </c>
      <c r="C239" s="178" t="s">
        <v>486</v>
      </c>
      <c r="D239" s="143" t="s">
        <v>88</v>
      </c>
      <c r="E239" s="143" t="s">
        <v>88</v>
      </c>
      <c r="F239" s="25" t="s">
        <v>75</v>
      </c>
      <c r="G239" s="31"/>
      <c r="H239" s="25"/>
      <c r="I239" s="26">
        <v>34500</v>
      </c>
      <c r="J239" s="26">
        <v>0</v>
      </c>
      <c r="K239" s="83">
        <f t="shared" si="10"/>
        <v>34500</v>
      </c>
    </row>
    <row r="240" spans="1:11" s="123" customFormat="1" x14ac:dyDescent="0.25">
      <c r="A240" s="86">
        <v>92</v>
      </c>
      <c r="B240" s="143" t="s">
        <v>550</v>
      </c>
      <c r="C240" s="178" t="s">
        <v>486</v>
      </c>
      <c r="D240" s="143" t="s">
        <v>88</v>
      </c>
      <c r="E240" s="143" t="s">
        <v>88</v>
      </c>
      <c r="F240" s="25" t="s">
        <v>75</v>
      </c>
      <c r="G240" s="31"/>
      <c r="H240" s="25"/>
      <c r="I240" s="26">
        <v>147200</v>
      </c>
      <c r="J240" s="26">
        <v>0</v>
      </c>
      <c r="K240" s="83">
        <f t="shared" si="10"/>
        <v>147200</v>
      </c>
    </row>
    <row r="241" spans="1:11" s="123" customFormat="1" x14ac:dyDescent="0.25">
      <c r="A241" s="82">
        <v>93</v>
      </c>
      <c r="B241" s="143" t="s">
        <v>551</v>
      </c>
      <c r="C241" s="178" t="s">
        <v>486</v>
      </c>
      <c r="D241" s="143" t="s">
        <v>88</v>
      </c>
      <c r="E241" s="143" t="s">
        <v>88</v>
      </c>
      <c r="F241" s="25" t="s">
        <v>75</v>
      </c>
      <c r="G241" s="31"/>
      <c r="H241" s="25"/>
      <c r="I241" s="26">
        <v>23000</v>
      </c>
      <c r="J241" s="26">
        <v>0</v>
      </c>
      <c r="K241" s="83">
        <f t="shared" si="10"/>
        <v>23000</v>
      </c>
    </row>
    <row r="242" spans="1:11" s="123" customFormat="1" x14ac:dyDescent="0.25">
      <c r="A242" s="86">
        <v>94</v>
      </c>
      <c r="B242" s="143" t="s">
        <v>552</v>
      </c>
      <c r="C242" s="178" t="s">
        <v>486</v>
      </c>
      <c r="D242" s="143" t="s">
        <v>88</v>
      </c>
      <c r="E242" s="143" t="s">
        <v>88</v>
      </c>
      <c r="F242" s="25" t="s">
        <v>75</v>
      </c>
      <c r="G242" s="31"/>
      <c r="H242" s="25"/>
      <c r="I242" s="26">
        <v>23000</v>
      </c>
      <c r="J242" s="26">
        <v>0</v>
      </c>
      <c r="K242" s="83">
        <f t="shared" si="10"/>
        <v>23000</v>
      </c>
    </row>
    <row r="243" spans="1:11" s="123" customFormat="1" x14ac:dyDescent="0.25">
      <c r="A243" s="82">
        <v>95</v>
      </c>
      <c r="B243" s="143" t="s">
        <v>553</v>
      </c>
      <c r="C243" s="178" t="s">
        <v>486</v>
      </c>
      <c r="D243" s="143" t="s">
        <v>88</v>
      </c>
      <c r="E243" s="143" t="s">
        <v>88</v>
      </c>
      <c r="F243" s="25" t="s">
        <v>75</v>
      </c>
      <c r="G243" s="31"/>
      <c r="H243" s="25"/>
      <c r="I243" s="26">
        <v>34500</v>
      </c>
      <c r="J243" s="26">
        <v>0</v>
      </c>
      <c r="K243" s="83">
        <f t="shared" si="10"/>
        <v>34500</v>
      </c>
    </row>
    <row r="244" spans="1:11" s="123" customFormat="1" x14ac:dyDescent="0.25">
      <c r="A244" s="86">
        <v>96</v>
      </c>
      <c r="B244" s="143" t="s">
        <v>554</v>
      </c>
      <c r="C244" s="178" t="s">
        <v>486</v>
      </c>
      <c r="D244" s="143" t="s">
        <v>88</v>
      </c>
      <c r="E244" s="143" t="s">
        <v>88</v>
      </c>
      <c r="F244" s="25" t="s">
        <v>75</v>
      </c>
      <c r="G244" s="31"/>
      <c r="H244" s="25"/>
      <c r="I244" s="26">
        <v>110400</v>
      </c>
      <c r="J244" s="26">
        <v>0</v>
      </c>
      <c r="K244" s="83">
        <f t="shared" si="10"/>
        <v>110400</v>
      </c>
    </row>
    <row r="245" spans="1:11" s="123" customFormat="1" x14ac:dyDescent="0.25">
      <c r="A245" s="82">
        <v>97</v>
      </c>
      <c r="B245" s="143" t="s">
        <v>555</v>
      </c>
      <c r="C245" s="178" t="s">
        <v>486</v>
      </c>
      <c r="D245" s="143" t="s">
        <v>88</v>
      </c>
      <c r="E245" s="143" t="s">
        <v>88</v>
      </c>
      <c r="F245" s="25" t="s">
        <v>75</v>
      </c>
      <c r="G245" s="31"/>
      <c r="H245" s="25"/>
      <c r="I245" s="26">
        <v>34500</v>
      </c>
      <c r="J245" s="26">
        <v>0</v>
      </c>
      <c r="K245" s="83">
        <f t="shared" si="10"/>
        <v>34500</v>
      </c>
    </row>
    <row r="246" spans="1:11" s="123" customFormat="1" x14ac:dyDescent="0.25">
      <c r="A246" s="86">
        <v>98</v>
      </c>
      <c r="B246" s="143" t="s">
        <v>655</v>
      </c>
      <c r="C246" s="143"/>
      <c r="D246" s="143" t="s">
        <v>88</v>
      </c>
      <c r="E246" s="143" t="s">
        <v>88</v>
      </c>
      <c r="F246" s="25" t="s">
        <v>75</v>
      </c>
      <c r="G246" s="31"/>
      <c r="H246" s="25"/>
      <c r="I246" s="26"/>
      <c r="J246" s="26">
        <v>331200</v>
      </c>
      <c r="K246" s="83">
        <f t="shared" si="10"/>
        <v>331200</v>
      </c>
    </row>
    <row r="247" spans="1:11" s="123" customFormat="1" x14ac:dyDescent="0.25">
      <c r="A247" s="86">
        <v>99</v>
      </c>
      <c r="B247" s="143" t="s">
        <v>656</v>
      </c>
      <c r="C247" s="143"/>
      <c r="D247" s="143" t="s">
        <v>88</v>
      </c>
      <c r="E247" s="143" t="s">
        <v>88</v>
      </c>
      <c r="F247" s="25" t="s">
        <v>75</v>
      </c>
      <c r="G247" s="31"/>
      <c r="H247" s="25"/>
      <c r="I247" s="26"/>
      <c r="J247" s="26">
        <v>220800</v>
      </c>
      <c r="K247" s="83">
        <f t="shared" si="10"/>
        <v>220800</v>
      </c>
    </row>
    <row r="248" spans="1:11" s="123" customFormat="1" x14ac:dyDescent="0.25">
      <c r="A248" s="82">
        <v>100</v>
      </c>
      <c r="B248" s="143" t="s">
        <v>657</v>
      </c>
      <c r="C248" s="143"/>
      <c r="D248" s="143" t="s">
        <v>88</v>
      </c>
      <c r="E248" s="143" t="s">
        <v>88</v>
      </c>
      <c r="F248" s="25" t="s">
        <v>75</v>
      </c>
      <c r="G248" s="31"/>
      <c r="H248" s="25"/>
      <c r="I248" s="26"/>
      <c r="J248" s="26">
        <v>121900</v>
      </c>
      <c r="K248" s="83">
        <f t="shared" si="10"/>
        <v>121900</v>
      </c>
    </row>
    <row r="249" spans="1:11" s="123" customFormat="1" x14ac:dyDescent="0.25">
      <c r="A249" s="86">
        <v>101</v>
      </c>
      <c r="B249" s="143" t="s">
        <v>129</v>
      </c>
      <c r="C249" s="143"/>
      <c r="D249" s="143" t="s">
        <v>88</v>
      </c>
      <c r="E249" s="143" t="s">
        <v>88</v>
      </c>
      <c r="F249" s="25" t="s">
        <v>75</v>
      </c>
      <c r="G249" s="31"/>
      <c r="H249" s="25"/>
      <c r="I249" s="26"/>
      <c r="J249" s="26">
        <v>46000</v>
      </c>
      <c r="K249" s="83">
        <f t="shared" si="10"/>
        <v>46000</v>
      </c>
    </row>
    <row r="250" spans="1:11" s="123" customFormat="1" x14ac:dyDescent="0.25">
      <c r="A250" s="86">
        <v>102</v>
      </c>
      <c r="B250" s="143" t="s">
        <v>658</v>
      </c>
      <c r="C250" s="143"/>
      <c r="D250" s="143" t="s">
        <v>88</v>
      </c>
      <c r="E250" s="143" t="s">
        <v>88</v>
      </c>
      <c r="F250" s="25" t="s">
        <v>75</v>
      </c>
      <c r="G250" s="31"/>
      <c r="H250" s="25"/>
      <c r="I250" s="26"/>
      <c r="J250" s="26">
        <v>46000</v>
      </c>
      <c r="K250" s="83">
        <f t="shared" si="10"/>
        <v>46000</v>
      </c>
    </row>
    <row r="251" spans="1:11" s="123" customFormat="1" x14ac:dyDescent="0.25">
      <c r="A251" s="82">
        <v>103</v>
      </c>
      <c r="B251" s="143" t="s">
        <v>115</v>
      </c>
      <c r="C251" s="143"/>
      <c r="D251" s="143" t="s">
        <v>88</v>
      </c>
      <c r="E251" s="143" t="s">
        <v>88</v>
      </c>
      <c r="F251" s="25" t="s">
        <v>75</v>
      </c>
      <c r="G251" s="31"/>
      <c r="H251" s="25"/>
      <c r="I251" s="26"/>
      <c r="J251" s="26">
        <v>46000</v>
      </c>
      <c r="K251" s="83">
        <f t="shared" si="10"/>
        <v>46000</v>
      </c>
    </row>
    <row r="252" spans="1:11" s="123" customFormat="1" x14ac:dyDescent="0.25">
      <c r="A252" s="86">
        <v>104</v>
      </c>
      <c r="B252" s="143" t="s">
        <v>298</v>
      </c>
      <c r="C252" s="143"/>
      <c r="D252" s="143" t="s">
        <v>88</v>
      </c>
      <c r="E252" s="143" t="s">
        <v>88</v>
      </c>
      <c r="F252" s="25" t="s">
        <v>75</v>
      </c>
      <c r="G252" s="31"/>
      <c r="H252" s="25"/>
      <c r="I252" s="26"/>
      <c r="J252" s="26">
        <v>46000</v>
      </c>
      <c r="K252" s="83">
        <f t="shared" si="10"/>
        <v>46000</v>
      </c>
    </row>
    <row r="253" spans="1:11" s="123" customFormat="1" x14ac:dyDescent="0.25">
      <c r="A253" s="86">
        <v>105</v>
      </c>
      <c r="B253" s="143" t="s">
        <v>659</v>
      </c>
      <c r="C253" s="143"/>
      <c r="D253" s="143" t="s">
        <v>88</v>
      </c>
      <c r="E253" s="143" t="s">
        <v>88</v>
      </c>
      <c r="F253" s="25" t="s">
        <v>75</v>
      </c>
      <c r="G253" s="31"/>
      <c r="H253" s="25"/>
      <c r="I253" s="26"/>
      <c r="J253" s="26">
        <v>78200</v>
      </c>
      <c r="K253" s="83">
        <f t="shared" si="10"/>
        <v>78200</v>
      </c>
    </row>
    <row r="254" spans="1:11" s="123" customFormat="1" x14ac:dyDescent="0.25">
      <c r="A254" s="82">
        <v>106</v>
      </c>
      <c r="B254" s="143" t="s">
        <v>660</v>
      </c>
      <c r="C254" s="143"/>
      <c r="D254" s="143" t="s">
        <v>88</v>
      </c>
      <c r="E254" s="143" t="s">
        <v>88</v>
      </c>
      <c r="F254" s="25" t="s">
        <v>75</v>
      </c>
      <c r="G254" s="31"/>
      <c r="H254" s="25"/>
      <c r="I254" s="26"/>
      <c r="J254" s="26">
        <v>78200</v>
      </c>
      <c r="K254" s="83">
        <f t="shared" si="10"/>
        <v>78200</v>
      </c>
    </row>
    <row r="255" spans="1:11" s="123" customFormat="1" x14ac:dyDescent="0.25">
      <c r="A255" s="86">
        <v>107</v>
      </c>
      <c r="B255" s="143" t="s">
        <v>661</v>
      </c>
      <c r="C255" s="143"/>
      <c r="D255" s="143" t="s">
        <v>88</v>
      </c>
      <c r="E255" s="143" t="s">
        <v>88</v>
      </c>
      <c r="F255" s="25" t="s">
        <v>75</v>
      </c>
      <c r="G255" s="31"/>
      <c r="H255" s="25"/>
      <c r="I255" s="26"/>
      <c r="J255" s="26">
        <v>34500</v>
      </c>
      <c r="K255" s="83">
        <f t="shared" si="10"/>
        <v>34500</v>
      </c>
    </row>
    <row r="256" spans="1:11" s="123" customFormat="1" x14ac:dyDescent="0.25">
      <c r="A256" s="86">
        <v>108</v>
      </c>
      <c r="B256" s="143" t="s">
        <v>662</v>
      </c>
      <c r="C256" s="143"/>
      <c r="D256" s="143" t="s">
        <v>88</v>
      </c>
      <c r="E256" s="143" t="s">
        <v>88</v>
      </c>
      <c r="F256" s="25" t="s">
        <v>75</v>
      </c>
      <c r="G256" s="31"/>
      <c r="H256" s="25"/>
      <c r="I256" s="26"/>
      <c r="J256" s="26">
        <v>78200</v>
      </c>
      <c r="K256" s="83">
        <f t="shared" si="10"/>
        <v>78200</v>
      </c>
    </row>
    <row r="257" spans="1:11" s="123" customFormat="1" x14ac:dyDescent="0.25">
      <c r="A257" s="82">
        <v>109</v>
      </c>
      <c r="B257" s="143" t="s">
        <v>663</v>
      </c>
      <c r="C257" s="143"/>
      <c r="D257" s="143" t="s">
        <v>88</v>
      </c>
      <c r="E257" s="143" t="s">
        <v>88</v>
      </c>
      <c r="F257" s="25" t="s">
        <v>75</v>
      </c>
      <c r="G257" s="31"/>
      <c r="H257" s="25"/>
      <c r="I257" s="26"/>
      <c r="J257" s="26">
        <v>46000</v>
      </c>
      <c r="K257" s="83">
        <f t="shared" si="10"/>
        <v>46000</v>
      </c>
    </row>
    <row r="258" spans="1:11" s="123" customFormat="1" x14ac:dyDescent="0.25">
      <c r="A258" s="86">
        <v>110</v>
      </c>
      <c r="B258" s="143" t="s">
        <v>664</v>
      </c>
      <c r="C258" s="143"/>
      <c r="D258" s="143" t="s">
        <v>88</v>
      </c>
      <c r="E258" s="143" t="s">
        <v>88</v>
      </c>
      <c r="F258" s="25" t="s">
        <v>75</v>
      </c>
      <c r="G258" s="31"/>
      <c r="H258" s="25"/>
      <c r="I258" s="26"/>
      <c r="J258" s="26">
        <v>78200</v>
      </c>
      <c r="K258" s="83">
        <f t="shared" si="10"/>
        <v>78200</v>
      </c>
    </row>
    <row r="259" spans="1:11" s="123" customFormat="1" x14ac:dyDescent="0.25">
      <c r="A259" s="86">
        <v>111</v>
      </c>
      <c r="B259" s="143" t="s">
        <v>665</v>
      </c>
      <c r="C259" s="143"/>
      <c r="D259" s="143" t="s">
        <v>88</v>
      </c>
      <c r="E259" s="143" t="s">
        <v>88</v>
      </c>
      <c r="F259" s="25" t="s">
        <v>75</v>
      </c>
      <c r="G259" s="31"/>
      <c r="H259" s="25"/>
      <c r="I259" s="26"/>
      <c r="J259" s="26">
        <v>46000</v>
      </c>
      <c r="K259" s="83">
        <f t="shared" si="10"/>
        <v>46000</v>
      </c>
    </row>
    <row r="260" spans="1:11" s="123" customFormat="1" x14ac:dyDescent="0.25">
      <c r="A260" s="82">
        <v>112</v>
      </c>
      <c r="B260" s="143" t="s">
        <v>666</v>
      </c>
      <c r="C260" s="143"/>
      <c r="D260" s="143" t="s">
        <v>88</v>
      </c>
      <c r="E260" s="143" t="s">
        <v>88</v>
      </c>
      <c r="F260" s="25" t="s">
        <v>75</v>
      </c>
      <c r="G260" s="31"/>
      <c r="H260" s="25"/>
      <c r="I260" s="26"/>
      <c r="J260" s="26">
        <v>101200</v>
      </c>
      <c r="K260" s="83">
        <f t="shared" si="10"/>
        <v>101200</v>
      </c>
    </row>
    <row r="261" spans="1:11" s="123" customFormat="1" x14ac:dyDescent="0.25">
      <c r="A261" s="86">
        <v>113</v>
      </c>
      <c r="B261" s="143" t="s">
        <v>667</v>
      </c>
      <c r="C261" s="143"/>
      <c r="D261" s="143" t="s">
        <v>88</v>
      </c>
      <c r="E261" s="143" t="s">
        <v>88</v>
      </c>
      <c r="F261" s="25" t="s">
        <v>75</v>
      </c>
      <c r="G261" s="31"/>
      <c r="H261" s="25"/>
      <c r="I261" s="26"/>
      <c r="J261" s="26">
        <v>168400</v>
      </c>
      <c r="K261" s="83">
        <f t="shared" si="10"/>
        <v>168400</v>
      </c>
    </row>
    <row r="262" spans="1:11" s="123" customFormat="1" x14ac:dyDescent="0.25">
      <c r="A262" s="86">
        <v>114</v>
      </c>
      <c r="B262" s="143" t="s">
        <v>633</v>
      </c>
      <c r="C262" s="143"/>
      <c r="D262" s="143" t="s">
        <v>88</v>
      </c>
      <c r="E262" s="143" t="s">
        <v>88</v>
      </c>
      <c r="F262" s="25" t="s">
        <v>75</v>
      </c>
      <c r="G262" s="31"/>
      <c r="H262" s="25"/>
      <c r="I262" s="26"/>
      <c r="J262" s="26">
        <v>23000</v>
      </c>
      <c r="K262" s="83">
        <f t="shared" si="10"/>
        <v>23000</v>
      </c>
    </row>
    <row r="263" spans="1:11" s="123" customFormat="1" x14ac:dyDescent="0.25">
      <c r="A263" s="82">
        <v>115</v>
      </c>
      <c r="B263" s="143" t="s">
        <v>668</v>
      </c>
      <c r="C263" s="143"/>
      <c r="D263" s="143" t="s">
        <v>88</v>
      </c>
      <c r="E263" s="143" t="s">
        <v>88</v>
      </c>
      <c r="F263" s="25" t="s">
        <v>75</v>
      </c>
      <c r="G263" s="31"/>
      <c r="H263" s="25"/>
      <c r="I263" s="26"/>
      <c r="J263" s="26">
        <v>34500</v>
      </c>
      <c r="K263" s="83">
        <f t="shared" si="10"/>
        <v>34500</v>
      </c>
    </row>
    <row r="264" spans="1:11" s="123" customFormat="1" x14ac:dyDescent="0.25">
      <c r="A264" s="86">
        <v>116</v>
      </c>
      <c r="B264" s="143" t="s">
        <v>669</v>
      </c>
      <c r="C264" s="143"/>
      <c r="D264" s="143" t="s">
        <v>88</v>
      </c>
      <c r="E264" s="143" t="s">
        <v>88</v>
      </c>
      <c r="F264" s="25" t="s">
        <v>75</v>
      </c>
      <c r="G264" s="31"/>
      <c r="H264" s="25"/>
      <c r="I264" s="26"/>
      <c r="J264" s="26">
        <v>73600</v>
      </c>
      <c r="K264" s="83">
        <f t="shared" si="10"/>
        <v>73600</v>
      </c>
    </row>
    <row r="265" spans="1:11" s="123" customFormat="1" x14ac:dyDescent="0.25">
      <c r="A265" s="86">
        <v>117</v>
      </c>
      <c r="B265" s="143" t="s">
        <v>670</v>
      </c>
      <c r="C265" s="143"/>
      <c r="D265" s="143" t="s">
        <v>88</v>
      </c>
      <c r="E265" s="143" t="s">
        <v>88</v>
      </c>
      <c r="F265" s="25" t="s">
        <v>75</v>
      </c>
      <c r="G265" s="31"/>
      <c r="H265" s="25"/>
      <c r="I265" s="26"/>
      <c r="J265" s="26">
        <v>78200</v>
      </c>
      <c r="K265" s="83">
        <f t="shared" si="10"/>
        <v>78200</v>
      </c>
    </row>
    <row r="266" spans="1:11" s="123" customFormat="1" x14ac:dyDescent="0.25">
      <c r="A266" s="82">
        <v>118</v>
      </c>
      <c r="B266" s="143" t="s">
        <v>671</v>
      </c>
      <c r="C266" s="143"/>
      <c r="D266" s="143" t="s">
        <v>88</v>
      </c>
      <c r="E266" s="143" t="s">
        <v>88</v>
      </c>
      <c r="F266" s="25" t="s">
        <v>75</v>
      </c>
      <c r="G266" s="31"/>
      <c r="H266" s="25"/>
      <c r="I266" s="26"/>
      <c r="J266" s="26">
        <v>73600</v>
      </c>
      <c r="K266" s="83">
        <f t="shared" si="10"/>
        <v>73600</v>
      </c>
    </row>
    <row r="267" spans="1:11" s="123" customFormat="1" x14ac:dyDescent="0.25">
      <c r="A267" s="86">
        <v>119</v>
      </c>
      <c r="B267" s="143" t="s">
        <v>672</v>
      </c>
      <c r="C267" s="143"/>
      <c r="D267" s="143" t="s">
        <v>88</v>
      </c>
      <c r="E267" s="143" t="s">
        <v>88</v>
      </c>
      <c r="F267" s="25" t="s">
        <v>75</v>
      </c>
      <c r="G267" s="31"/>
      <c r="H267" s="25"/>
      <c r="I267" s="26"/>
      <c r="J267" s="26">
        <v>73600</v>
      </c>
      <c r="K267" s="83">
        <f t="shared" si="10"/>
        <v>73600</v>
      </c>
    </row>
    <row r="268" spans="1:11" s="123" customFormat="1" x14ac:dyDescent="0.25">
      <c r="A268" s="82">
        <v>120</v>
      </c>
      <c r="B268" s="143" t="s">
        <v>640</v>
      </c>
      <c r="C268" s="143"/>
      <c r="D268" s="143" t="s">
        <v>88</v>
      </c>
      <c r="E268" s="143" t="s">
        <v>88</v>
      </c>
      <c r="F268" s="25" t="s">
        <v>75</v>
      </c>
      <c r="G268" s="31"/>
      <c r="H268" s="25"/>
      <c r="I268" s="26"/>
      <c r="J268" s="26">
        <v>23000</v>
      </c>
      <c r="K268" s="83">
        <f t="shared" si="10"/>
        <v>23000</v>
      </c>
    </row>
    <row r="269" spans="1:11" s="123" customFormat="1" x14ac:dyDescent="0.25">
      <c r="A269" s="86">
        <v>121</v>
      </c>
      <c r="B269" s="143" t="s">
        <v>673</v>
      </c>
      <c r="C269" s="143"/>
      <c r="D269" s="143" t="s">
        <v>88</v>
      </c>
      <c r="E269" s="143" t="s">
        <v>88</v>
      </c>
      <c r="F269" s="25" t="s">
        <v>75</v>
      </c>
      <c r="G269" s="31"/>
      <c r="H269" s="25"/>
      <c r="I269" s="26"/>
      <c r="J269" s="26">
        <v>46000</v>
      </c>
      <c r="K269" s="83">
        <f t="shared" si="10"/>
        <v>46000</v>
      </c>
    </row>
    <row r="270" spans="1:11" s="123" customFormat="1" x14ac:dyDescent="0.25">
      <c r="A270" s="82">
        <v>122</v>
      </c>
      <c r="B270" s="143" t="s">
        <v>674</v>
      </c>
      <c r="C270" s="143"/>
      <c r="D270" s="143" t="s">
        <v>88</v>
      </c>
      <c r="E270" s="143" t="s">
        <v>88</v>
      </c>
      <c r="F270" s="25" t="s">
        <v>75</v>
      </c>
      <c r="G270" s="31"/>
      <c r="H270" s="25"/>
      <c r="I270" s="26"/>
      <c r="J270" s="26">
        <v>55000</v>
      </c>
      <c r="K270" s="83">
        <f t="shared" si="10"/>
        <v>55000</v>
      </c>
    </row>
    <row r="271" spans="1:11" s="123" customFormat="1" x14ac:dyDescent="0.25">
      <c r="A271" s="86">
        <v>123</v>
      </c>
      <c r="B271" s="143" t="s">
        <v>675</v>
      </c>
      <c r="C271" s="143"/>
      <c r="D271" s="143" t="s">
        <v>88</v>
      </c>
      <c r="E271" s="143" t="s">
        <v>88</v>
      </c>
      <c r="F271" s="25" t="s">
        <v>75</v>
      </c>
      <c r="G271" s="31"/>
      <c r="H271" s="25"/>
      <c r="I271" s="26"/>
      <c r="J271" s="26">
        <v>45000</v>
      </c>
      <c r="K271" s="83">
        <f t="shared" si="10"/>
        <v>45000</v>
      </c>
    </row>
    <row r="272" spans="1:11" s="123" customFormat="1" x14ac:dyDescent="0.25">
      <c r="A272" s="82">
        <v>124</v>
      </c>
      <c r="B272" s="143" t="s">
        <v>333</v>
      </c>
      <c r="C272" s="143"/>
      <c r="D272" s="143" t="s">
        <v>88</v>
      </c>
      <c r="E272" s="143" t="s">
        <v>88</v>
      </c>
      <c r="F272" s="25" t="s">
        <v>75</v>
      </c>
      <c r="G272" s="31"/>
      <c r="H272" s="25"/>
      <c r="I272" s="26"/>
      <c r="J272" s="26">
        <v>255000</v>
      </c>
      <c r="K272" s="83">
        <f t="shared" si="10"/>
        <v>255000</v>
      </c>
    </row>
    <row r="273" spans="1:11" s="123" customFormat="1" x14ac:dyDescent="0.25">
      <c r="A273" s="86">
        <v>125</v>
      </c>
      <c r="B273" s="143" t="s">
        <v>676</v>
      </c>
      <c r="C273" s="143"/>
      <c r="D273" s="143" t="s">
        <v>88</v>
      </c>
      <c r="E273" s="143" t="s">
        <v>88</v>
      </c>
      <c r="F273" s="25" t="s">
        <v>75</v>
      </c>
      <c r="G273" s="31"/>
      <c r="H273" s="25"/>
      <c r="I273" s="26"/>
      <c r="J273" s="26">
        <v>55000</v>
      </c>
      <c r="K273" s="83">
        <f t="shared" si="10"/>
        <v>55000</v>
      </c>
    </row>
    <row r="274" spans="1:11" s="123" customFormat="1" x14ac:dyDescent="0.25">
      <c r="A274" s="82">
        <v>126</v>
      </c>
      <c r="B274" s="143" t="s">
        <v>329</v>
      </c>
      <c r="C274" s="143"/>
      <c r="D274" s="143" t="s">
        <v>88</v>
      </c>
      <c r="E274" s="143" t="s">
        <v>88</v>
      </c>
      <c r="F274" s="25" t="s">
        <v>75</v>
      </c>
      <c r="G274" s="31"/>
      <c r="H274" s="25"/>
      <c r="I274" s="26"/>
      <c r="J274" s="26">
        <v>45000</v>
      </c>
      <c r="K274" s="83">
        <f t="shared" si="10"/>
        <v>45000</v>
      </c>
    </row>
    <row r="275" spans="1:11" s="123" customFormat="1" x14ac:dyDescent="0.25">
      <c r="A275" s="86">
        <v>127</v>
      </c>
      <c r="B275" s="143" t="s">
        <v>677</v>
      </c>
      <c r="C275" s="143"/>
      <c r="D275" s="143" t="s">
        <v>88</v>
      </c>
      <c r="E275" s="143" t="s">
        <v>88</v>
      </c>
      <c r="F275" s="25" t="s">
        <v>75</v>
      </c>
      <c r="G275" s="31"/>
      <c r="H275" s="25"/>
      <c r="I275" s="26"/>
      <c r="J275" s="26">
        <v>77500</v>
      </c>
      <c r="K275" s="83">
        <f t="shared" si="10"/>
        <v>77500</v>
      </c>
    </row>
    <row r="276" spans="1:11" s="123" customFormat="1" x14ac:dyDescent="0.25">
      <c r="A276" s="82">
        <v>128</v>
      </c>
      <c r="B276" s="143" t="s">
        <v>678</v>
      </c>
      <c r="C276" s="143"/>
      <c r="D276" s="143" t="s">
        <v>88</v>
      </c>
      <c r="E276" s="143" t="s">
        <v>88</v>
      </c>
      <c r="F276" s="25" t="s">
        <v>75</v>
      </c>
      <c r="G276" s="31"/>
      <c r="H276" s="25"/>
      <c r="I276" s="26"/>
      <c r="J276" s="26">
        <v>132500</v>
      </c>
      <c r="K276" s="83">
        <f t="shared" si="10"/>
        <v>132500</v>
      </c>
    </row>
    <row r="277" spans="1:11" s="123" customFormat="1" ht="15.75" thickBot="1" x14ac:dyDescent="0.3">
      <c r="A277" s="86">
        <v>129</v>
      </c>
      <c r="B277" s="143" t="s">
        <v>631</v>
      </c>
      <c r="C277" s="143"/>
      <c r="D277" s="143" t="s">
        <v>88</v>
      </c>
      <c r="E277" s="143" t="s">
        <v>88</v>
      </c>
      <c r="F277" s="25" t="s">
        <v>75</v>
      </c>
      <c r="G277" s="31"/>
      <c r="H277" s="25"/>
      <c r="I277" s="26"/>
      <c r="J277" s="26">
        <v>77500</v>
      </c>
      <c r="K277" s="83">
        <f t="shared" si="10"/>
        <v>77500</v>
      </c>
    </row>
    <row r="278" spans="1:11" ht="15.75" x14ac:dyDescent="0.25">
      <c r="A278" s="243" t="s">
        <v>3</v>
      </c>
      <c r="B278" s="244"/>
      <c r="C278" s="244"/>
      <c r="D278" s="244"/>
      <c r="E278" s="244"/>
      <c r="F278" s="245"/>
      <c r="G278" s="28">
        <f>SUM(G149:G277)</f>
        <v>8419200</v>
      </c>
      <c r="H278" s="28">
        <f>SUM(H149:H277)</f>
        <v>10788800</v>
      </c>
      <c r="I278" s="28">
        <f>SUM(I149:I277)</f>
        <v>9654200</v>
      </c>
      <c r="J278" s="28">
        <f>SUM(J149:J277)</f>
        <v>13991300</v>
      </c>
      <c r="K278" s="84">
        <f>SUM(G278:J278)</f>
        <v>42853500</v>
      </c>
    </row>
    <row r="279" spans="1:11" s="123" customFormat="1" ht="15.75" x14ac:dyDescent="0.25">
      <c r="A279" s="246" t="s">
        <v>53</v>
      </c>
      <c r="B279" s="247"/>
      <c r="C279" s="247"/>
      <c r="D279" s="247"/>
      <c r="E279" s="247"/>
      <c r="F279" s="247"/>
      <c r="G279" s="37"/>
      <c r="H279" s="37"/>
      <c r="I279" s="37"/>
      <c r="J279" s="37"/>
      <c r="K279" s="89"/>
    </row>
    <row r="280" spans="1:11" s="123" customFormat="1" x14ac:dyDescent="0.25">
      <c r="A280" s="124">
        <v>1</v>
      </c>
      <c r="B280" s="24" t="s">
        <v>169</v>
      </c>
      <c r="C280" s="178" t="s">
        <v>474</v>
      </c>
      <c r="D280" s="24" t="s">
        <v>53</v>
      </c>
      <c r="E280" s="24" t="s">
        <v>53</v>
      </c>
      <c r="F280" s="9" t="s">
        <v>75</v>
      </c>
      <c r="G280" s="33">
        <v>110000</v>
      </c>
      <c r="H280" s="36">
        <v>0</v>
      </c>
      <c r="I280" s="26">
        <v>0</v>
      </c>
      <c r="J280" s="26">
        <v>0</v>
      </c>
      <c r="K280" s="85">
        <f>SUM(G280:J280)</f>
        <v>110000</v>
      </c>
    </row>
    <row r="281" spans="1:11" s="123" customFormat="1" x14ac:dyDescent="0.25">
      <c r="A281" s="124">
        <v>2</v>
      </c>
      <c r="B281" s="24" t="s">
        <v>441</v>
      </c>
      <c r="C281" s="172" t="s">
        <v>474</v>
      </c>
      <c r="D281" s="24" t="s">
        <v>53</v>
      </c>
      <c r="E281" s="24" t="s">
        <v>53</v>
      </c>
      <c r="F281" s="9" t="s">
        <v>75</v>
      </c>
      <c r="G281" s="110">
        <v>56000</v>
      </c>
      <c r="H281" s="125">
        <v>0</v>
      </c>
      <c r="I281" s="48">
        <v>0</v>
      </c>
      <c r="J281" s="48">
        <v>0</v>
      </c>
      <c r="K281" s="85">
        <f t="shared" ref="K281:K297" si="11">SUM(G281:J281)</f>
        <v>56000</v>
      </c>
    </row>
    <row r="282" spans="1:11" s="123" customFormat="1" x14ac:dyDescent="0.25">
      <c r="A282" s="124">
        <v>3</v>
      </c>
      <c r="B282" s="24" t="s">
        <v>442</v>
      </c>
      <c r="C282" s="178" t="s">
        <v>491</v>
      </c>
      <c r="D282" s="24" t="s">
        <v>53</v>
      </c>
      <c r="E282" s="24" t="s">
        <v>53</v>
      </c>
      <c r="F282" s="9" t="s">
        <v>75</v>
      </c>
      <c r="G282" s="110">
        <v>110000</v>
      </c>
      <c r="H282" s="125">
        <v>0</v>
      </c>
      <c r="I282" s="48">
        <v>0</v>
      </c>
      <c r="J282" s="48">
        <v>0</v>
      </c>
      <c r="K282" s="85">
        <f t="shared" si="11"/>
        <v>110000</v>
      </c>
    </row>
    <row r="283" spans="1:11" s="123" customFormat="1" x14ac:dyDescent="0.25">
      <c r="A283" s="124">
        <v>4</v>
      </c>
      <c r="B283" s="24" t="s">
        <v>443</v>
      </c>
      <c r="C283" s="171" t="s">
        <v>487</v>
      </c>
      <c r="D283" s="24" t="s">
        <v>53</v>
      </c>
      <c r="E283" s="24" t="s">
        <v>53</v>
      </c>
      <c r="F283" s="9" t="s">
        <v>75</v>
      </c>
      <c r="G283" s="110">
        <v>34000</v>
      </c>
      <c r="H283" s="125">
        <v>0</v>
      </c>
      <c r="I283" s="48">
        <v>0</v>
      </c>
      <c r="J283" s="48">
        <v>0</v>
      </c>
      <c r="K283" s="85">
        <f t="shared" si="11"/>
        <v>34000</v>
      </c>
    </row>
    <row r="284" spans="1:11" s="123" customFormat="1" x14ac:dyDescent="0.25">
      <c r="A284" s="124">
        <v>5</v>
      </c>
      <c r="B284" s="45" t="s">
        <v>444</v>
      </c>
      <c r="C284" s="170" t="s">
        <v>483</v>
      </c>
      <c r="D284" s="24" t="s">
        <v>445</v>
      </c>
      <c r="E284" s="24" t="s">
        <v>53</v>
      </c>
      <c r="F284" s="9" t="s">
        <v>198</v>
      </c>
      <c r="G284" s="110">
        <v>188000</v>
      </c>
      <c r="H284" s="125">
        <v>55200</v>
      </c>
      <c r="I284" s="48">
        <v>0</v>
      </c>
      <c r="J284" s="48">
        <v>298100</v>
      </c>
      <c r="K284" s="85">
        <f t="shared" si="11"/>
        <v>541300</v>
      </c>
    </row>
    <row r="285" spans="1:11" s="123" customFormat="1" x14ac:dyDescent="0.25">
      <c r="A285" s="124">
        <v>6</v>
      </c>
      <c r="B285" s="176" t="s">
        <v>446</v>
      </c>
      <c r="C285" s="177" t="s">
        <v>401</v>
      </c>
      <c r="D285" s="24" t="s">
        <v>106</v>
      </c>
      <c r="E285" s="24" t="s">
        <v>53</v>
      </c>
      <c r="F285" s="9" t="s">
        <v>198</v>
      </c>
      <c r="G285" s="110">
        <v>166000</v>
      </c>
      <c r="H285" s="125">
        <v>110000</v>
      </c>
      <c r="I285" s="48">
        <v>430600</v>
      </c>
      <c r="J285" s="48">
        <v>0</v>
      </c>
      <c r="K285" s="85">
        <f t="shared" si="11"/>
        <v>706600</v>
      </c>
    </row>
    <row r="286" spans="1:11" s="123" customFormat="1" x14ac:dyDescent="0.25">
      <c r="A286" s="124">
        <v>7</v>
      </c>
      <c r="B286" s="45" t="s">
        <v>147</v>
      </c>
      <c r="C286" s="174" t="s">
        <v>489</v>
      </c>
      <c r="D286" s="24" t="s">
        <v>53</v>
      </c>
      <c r="E286" s="24" t="s">
        <v>53</v>
      </c>
      <c r="F286" s="9" t="s">
        <v>198</v>
      </c>
      <c r="G286" s="110">
        <v>166000</v>
      </c>
      <c r="H286" s="125">
        <v>0</v>
      </c>
      <c r="I286" s="48">
        <v>0</v>
      </c>
      <c r="J286" s="48">
        <v>936000</v>
      </c>
      <c r="K286" s="85">
        <f t="shared" si="11"/>
        <v>1102000</v>
      </c>
    </row>
    <row r="287" spans="1:11" s="123" customFormat="1" x14ac:dyDescent="0.25">
      <c r="A287" s="124">
        <v>8</v>
      </c>
      <c r="B287" s="45" t="s">
        <v>104</v>
      </c>
      <c r="C287" s="173" t="s">
        <v>287</v>
      </c>
      <c r="D287" s="24" t="s">
        <v>16</v>
      </c>
      <c r="E287" s="24" t="s">
        <v>53</v>
      </c>
      <c r="F287" s="9" t="s">
        <v>198</v>
      </c>
      <c r="G287" s="110">
        <v>64000</v>
      </c>
      <c r="H287" s="125">
        <v>0</v>
      </c>
      <c r="I287" s="48">
        <v>0</v>
      </c>
      <c r="J287" s="48">
        <v>0</v>
      </c>
      <c r="K287" s="85">
        <f t="shared" si="11"/>
        <v>64000</v>
      </c>
    </row>
    <row r="288" spans="1:11" s="123" customFormat="1" x14ac:dyDescent="0.25">
      <c r="A288" s="124">
        <v>9</v>
      </c>
      <c r="B288" s="24" t="s">
        <v>447</v>
      </c>
      <c r="C288" s="174" t="s">
        <v>303</v>
      </c>
      <c r="D288" s="24" t="s">
        <v>53</v>
      </c>
      <c r="E288" s="24" t="s">
        <v>53</v>
      </c>
      <c r="F288" s="9" t="s">
        <v>251</v>
      </c>
      <c r="G288" s="110">
        <v>660100</v>
      </c>
      <c r="H288" s="125">
        <v>0</v>
      </c>
      <c r="I288" s="48">
        <v>0</v>
      </c>
      <c r="J288" s="48">
        <v>0</v>
      </c>
      <c r="K288" s="85">
        <f t="shared" si="11"/>
        <v>660100</v>
      </c>
    </row>
    <row r="289" spans="1:11" s="123" customFormat="1" x14ac:dyDescent="0.25">
      <c r="A289" s="124">
        <v>10</v>
      </c>
      <c r="B289" s="143" t="s">
        <v>548</v>
      </c>
      <c r="C289" s="177" t="s">
        <v>608</v>
      </c>
      <c r="D289" s="143" t="s">
        <v>53</v>
      </c>
      <c r="E289" s="143" t="s">
        <v>53</v>
      </c>
      <c r="F289" s="142" t="s">
        <v>75</v>
      </c>
      <c r="G289" s="110"/>
      <c r="H289" s="125">
        <v>133400</v>
      </c>
      <c r="I289" s="48">
        <v>56000</v>
      </c>
      <c r="J289" s="48">
        <v>56000</v>
      </c>
      <c r="K289" s="85">
        <f t="shared" si="11"/>
        <v>245400</v>
      </c>
    </row>
    <row r="290" spans="1:11" s="123" customFormat="1" x14ac:dyDescent="0.25">
      <c r="A290" s="124">
        <v>11</v>
      </c>
      <c r="B290" s="143" t="s">
        <v>556</v>
      </c>
      <c r="C290" s="178" t="s">
        <v>487</v>
      </c>
      <c r="D290" s="143" t="s">
        <v>53</v>
      </c>
      <c r="E290" s="143" t="s">
        <v>53</v>
      </c>
      <c r="F290" s="142" t="s">
        <v>75</v>
      </c>
      <c r="G290" s="110"/>
      <c r="H290" s="125">
        <v>34000</v>
      </c>
      <c r="I290" s="48">
        <v>55200</v>
      </c>
      <c r="J290" s="48">
        <v>55200</v>
      </c>
      <c r="K290" s="85">
        <f t="shared" si="11"/>
        <v>144400</v>
      </c>
    </row>
    <row r="291" spans="1:11" s="123" customFormat="1" x14ac:dyDescent="0.25">
      <c r="A291" s="124">
        <v>12</v>
      </c>
      <c r="B291" s="143" t="s">
        <v>557</v>
      </c>
      <c r="C291" s="177" t="s">
        <v>609</v>
      </c>
      <c r="D291" s="143" t="s">
        <v>53</v>
      </c>
      <c r="E291" s="143" t="s">
        <v>53</v>
      </c>
      <c r="F291" s="142" t="s">
        <v>75</v>
      </c>
      <c r="G291" s="110"/>
      <c r="H291" s="125"/>
      <c r="I291" s="48">
        <v>34500</v>
      </c>
      <c r="J291" s="48">
        <v>0</v>
      </c>
      <c r="K291" s="85">
        <f t="shared" si="11"/>
        <v>34500</v>
      </c>
    </row>
    <row r="292" spans="1:11" s="123" customFormat="1" x14ac:dyDescent="0.25">
      <c r="A292" s="124">
        <v>13</v>
      </c>
      <c r="B292" s="176" t="s">
        <v>558</v>
      </c>
      <c r="C292" s="177" t="s">
        <v>483</v>
      </c>
      <c r="D292" s="143" t="s">
        <v>445</v>
      </c>
      <c r="E292" s="143" t="s">
        <v>53</v>
      </c>
      <c r="F292" s="142" t="s">
        <v>198</v>
      </c>
      <c r="G292" s="110"/>
      <c r="H292" s="125"/>
      <c r="I292" s="48">
        <v>40000</v>
      </c>
      <c r="J292" s="48">
        <v>0</v>
      </c>
      <c r="K292" s="85">
        <f t="shared" si="11"/>
        <v>40000</v>
      </c>
    </row>
    <row r="293" spans="1:11" s="123" customFormat="1" x14ac:dyDescent="0.25">
      <c r="A293" s="124">
        <v>14</v>
      </c>
      <c r="B293" s="143" t="s">
        <v>176</v>
      </c>
      <c r="C293" s="177" t="s">
        <v>610</v>
      </c>
      <c r="D293" s="143" t="s">
        <v>53</v>
      </c>
      <c r="E293" s="143" t="s">
        <v>53</v>
      </c>
      <c r="F293" s="142" t="s">
        <v>75</v>
      </c>
      <c r="G293" s="110"/>
      <c r="H293" s="125"/>
      <c r="I293" s="48">
        <v>66000</v>
      </c>
      <c r="J293" s="48">
        <v>0</v>
      </c>
      <c r="K293" s="85">
        <f t="shared" si="11"/>
        <v>66000</v>
      </c>
    </row>
    <row r="294" spans="1:11" s="123" customFormat="1" x14ac:dyDescent="0.25">
      <c r="A294" s="124">
        <v>15</v>
      </c>
      <c r="B294" s="143" t="s">
        <v>559</v>
      </c>
      <c r="C294" s="178" t="s">
        <v>599</v>
      </c>
      <c r="D294" s="143" t="s">
        <v>53</v>
      </c>
      <c r="E294" s="143" t="s">
        <v>53</v>
      </c>
      <c r="F294" s="142" t="s">
        <v>75</v>
      </c>
      <c r="G294" s="110"/>
      <c r="H294" s="125"/>
      <c r="I294" s="48">
        <v>221200</v>
      </c>
      <c r="J294" s="48">
        <v>0</v>
      </c>
      <c r="K294" s="85">
        <f t="shared" si="11"/>
        <v>221200</v>
      </c>
    </row>
    <row r="295" spans="1:11" s="123" customFormat="1" x14ac:dyDescent="0.25">
      <c r="A295" s="124">
        <v>16</v>
      </c>
      <c r="B295" s="143" t="s">
        <v>560</v>
      </c>
      <c r="C295" s="201" t="s">
        <v>490</v>
      </c>
      <c r="D295" s="143" t="s">
        <v>53</v>
      </c>
      <c r="E295" s="143" t="s">
        <v>53</v>
      </c>
      <c r="F295" s="142" t="s">
        <v>75</v>
      </c>
      <c r="G295" s="110"/>
      <c r="H295" s="125"/>
      <c r="I295" s="48">
        <v>45000</v>
      </c>
      <c r="J295" s="48">
        <v>0</v>
      </c>
      <c r="K295" s="85">
        <f t="shared" si="11"/>
        <v>45000</v>
      </c>
    </row>
    <row r="296" spans="1:11" s="123" customFormat="1" x14ac:dyDescent="0.25">
      <c r="A296" s="124">
        <v>17</v>
      </c>
      <c r="B296" s="176" t="s">
        <v>561</v>
      </c>
      <c r="C296" s="177" t="s">
        <v>483</v>
      </c>
      <c r="D296" s="143" t="s">
        <v>445</v>
      </c>
      <c r="E296" s="143" t="s">
        <v>53</v>
      </c>
      <c r="F296" s="142" t="s">
        <v>198</v>
      </c>
      <c r="G296" s="110"/>
      <c r="H296" s="125"/>
      <c r="I296" s="48">
        <v>56000</v>
      </c>
      <c r="J296" s="48">
        <v>0</v>
      </c>
      <c r="K296" s="85">
        <f t="shared" si="11"/>
        <v>56000</v>
      </c>
    </row>
    <row r="297" spans="1:11" s="123" customFormat="1" ht="15.75" thickBot="1" x14ac:dyDescent="0.3">
      <c r="A297" s="124">
        <v>18</v>
      </c>
      <c r="B297" s="176" t="s">
        <v>98</v>
      </c>
      <c r="C297" s="178"/>
      <c r="D297" s="143" t="s">
        <v>6</v>
      </c>
      <c r="E297" s="143" t="s">
        <v>53</v>
      </c>
      <c r="F297" s="142" t="s">
        <v>198</v>
      </c>
      <c r="G297" s="110"/>
      <c r="H297" s="125"/>
      <c r="I297" s="48"/>
      <c r="J297" s="48">
        <v>552000</v>
      </c>
      <c r="K297" s="85">
        <f t="shared" si="11"/>
        <v>552000</v>
      </c>
    </row>
    <row r="298" spans="1:11" s="123" customFormat="1" ht="15.75" x14ac:dyDescent="0.25">
      <c r="A298" s="243" t="s">
        <v>3</v>
      </c>
      <c r="B298" s="244"/>
      <c r="C298" s="244"/>
      <c r="D298" s="244"/>
      <c r="E298" s="244"/>
      <c r="F298" s="245"/>
      <c r="G298" s="28">
        <f>SUM(G280:G297)</f>
        <v>1554100</v>
      </c>
      <c r="H298" s="28">
        <f>SUM(H280:H297)</f>
        <v>332600</v>
      </c>
      <c r="I298" s="28">
        <f>SUM(I280:I297)</f>
        <v>1004500</v>
      </c>
      <c r="J298" s="28">
        <f>SUM(J280:J297)</f>
        <v>1897300</v>
      </c>
      <c r="K298" s="84">
        <f t="shared" ref="K298" si="12">SUM(G298:J298)</f>
        <v>4788500</v>
      </c>
    </row>
    <row r="299" spans="1:11" s="123" customFormat="1" ht="15.75" x14ac:dyDescent="0.25">
      <c r="A299" s="246" t="s">
        <v>12</v>
      </c>
      <c r="B299" s="247"/>
      <c r="C299" s="247"/>
      <c r="D299" s="247"/>
      <c r="E299" s="247"/>
      <c r="F299" s="247"/>
      <c r="G299" s="37"/>
      <c r="H299" s="37"/>
      <c r="I299" s="37"/>
      <c r="J299" s="37"/>
      <c r="K299" s="89"/>
    </row>
    <row r="300" spans="1:11" s="123" customFormat="1" x14ac:dyDescent="0.25">
      <c r="A300" s="124">
        <v>1</v>
      </c>
      <c r="B300" s="24" t="s">
        <v>448</v>
      </c>
      <c r="C300" s="165" t="s">
        <v>484</v>
      </c>
      <c r="D300" s="24" t="s">
        <v>12</v>
      </c>
      <c r="E300" s="24" t="s">
        <v>12</v>
      </c>
      <c r="F300" s="9" t="s">
        <v>75</v>
      </c>
      <c r="G300" s="33">
        <v>110000</v>
      </c>
      <c r="H300" s="36">
        <v>110400</v>
      </c>
      <c r="I300" s="26">
        <v>0</v>
      </c>
      <c r="J300" s="26">
        <v>110000</v>
      </c>
      <c r="K300" s="85">
        <f>SUM(G300:J300)</f>
        <v>330400</v>
      </c>
    </row>
    <row r="301" spans="1:11" s="123" customFormat="1" x14ac:dyDescent="0.25">
      <c r="A301" s="124">
        <v>2</v>
      </c>
      <c r="B301" s="24" t="s">
        <v>449</v>
      </c>
      <c r="C301" s="166" t="s">
        <v>474</v>
      </c>
      <c r="D301" s="24" t="s">
        <v>12</v>
      </c>
      <c r="E301" s="24" t="s">
        <v>12</v>
      </c>
      <c r="F301" s="9" t="s">
        <v>75</v>
      </c>
      <c r="G301" s="110">
        <v>504000</v>
      </c>
      <c r="H301" s="125">
        <v>0</v>
      </c>
      <c r="I301" s="48">
        <v>0</v>
      </c>
      <c r="J301" s="48">
        <v>0</v>
      </c>
      <c r="K301" s="85">
        <f t="shared" ref="K301:K314" si="13">SUM(G301:J301)</f>
        <v>504000</v>
      </c>
    </row>
    <row r="302" spans="1:11" s="123" customFormat="1" x14ac:dyDescent="0.25">
      <c r="A302" s="124">
        <v>3</v>
      </c>
      <c r="B302" s="24" t="s">
        <v>333</v>
      </c>
      <c r="C302" s="177" t="s">
        <v>490</v>
      </c>
      <c r="D302" s="24" t="s">
        <v>12</v>
      </c>
      <c r="E302" s="24" t="s">
        <v>12</v>
      </c>
      <c r="F302" s="9" t="s">
        <v>75</v>
      </c>
      <c r="G302" s="110">
        <v>110000</v>
      </c>
      <c r="H302" s="125">
        <v>0</v>
      </c>
      <c r="I302" s="48">
        <v>0</v>
      </c>
      <c r="J302" s="48">
        <v>0</v>
      </c>
      <c r="K302" s="85">
        <f t="shared" si="13"/>
        <v>110000</v>
      </c>
    </row>
    <row r="303" spans="1:11" s="123" customFormat="1" x14ac:dyDescent="0.25">
      <c r="A303" s="124">
        <v>4</v>
      </c>
      <c r="B303" s="45" t="s">
        <v>147</v>
      </c>
      <c r="C303" s="174" t="s">
        <v>489</v>
      </c>
      <c r="D303" s="24" t="s">
        <v>53</v>
      </c>
      <c r="E303" s="24" t="s">
        <v>12</v>
      </c>
      <c r="F303" s="9" t="s">
        <v>198</v>
      </c>
      <c r="G303" s="110">
        <v>110000</v>
      </c>
      <c r="H303" s="125">
        <v>0</v>
      </c>
      <c r="I303" s="48">
        <v>0</v>
      </c>
      <c r="J303" s="48">
        <v>0</v>
      </c>
      <c r="K303" s="85">
        <f t="shared" si="13"/>
        <v>110000</v>
      </c>
    </row>
    <row r="304" spans="1:11" s="123" customFormat="1" x14ac:dyDescent="0.25">
      <c r="A304" s="124">
        <v>5</v>
      </c>
      <c r="B304" s="45" t="s">
        <v>450</v>
      </c>
      <c r="C304" s="168" t="s">
        <v>485</v>
      </c>
      <c r="D304" s="24" t="s">
        <v>12</v>
      </c>
      <c r="E304" s="24" t="s">
        <v>12</v>
      </c>
      <c r="F304" s="9" t="s">
        <v>198</v>
      </c>
      <c r="G304" s="110">
        <v>122000</v>
      </c>
      <c r="H304" s="125">
        <v>388800</v>
      </c>
      <c r="I304" s="48">
        <v>375700</v>
      </c>
      <c r="J304" s="48">
        <v>564200</v>
      </c>
      <c r="K304" s="85">
        <f t="shared" si="13"/>
        <v>1450700</v>
      </c>
    </row>
    <row r="305" spans="1:11" s="123" customFormat="1" x14ac:dyDescent="0.25">
      <c r="A305" s="124">
        <v>6</v>
      </c>
      <c r="B305" s="24" t="s">
        <v>451</v>
      </c>
      <c r="C305" s="167" t="s">
        <v>303</v>
      </c>
      <c r="D305" s="24" t="s">
        <v>12</v>
      </c>
      <c r="E305" s="24" t="s">
        <v>12</v>
      </c>
      <c r="F305" s="9" t="s">
        <v>75</v>
      </c>
      <c r="G305" s="110">
        <v>78000</v>
      </c>
      <c r="H305" s="125">
        <v>0</v>
      </c>
      <c r="I305" s="48">
        <v>0</v>
      </c>
      <c r="J305" s="48">
        <v>0</v>
      </c>
      <c r="K305" s="85">
        <f t="shared" si="13"/>
        <v>78000</v>
      </c>
    </row>
    <row r="306" spans="1:11" s="123" customFormat="1" ht="15.75" thickBot="1" x14ac:dyDescent="0.3">
      <c r="A306" s="124">
        <v>7</v>
      </c>
      <c r="B306" s="176" t="s">
        <v>97</v>
      </c>
      <c r="C306" s="178" t="s">
        <v>377</v>
      </c>
      <c r="D306" s="143" t="s">
        <v>6</v>
      </c>
      <c r="E306" s="143" t="s">
        <v>12</v>
      </c>
      <c r="F306" s="142" t="s">
        <v>198</v>
      </c>
      <c r="G306" s="110"/>
      <c r="H306" s="125">
        <v>448500</v>
      </c>
      <c r="I306" s="48">
        <v>75900</v>
      </c>
      <c r="J306" s="48">
        <v>116000</v>
      </c>
      <c r="K306" s="85">
        <f t="shared" si="13"/>
        <v>640400</v>
      </c>
    </row>
    <row r="307" spans="1:11" s="123" customFormat="1" x14ac:dyDescent="0.25">
      <c r="A307" s="124">
        <v>8</v>
      </c>
      <c r="B307" s="143" t="s">
        <v>118</v>
      </c>
      <c r="C307" s="143"/>
      <c r="D307" s="143" t="s">
        <v>12</v>
      </c>
      <c r="E307" s="143" t="s">
        <v>12</v>
      </c>
      <c r="F307" s="142" t="s">
        <v>75</v>
      </c>
      <c r="G307" s="110"/>
      <c r="H307" s="125"/>
      <c r="I307" s="48"/>
      <c r="J307" s="48">
        <v>36000</v>
      </c>
      <c r="K307" s="85">
        <f t="shared" si="13"/>
        <v>36000</v>
      </c>
    </row>
    <row r="308" spans="1:11" s="123" customFormat="1" x14ac:dyDescent="0.25">
      <c r="A308" s="124">
        <v>9</v>
      </c>
      <c r="B308" s="176" t="s">
        <v>100</v>
      </c>
      <c r="C308" s="143"/>
      <c r="D308" s="143" t="s">
        <v>5</v>
      </c>
      <c r="E308" s="143" t="s">
        <v>12</v>
      </c>
      <c r="F308" s="142" t="s">
        <v>198</v>
      </c>
      <c r="G308" s="110"/>
      <c r="H308" s="125"/>
      <c r="I308" s="48"/>
      <c r="J308" s="48">
        <v>132000</v>
      </c>
      <c r="K308" s="85">
        <f t="shared" si="13"/>
        <v>132000</v>
      </c>
    </row>
    <row r="309" spans="1:11" s="123" customFormat="1" x14ac:dyDescent="0.25">
      <c r="A309" s="124">
        <v>10</v>
      </c>
      <c r="B309" s="143" t="s">
        <v>679</v>
      </c>
      <c r="C309" s="143"/>
      <c r="D309" s="143" t="s">
        <v>12</v>
      </c>
      <c r="E309" s="143" t="s">
        <v>12</v>
      </c>
      <c r="F309" s="142" t="s">
        <v>75</v>
      </c>
      <c r="G309" s="110"/>
      <c r="H309" s="125"/>
      <c r="I309" s="48"/>
      <c r="J309" s="48">
        <v>110000</v>
      </c>
      <c r="K309" s="85">
        <f t="shared" si="13"/>
        <v>110000</v>
      </c>
    </row>
    <row r="310" spans="1:11" s="123" customFormat="1" x14ac:dyDescent="0.25">
      <c r="A310" s="124">
        <v>11</v>
      </c>
      <c r="B310" s="143" t="s">
        <v>680</v>
      </c>
      <c r="C310" s="143"/>
      <c r="D310" s="143" t="s">
        <v>12</v>
      </c>
      <c r="E310" s="143" t="s">
        <v>12</v>
      </c>
      <c r="F310" s="142" t="s">
        <v>75</v>
      </c>
      <c r="G310" s="110"/>
      <c r="H310" s="125"/>
      <c r="I310" s="48"/>
      <c r="J310" s="48">
        <v>110000</v>
      </c>
      <c r="K310" s="85">
        <f t="shared" si="13"/>
        <v>110000</v>
      </c>
    </row>
    <row r="311" spans="1:11" s="123" customFormat="1" x14ac:dyDescent="0.25">
      <c r="A311" s="124">
        <v>12</v>
      </c>
      <c r="B311" s="143" t="s">
        <v>681</v>
      </c>
      <c r="C311" s="143"/>
      <c r="D311" s="143" t="s">
        <v>12</v>
      </c>
      <c r="E311" s="143" t="s">
        <v>12</v>
      </c>
      <c r="F311" s="142" t="s">
        <v>75</v>
      </c>
      <c r="G311" s="110"/>
      <c r="H311" s="125"/>
      <c r="I311" s="48"/>
      <c r="J311" s="48">
        <v>110000</v>
      </c>
      <c r="K311" s="85">
        <f t="shared" si="13"/>
        <v>110000</v>
      </c>
    </row>
    <row r="312" spans="1:11" s="123" customFormat="1" x14ac:dyDescent="0.25">
      <c r="A312" s="124">
        <v>13</v>
      </c>
      <c r="B312" s="176" t="s">
        <v>682</v>
      </c>
      <c r="C312" s="143"/>
      <c r="D312" s="143" t="s">
        <v>445</v>
      </c>
      <c r="E312" s="143" t="s">
        <v>12</v>
      </c>
      <c r="F312" s="142" t="s">
        <v>198</v>
      </c>
      <c r="G312" s="110"/>
      <c r="H312" s="125"/>
      <c r="I312" s="48"/>
      <c r="J312" s="48">
        <v>56000</v>
      </c>
      <c r="K312" s="85">
        <f t="shared" si="13"/>
        <v>56000</v>
      </c>
    </row>
    <row r="313" spans="1:11" s="123" customFormat="1" x14ac:dyDescent="0.25">
      <c r="A313" s="124">
        <v>14</v>
      </c>
      <c r="B313" s="176" t="s">
        <v>683</v>
      </c>
      <c r="C313" s="143"/>
      <c r="D313" s="143" t="s">
        <v>445</v>
      </c>
      <c r="E313" s="143" t="s">
        <v>12</v>
      </c>
      <c r="F313" s="142" t="s">
        <v>198</v>
      </c>
      <c r="G313" s="110"/>
      <c r="H313" s="125"/>
      <c r="I313" s="48"/>
      <c r="J313" s="48">
        <v>78000</v>
      </c>
      <c r="K313" s="85">
        <f t="shared" si="13"/>
        <v>78000</v>
      </c>
    </row>
    <row r="314" spans="1:11" s="123" customFormat="1" ht="15.75" thickBot="1" x14ac:dyDescent="0.3">
      <c r="A314" s="124">
        <v>15</v>
      </c>
      <c r="B314" s="143" t="s">
        <v>684</v>
      </c>
      <c r="C314" s="143"/>
      <c r="D314" s="143" t="s">
        <v>12</v>
      </c>
      <c r="E314" s="143" t="s">
        <v>12</v>
      </c>
      <c r="F314" s="142" t="s">
        <v>75</v>
      </c>
      <c r="G314" s="110"/>
      <c r="H314" s="125"/>
      <c r="I314" s="48"/>
      <c r="J314" s="48">
        <v>66000</v>
      </c>
      <c r="K314" s="85">
        <f t="shared" si="13"/>
        <v>66000</v>
      </c>
    </row>
    <row r="315" spans="1:11" s="123" customFormat="1" ht="15.75" x14ac:dyDescent="0.25">
      <c r="A315" s="243" t="s">
        <v>3</v>
      </c>
      <c r="B315" s="244"/>
      <c r="C315" s="244"/>
      <c r="D315" s="244"/>
      <c r="E315" s="244"/>
      <c r="F315" s="245"/>
      <c r="G315" s="28">
        <f>SUM(G300:G314)</f>
        <v>1034000</v>
      </c>
      <c r="H315" s="28">
        <f>SUM(H300:H314)</f>
        <v>947700</v>
      </c>
      <c r="I315" s="28">
        <f>SUM(I300:I314)</f>
        <v>451600</v>
      </c>
      <c r="J315" s="28">
        <f>SUM(J300:J314)</f>
        <v>1488200</v>
      </c>
      <c r="K315" s="84">
        <f t="shared" ref="K315" si="14">SUM(G315:J315)</f>
        <v>3921500</v>
      </c>
    </row>
    <row r="316" spans="1:11" s="123" customFormat="1" ht="15.75" x14ac:dyDescent="0.25">
      <c r="A316" s="246" t="s">
        <v>10</v>
      </c>
      <c r="B316" s="247"/>
      <c r="C316" s="247"/>
      <c r="D316" s="247"/>
      <c r="E316" s="247"/>
      <c r="F316" s="247"/>
      <c r="G316" s="37"/>
      <c r="H316" s="37"/>
      <c r="I316" s="37"/>
      <c r="J316" s="37"/>
      <c r="K316" s="89"/>
    </row>
    <row r="317" spans="1:11" s="123" customFormat="1" x14ac:dyDescent="0.25">
      <c r="A317" s="124">
        <v>1</v>
      </c>
      <c r="B317" s="45" t="s">
        <v>101</v>
      </c>
      <c r="C317" s="158" t="s">
        <v>395</v>
      </c>
      <c r="D317" s="24" t="s">
        <v>16</v>
      </c>
      <c r="E317" s="24" t="s">
        <v>445</v>
      </c>
      <c r="F317" s="9" t="s">
        <v>198</v>
      </c>
      <c r="G317" s="33">
        <v>430000</v>
      </c>
      <c r="H317" s="36">
        <v>110400</v>
      </c>
      <c r="I317" s="26">
        <v>425800</v>
      </c>
      <c r="J317" s="26">
        <v>0</v>
      </c>
      <c r="K317" s="85">
        <f>SUM(G317:J317)</f>
        <v>966200</v>
      </c>
    </row>
    <row r="318" spans="1:11" s="123" customFormat="1" x14ac:dyDescent="0.25">
      <c r="A318" s="124">
        <v>2</v>
      </c>
      <c r="B318" s="24" t="s">
        <v>452</v>
      </c>
      <c r="C318" s="162" t="s">
        <v>482</v>
      </c>
      <c r="D318" s="24" t="s">
        <v>445</v>
      </c>
      <c r="E318" s="24" t="s">
        <v>445</v>
      </c>
      <c r="F318" s="9" t="s">
        <v>96</v>
      </c>
      <c r="G318" s="110">
        <v>74000</v>
      </c>
      <c r="H318" s="125">
        <v>104000</v>
      </c>
      <c r="I318" s="48">
        <v>0</v>
      </c>
      <c r="J318" s="48">
        <v>124000</v>
      </c>
      <c r="K318" s="85">
        <f t="shared" ref="K318:K330" si="15">SUM(G318:J318)</f>
        <v>302000</v>
      </c>
    </row>
    <row r="319" spans="1:11" s="123" customFormat="1" x14ac:dyDescent="0.25">
      <c r="A319" s="124">
        <v>3</v>
      </c>
      <c r="B319" s="45" t="s">
        <v>453</v>
      </c>
      <c r="C319" s="157" t="s">
        <v>389</v>
      </c>
      <c r="D319" s="24" t="s">
        <v>5</v>
      </c>
      <c r="E319" s="24" t="s">
        <v>445</v>
      </c>
      <c r="F319" s="9" t="s">
        <v>198</v>
      </c>
      <c r="G319" s="110">
        <v>330000</v>
      </c>
      <c r="H319" s="125">
        <v>110400</v>
      </c>
      <c r="I319" s="48">
        <v>471100</v>
      </c>
      <c r="J319" s="48">
        <v>661000</v>
      </c>
      <c r="K319" s="85">
        <f t="shared" si="15"/>
        <v>1572500</v>
      </c>
    </row>
    <row r="320" spans="1:11" s="123" customFormat="1" x14ac:dyDescent="0.25">
      <c r="A320" s="124">
        <v>4</v>
      </c>
      <c r="B320" s="45" t="s">
        <v>454</v>
      </c>
      <c r="C320" s="163" t="s">
        <v>483</v>
      </c>
      <c r="D320" s="24" t="s">
        <v>445</v>
      </c>
      <c r="E320" s="24" t="s">
        <v>445</v>
      </c>
      <c r="F320" s="9" t="s">
        <v>198</v>
      </c>
      <c r="G320" s="110">
        <v>496800</v>
      </c>
      <c r="H320" s="125">
        <v>648100</v>
      </c>
      <c r="I320" s="48">
        <v>89700</v>
      </c>
      <c r="J320" s="48">
        <v>499400</v>
      </c>
      <c r="K320" s="85">
        <f t="shared" si="15"/>
        <v>1734000</v>
      </c>
    </row>
    <row r="321" spans="1:11" s="123" customFormat="1" x14ac:dyDescent="0.25">
      <c r="A321" s="124">
        <v>5</v>
      </c>
      <c r="B321" s="24" t="s">
        <v>455</v>
      </c>
      <c r="C321" s="159" t="s">
        <v>480</v>
      </c>
      <c r="D321" s="24" t="s">
        <v>445</v>
      </c>
      <c r="E321" s="24" t="s">
        <v>445</v>
      </c>
      <c r="F321" s="9" t="s">
        <v>75</v>
      </c>
      <c r="G321" s="110">
        <v>64000</v>
      </c>
      <c r="H321" s="125">
        <v>50600</v>
      </c>
      <c r="I321" s="48">
        <v>104000</v>
      </c>
      <c r="J321" s="48">
        <v>84000</v>
      </c>
      <c r="K321" s="85">
        <f t="shared" si="15"/>
        <v>302600</v>
      </c>
    </row>
    <row r="322" spans="1:11" s="123" customFormat="1" x14ac:dyDescent="0.25">
      <c r="A322" s="124">
        <v>6</v>
      </c>
      <c r="B322" s="45" t="s">
        <v>456</v>
      </c>
      <c r="C322" s="164" t="s">
        <v>483</v>
      </c>
      <c r="D322" s="24" t="s">
        <v>445</v>
      </c>
      <c r="E322" s="24" t="s">
        <v>445</v>
      </c>
      <c r="F322" s="9" t="s">
        <v>198</v>
      </c>
      <c r="G322" s="110">
        <v>455500</v>
      </c>
      <c r="H322" s="125">
        <v>136000</v>
      </c>
      <c r="I322" s="48">
        <v>0</v>
      </c>
      <c r="J322" s="48">
        <v>598400</v>
      </c>
      <c r="K322" s="85">
        <f t="shared" si="15"/>
        <v>1189900</v>
      </c>
    </row>
    <row r="323" spans="1:11" s="123" customFormat="1" x14ac:dyDescent="0.25">
      <c r="A323" s="124">
        <v>7</v>
      </c>
      <c r="B323" s="45" t="s">
        <v>457</v>
      </c>
      <c r="C323" s="160" t="s">
        <v>481</v>
      </c>
      <c r="D323" s="24" t="s">
        <v>445</v>
      </c>
      <c r="E323" s="24" t="s">
        <v>445</v>
      </c>
      <c r="F323" s="9" t="s">
        <v>198</v>
      </c>
      <c r="G323" s="110">
        <v>200000</v>
      </c>
      <c r="H323" s="125">
        <v>55200</v>
      </c>
      <c r="I323" s="48">
        <v>0</v>
      </c>
      <c r="J323" s="48">
        <v>144000</v>
      </c>
      <c r="K323" s="85">
        <f t="shared" si="15"/>
        <v>399200</v>
      </c>
    </row>
    <row r="324" spans="1:11" s="123" customFormat="1" x14ac:dyDescent="0.25">
      <c r="A324" s="124">
        <v>8</v>
      </c>
      <c r="B324" s="45" t="s">
        <v>225</v>
      </c>
      <c r="C324" s="161" t="s">
        <v>397</v>
      </c>
      <c r="D324" s="24" t="s">
        <v>226</v>
      </c>
      <c r="E324" s="24" t="s">
        <v>445</v>
      </c>
      <c r="F324" s="9" t="s">
        <v>198</v>
      </c>
      <c r="G324" s="110">
        <v>56000</v>
      </c>
      <c r="H324" s="125">
        <v>0</v>
      </c>
      <c r="I324" s="48">
        <v>0</v>
      </c>
      <c r="J324" s="48">
        <v>132000</v>
      </c>
      <c r="K324" s="85">
        <f t="shared" si="15"/>
        <v>188000</v>
      </c>
    </row>
    <row r="325" spans="1:11" s="123" customFormat="1" x14ac:dyDescent="0.25">
      <c r="A325" s="124">
        <v>9</v>
      </c>
      <c r="B325" s="45" t="s">
        <v>100</v>
      </c>
      <c r="C325" s="157" t="s">
        <v>389</v>
      </c>
      <c r="D325" s="24" t="s">
        <v>5</v>
      </c>
      <c r="E325" s="24" t="s">
        <v>445</v>
      </c>
      <c r="F325" s="9" t="s">
        <v>198</v>
      </c>
      <c r="G325" s="110">
        <v>110000</v>
      </c>
      <c r="H325" s="125">
        <v>0</v>
      </c>
      <c r="I325" s="48">
        <v>0</v>
      </c>
      <c r="J325" s="48">
        <v>0</v>
      </c>
      <c r="K325" s="85">
        <f t="shared" si="15"/>
        <v>110000</v>
      </c>
    </row>
    <row r="326" spans="1:11" s="123" customFormat="1" x14ac:dyDescent="0.25">
      <c r="A326" s="124">
        <v>10</v>
      </c>
      <c r="B326" s="176" t="s">
        <v>104</v>
      </c>
      <c r="C326" s="178" t="s">
        <v>287</v>
      </c>
      <c r="D326" s="143" t="s">
        <v>16</v>
      </c>
      <c r="E326" s="143" t="s">
        <v>445</v>
      </c>
      <c r="F326" s="142" t="s">
        <v>198</v>
      </c>
      <c r="G326" s="110"/>
      <c r="H326" s="125">
        <v>149500</v>
      </c>
      <c r="I326" s="48">
        <v>0</v>
      </c>
      <c r="J326" s="48">
        <v>0</v>
      </c>
      <c r="K326" s="85">
        <f t="shared" si="15"/>
        <v>149500</v>
      </c>
    </row>
    <row r="327" spans="1:11" s="123" customFormat="1" x14ac:dyDescent="0.25">
      <c r="A327" s="124">
        <v>11</v>
      </c>
      <c r="B327" s="176" t="s">
        <v>562</v>
      </c>
      <c r="C327" s="177" t="s">
        <v>389</v>
      </c>
      <c r="D327" s="143" t="s">
        <v>445</v>
      </c>
      <c r="E327" s="143" t="s">
        <v>445</v>
      </c>
      <c r="F327" s="142" t="s">
        <v>198</v>
      </c>
      <c r="G327" s="110"/>
      <c r="H327" s="125">
        <v>174000</v>
      </c>
      <c r="I327" s="48">
        <v>261200</v>
      </c>
      <c r="J327" s="48">
        <v>394000</v>
      </c>
      <c r="K327" s="85">
        <f t="shared" si="15"/>
        <v>829200</v>
      </c>
    </row>
    <row r="328" spans="1:11" s="123" customFormat="1" x14ac:dyDescent="0.25">
      <c r="A328" s="124">
        <v>12</v>
      </c>
      <c r="B328" s="143" t="s">
        <v>207</v>
      </c>
      <c r="C328" s="178" t="s">
        <v>304</v>
      </c>
      <c r="D328" s="143" t="s">
        <v>16</v>
      </c>
      <c r="E328" s="143" t="s">
        <v>445</v>
      </c>
      <c r="F328" s="142" t="s">
        <v>75</v>
      </c>
      <c r="G328" s="110"/>
      <c r="H328" s="125"/>
      <c r="I328" s="48">
        <v>44000</v>
      </c>
      <c r="J328" s="48">
        <v>0</v>
      </c>
      <c r="K328" s="85">
        <f t="shared" si="15"/>
        <v>44000</v>
      </c>
    </row>
    <row r="329" spans="1:11" s="123" customFormat="1" x14ac:dyDescent="0.25">
      <c r="A329" s="124">
        <v>13</v>
      </c>
      <c r="B329" s="143" t="s">
        <v>680</v>
      </c>
      <c r="C329" s="177"/>
      <c r="D329" s="143" t="s">
        <v>445</v>
      </c>
      <c r="E329" s="143" t="s">
        <v>445</v>
      </c>
      <c r="F329" s="142" t="s">
        <v>75</v>
      </c>
      <c r="G329" s="110"/>
      <c r="H329" s="125"/>
      <c r="I329" s="48"/>
      <c r="J329" s="48">
        <v>55000</v>
      </c>
      <c r="K329" s="85">
        <f t="shared" si="15"/>
        <v>55000</v>
      </c>
    </row>
    <row r="330" spans="1:11" s="123" customFormat="1" ht="15.75" thickBot="1" x14ac:dyDescent="0.3">
      <c r="A330" s="124">
        <v>14</v>
      </c>
      <c r="B330" s="176" t="s">
        <v>685</v>
      </c>
      <c r="C330" s="177"/>
      <c r="D330" s="143" t="s">
        <v>445</v>
      </c>
      <c r="E330" s="143" t="s">
        <v>445</v>
      </c>
      <c r="F330" s="142" t="s">
        <v>198</v>
      </c>
      <c r="G330" s="110"/>
      <c r="H330" s="125"/>
      <c r="I330" s="48"/>
      <c r="J330" s="48">
        <v>210000</v>
      </c>
      <c r="K330" s="85">
        <f t="shared" si="15"/>
        <v>210000</v>
      </c>
    </row>
    <row r="331" spans="1:11" s="123" customFormat="1" ht="15.75" x14ac:dyDescent="0.25">
      <c r="A331" s="243" t="s">
        <v>3</v>
      </c>
      <c r="B331" s="244"/>
      <c r="C331" s="244"/>
      <c r="D331" s="244"/>
      <c r="E331" s="244"/>
      <c r="F331" s="245"/>
      <c r="G331" s="28">
        <f>SUM(G317:G330)</f>
        <v>2216300</v>
      </c>
      <c r="H331" s="28">
        <f>SUM(H317:H330)</f>
        <v>1538200</v>
      </c>
      <c r="I331" s="28">
        <f>SUM(I317:I330)</f>
        <v>1395800</v>
      </c>
      <c r="J331" s="28">
        <f>SUM(J317:J330)</f>
        <v>2901800</v>
      </c>
      <c r="K331" s="84">
        <f>SUM(G331:J331)</f>
        <v>8052100</v>
      </c>
    </row>
    <row r="332" spans="1:11" s="123" customFormat="1" ht="15.75" x14ac:dyDescent="0.25">
      <c r="A332" s="246" t="s">
        <v>11</v>
      </c>
      <c r="B332" s="247"/>
      <c r="C332" s="247"/>
      <c r="D332" s="247"/>
      <c r="E332" s="247"/>
      <c r="F332" s="247"/>
      <c r="G332" s="37"/>
      <c r="H332" s="37"/>
      <c r="I332" s="37"/>
      <c r="J332" s="37"/>
      <c r="K332" s="89"/>
    </row>
    <row r="333" spans="1:11" s="123" customFormat="1" x14ac:dyDescent="0.25">
      <c r="A333" s="124">
        <v>1</v>
      </c>
      <c r="B333" s="24" t="s">
        <v>458</v>
      </c>
      <c r="C333" s="150" t="s">
        <v>475</v>
      </c>
      <c r="D333" s="24" t="s">
        <v>202</v>
      </c>
      <c r="E333" s="24" t="s">
        <v>202</v>
      </c>
      <c r="F333" s="9" t="s">
        <v>75</v>
      </c>
      <c r="G333" s="33">
        <v>216000</v>
      </c>
      <c r="H333" s="36">
        <v>55200</v>
      </c>
      <c r="I333" s="26">
        <v>0</v>
      </c>
      <c r="J333" s="26">
        <v>220800</v>
      </c>
      <c r="K333" s="85">
        <f>SUM(G333:J333)</f>
        <v>492000</v>
      </c>
    </row>
    <row r="334" spans="1:11" s="123" customFormat="1" x14ac:dyDescent="0.25">
      <c r="A334" s="124">
        <v>2</v>
      </c>
      <c r="B334" s="45" t="s">
        <v>459</v>
      </c>
      <c r="C334" s="157" t="s">
        <v>479</v>
      </c>
      <c r="D334" s="24" t="s">
        <v>202</v>
      </c>
      <c r="E334" s="24" t="s">
        <v>202</v>
      </c>
      <c r="F334" s="9" t="s">
        <v>198</v>
      </c>
      <c r="G334" s="110">
        <v>828000</v>
      </c>
      <c r="H334" s="125">
        <v>276000</v>
      </c>
      <c r="I334" s="48">
        <v>244000</v>
      </c>
      <c r="J334" s="48">
        <v>718000</v>
      </c>
      <c r="K334" s="85">
        <f t="shared" ref="K334:K366" si="16">SUM(G334:J334)</f>
        <v>2066000</v>
      </c>
    </row>
    <row r="335" spans="1:11" s="123" customFormat="1" x14ac:dyDescent="0.25">
      <c r="A335" s="124">
        <v>3</v>
      </c>
      <c r="B335" s="45" t="s">
        <v>205</v>
      </c>
      <c r="C335" s="155" t="s">
        <v>477</v>
      </c>
      <c r="D335" s="24" t="s">
        <v>202</v>
      </c>
      <c r="E335" s="24" t="s">
        <v>202</v>
      </c>
      <c r="F335" s="9" t="s">
        <v>198</v>
      </c>
      <c r="G335" s="110">
        <v>617900</v>
      </c>
      <c r="H335" s="125">
        <v>574400</v>
      </c>
      <c r="I335" s="48">
        <v>186300</v>
      </c>
      <c r="J335" s="48">
        <v>138000</v>
      </c>
      <c r="K335" s="85">
        <f t="shared" si="16"/>
        <v>1516600</v>
      </c>
    </row>
    <row r="336" spans="1:11" s="123" customFormat="1" x14ac:dyDescent="0.25">
      <c r="A336" s="124">
        <v>4</v>
      </c>
      <c r="B336" s="24" t="s">
        <v>460</v>
      </c>
      <c r="C336" s="156" t="s">
        <v>478</v>
      </c>
      <c r="D336" s="24" t="s">
        <v>202</v>
      </c>
      <c r="E336" s="24" t="s">
        <v>202</v>
      </c>
      <c r="F336" s="9" t="s">
        <v>95</v>
      </c>
      <c r="G336" s="110">
        <v>476000</v>
      </c>
      <c r="H336" s="125">
        <v>287500</v>
      </c>
      <c r="I336" s="48">
        <v>88000</v>
      </c>
      <c r="J336" s="48">
        <v>55200</v>
      </c>
      <c r="K336" s="85">
        <f t="shared" si="16"/>
        <v>906700</v>
      </c>
    </row>
    <row r="337" spans="1:11" s="123" customFormat="1" x14ac:dyDescent="0.25">
      <c r="A337" s="124">
        <v>5</v>
      </c>
      <c r="B337" s="45" t="s">
        <v>461</v>
      </c>
      <c r="C337" s="146" t="s">
        <v>389</v>
      </c>
      <c r="D337" s="24" t="s">
        <v>5</v>
      </c>
      <c r="E337" s="24" t="s">
        <v>202</v>
      </c>
      <c r="F337" s="9" t="s">
        <v>198</v>
      </c>
      <c r="G337" s="110">
        <v>166000</v>
      </c>
      <c r="H337" s="125">
        <v>0</v>
      </c>
      <c r="I337" s="48">
        <v>0</v>
      </c>
      <c r="J337" s="48">
        <v>0</v>
      </c>
      <c r="K337" s="85">
        <f t="shared" si="16"/>
        <v>166000</v>
      </c>
    </row>
    <row r="338" spans="1:11" s="123" customFormat="1" x14ac:dyDescent="0.25">
      <c r="A338" s="124">
        <v>6</v>
      </c>
      <c r="B338" s="24" t="s">
        <v>462</v>
      </c>
      <c r="C338" s="152" t="s">
        <v>475</v>
      </c>
      <c r="D338" s="24" t="s">
        <v>202</v>
      </c>
      <c r="E338" s="24" t="s">
        <v>202</v>
      </c>
      <c r="F338" s="9" t="s">
        <v>75</v>
      </c>
      <c r="G338" s="110">
        <v>110400</v>
      </c>
      <c r="H338" s="125">
        <v>66000</v>
      </c>
      <c r="I338" s="48">
        <v>0</v>
      </c>
      <c r="J338" s="48">
        <v>188600</v>
      </c>
      <c r="K338" s="85">
        <f t="shared" si="16"/>
        <v>365000</v>
      </c>
    </row>
    <row r="339" spans="1:11" s="123" customFormat="1" x14ac:dyDescent="0.25">
      <c r="A339" s="124">
        <v>7</v>
      </c>
      <c r="B339" s="24" t="s">
        <v>361</v>
      </c>
      <c r="C339" s="149" t="s">
        <v>474</v>
      </c>
      <c r="D339" s="24" t="s">
        <v>202</v>
      </c>
      <c r="E339" s="24" t="s">
        <v>202</v>
      </c>
      <c r="F339" s="9" t="s">
        <v>75</v>
      </c>
      <c r="G339" s="110">
        <v>167200</v>
      </c>
      <c r="H339" s="125">
        <v>188000</v>
      </c>
      <c r="I339" s="48">
        <v>253300</v>
      </c>
      <c r="J339" s="48">
        <v>476800</v>
      </c>
      <c r="K339" s="85">
        <f t="shared" si="16"/>
        <v>1085300</v>
      </c>
    </row>
    <row r="340" spans="1:11" s="123" customFormat="1" x14ac:dyDescent="0.25">
      <c r="A340" s="124">
        <v>8</v>
      </c>
      <c r="B340" s="24" t="s">
        <v>463</v>
      </c>
      <c r="C340" s="154" t="s">
        <v>476</v>
      </c>
      <c r="D340" s="24" t="s">
        <v>202</v>
      </c>
      <c r="E340" s="24" t="s">
        <v>202</v>
      </c>
      <c r="F340" s="9" t="s">
        <v>95</v>
      </c>
      <c r="G340" s="110">
        <v>154000</v>
      </c>
      <c r="H340" s="125">
        <v>0</v>
      </c>
      <c r="I340" s="48">
        <v>0</v>
      </c>
      <c r="J340" s="48">
        <v>0</v>
      </c>
      <c r="K340" s="85">
        <f t="shared" si="16"/>
        <v>154000</v>
      </c>
    </row>
    <row r="341" spans="1:11" s="123" customFormat="1" x14ac:dyDescent="0.25">
      <c r="A341" s="124">
        <v>9</v>
      </c>
      <c r="B341" s="24" t="s">
        <v>464</v>
      </c>
      <c r="C341" s="151" t="s">
        <v>475</v>
      </c>
      <c r="D341" s="24" t="s">
        <v>202</v>
      </c>
      <c r="E341" s="24" t="s">
        <v>202</v>
      </c>
      <c r="F341" s="9" t="s">
        <v>75</v>
      </c>
      <c r="G341" s="110">
        <v>78000</v>
      </c>
      <c r="H341" s="125">
        <v>0</v>
      </c>
      <c r="I341" s="48">
        <v>0</v>
      </c>
      <c r="J341" s="48">
        <v>0</v>
      </c>
      <c r="K341" s="85">
        <f t="shared" si="16"/>
        <v>78000</v>
      </c>
    </row>
    <row r="342" spans="1:11" s="123" customFormat="1" x14ac:dyDescent="0.25">
      <c r="A342" s="124">
        <v>10</v>
      </c>
      <c r="B342" s="45" t="s">
        <v>465</v>
      </c>
      <c r="C342" s="147" t="s">
        <v>389</v>
      </c>
      <c r="D342" s="24" t="s">
        <v>5</v>
      </c>
      <c r="E342" s="24" t="s">
        <v>202</v>
      </c>
      <c r="F342" s="9" t="s">
        <v>198</v>
      </c>
      <c r="G342" s="110">
        <v>62000</v>
      </c>
      <c r="H342" s="125">
        <v>124100</v>
      </c>
      <c r="I342" s="48">
        <v>160000</v>
      </c>
      <c r="J342" s="48">
        <v>497100</v>
      </c>
      <c r="K342" s="85">
        <f t="shared" si="16"/>
        <v>843200</v>
      </c>
    </row>
    <row r="343" spans="1:11" s="123" customFormat="1" x14ac:dyDescent="0.25">
      <c r="A343" s="124">
        <v>11</v>
      </c>
      <c r="B343" s="45" t="s">
        <v>222</v>
      </c>
      <c r="C343" s="153" t="s">
        <v>396</v>
      </c>
      <c r="D343" s="24" t="s">
        <v>16</v>
      </c>
      <c r="E343" s="24" t="s">
        <v>202</v>
      </c>
      <c r="F343" s="9" t="s">
        <v>198</v>
      </c>
      <c r="G343" s="110">
        <v>166000</v>
      </c>
      <c r="H343" s="125">
        <v>110000</v>
      </c>
      <c r="I343" s="48">
        <v>0</v>
      </c>
      <c r="J343" s="48">
        <v>84000</v>
      </c>
      <c r="K343" s="85">
        <f t="shared" si="16"/>
        <v>360000</v>
      </c>
    </row>
    <row r="344" spans="1:11" s="123" customFormat="1" x14ac:dyDescent="0.25">
      <c r="A344" s="124">
        <v>12</v>
      </c>
      <c r="B344" s="24" t="s">
        <v>155</v>
      </c>
      <c r="C344" s="148" t="s">
        <v>473</v>
      </c>
      <c r="D344" s="24" t="s">
        <v>202</v>
      </c>
      <c r="E344" s="24" t="s">
        <v>202</v>
      </c>
      <c r="F344" s="9" t="s">
        <v>75</v>
      </c>
      <c r="G344" s="110">
        <v>88000</v>
      </c>
      <c r="H344" s="125">
        <v>0</v>
      </c>
      <c r="I344" s="48">
        <v>0</v>
      </c>
      <c r="J344" s="48">
        <v>88000</v>
      </c>
      <c r="K344" s="85">
        <f t="shared" si="16"/>
        <v>176000</v>
      </c>
    </row>
    <row r="345" spans="1:11" s="123" customFormat="1" x14ac:dyDescent="0.25">
      <c r="A345" s="124">
        <v>13</v>
      </c>
      <c r="B345" s="176" t="s">
        <v>450</v>
      </c>
      <c r="C345" s="177" t="s">
        <v>485</v>
      </c>
      <c r="D345" s="143" t="s">
        <v>12</v>
      </c>
      <c r="E345" s="143" t="s">
        <v>202</v>
      </c>
      <c r="F345" s="142" t="s">
        <v>198</v>
      </c>
      <c r="G345" s="110"/>
      <c r="H345" s="125">
        <v>106000</v>
      </c>
      <c r="I345" s="48">
        <v>0</v>
      </c>
      <c r="J345" s="48">
        <v>0</v>
      </c>
      <c r="K345" s="85">
        <f t="shared" si="16"/>
        <v>106000</v>
      </c>
    </row>
    <row r="346" spans="1:11" s="123" customFormat="1" x14ac:dyDescent="0.25">
      <c r="A346" s="124">
        <v>14</v>
      </c>
      <c r="B346" s="176" t="s">
        <v>563</v>
      </c>
      <c r="C346" s="177" t="s">
        <v>389</v>
      </c>
      <c r="D346" s="143" t="s">
        <v>5</v>
      </c>
      <c r="E346" s="143" t="s">
        <v>202</v>
      </c>
      <c r="F346" s="142" t="s">
        <v>198</v>
      </c>
      <c r="G346" s="110"/>
      <c r="H346" s="125">
        <v>414000</v>
      </c>
      <c r="I346" s="48">
        <v>465300</v>
      </c>
      <c r="J346" s="48">
        <v>271400</v>
      </c>
      <c r="K346" s="85">
        <f t="shared" si="16"/>
        <v>1150700</v>
      </c>
    </row>
    <row r="347" spans="1:11" s="123" customFormat="1" x14ac:dyDescent="0.25">
      <c r="A347" s="124">
        <v>15</v>
      </c>
      <c r="B347" s="143" t="s">
        <v>564</v>
      </c>
      <c r="C347" s="177" t="s">
        <v>612</v>
      </c>
      <c r="D347" s="143" t="s">
        <v>202</v>
      </c>
      <c r="E347" s="143" t="s">
        <v>202</v>
      </c>
      <c r="F347" s="142" t="s">
        <v>75</v>
      </c>
      <c r="G347" s="110"/>
      <c r="H347" s="125">
        <v>56000</v>
      </c>
      <c r="I347" s="48">
        <v>0</v>
      </c>
      <c r="J347" s="48">
        <v>0</v>
      </c>
      <c r="K347" s="85">
        <f t="shared" si="16"/>
        <v>56000</v>
      </c>
    </row>
    <row r="348" spans="1:11" s="123" customFormat="1" x14ac:dyDescent="0.25">
      <c r="A348" s="124">
        <v>16</v>
      </c>
      <c r="B348" s="143" t="s">
        <v>565</v>
      </c>
      <c r="C348" s="177" t="s">
        <v>475</v>
      </c>
      <c r="D348" s="143" t="s">
        <v>202</v>
      </c>
      <c r="E348" s="143" t="s">
        <v>202</v>
      </c>
      <c r="F348" s="142" t="s">
        <v>75</v>
      </c>
      <c r="G348" s="110"/>
      <c r="H348" s="125">
        <v>110000</v>
      </c>
      <c r="I348" s="48">
        <v>0</v>
      </c>
      <c r="J348" s="48">
        <v>220800</v>
      </c>
      <c r="K348" s="85">
        <f t="shared" si="16"/>
        <v>330800</v>
      </c>
    </row>
    <row r="349" spans="1:11" s="123" customFormat="1" x14ac:dyDescent="0.25">
      <c r="A349" s="124">
        <v>17</v>
      </c>
      <c r="B349" s="143" t="s">
        <v>134</v>
      </c>
      <c r="C349" s="177" t="s">
        <v>474</v>
      </c>
      <c r="D349" s="143" t="s">
        <v>202</v>
      </c>
      <c r="E349" s="143" t="s">
        <v>202</v>
      </c>
      <c r="F349" s="142" t="s">
        <v>75</v>
      </c>
      <c r="G349" s="110"/>
      <c r="H349" s="125">
        <v>78200</v>
      </c>
      <c r="I349" s="48">
        <v>0</v>
      </c>
      <c r="J349" s="48">
        <v>0</v>
      </c>
      <c r="K349" s="85">
        <f t="shared" si="16"/>
        <v>78200</v>
      </c>
    </row>
    <row r="350" spans="1:11" s="123" customFormat="1" x14ac:dyDescent="0.25">
      <c r="A350" s="124">
        <v>18</v>
      </c>
      <c r="B350" s="143" t="s">
        <v>566</v>
      </c>
      <c r="C350" s="177" t="s">
        <v>611</v>
      </c>
      <c r="D350" s="143" t="s">
        <v>202</v>
      </c>
      <c r="E350" s="143" t="s">
        <v>202</v>
      </c>
      <c r="F350" s="142" t="s">
        <v>95</v>
      </c>
      <c r="G350" s="110"/>
      <c r="H350" s="125">
        <v>408800</v>
      </c>
      <c r="I350" s="48">
        <v>133400</v>
      </c>
      <c r="J350" s="48">
        <v>0</v>
      </c>
      <c r="K350" s="85">
        <f t="shared" si="16"/>
        <v>542200</v>
      </c>
    </row>
    <row r="351" spans="1:11" s="123" customFormat="1" x14ac:dyDescent="0.25">
      <c r="A351" s="124">
        <v>19</v>
      </c>
      <c r="B351" s="176" t="s">
        <v>567</v>
      </c>
      <c r="C351" s="177" t="s">
        <v>374</v>
      </c>
      <c r="D351" s="143" t="s">
        <v>6</v>
      </c>
      <c r="E351" s="143" t="s">
        <v>202</v>
      </c>
      <c r="F351" s="142" t="s">
        <v>198</v>
      </c>
      <c r="G351" s="110"/>
      <c r="H351" s="125">
        <v>308000</v>
      </c>
      <c r="I351" s="48">
        <v>112000</v>
      </c>
      <c r="J351" s="48">
        <v>619000</v>
      </c>
      <c r="K351" s="85">
        <f t="shared" si="16"/>
        <v>1039000</v>
      </c>
    </row>
    <row r="352" spans="1:11" s="123" customFormat="1" x14ac:dyDescent="0.25">
      <c r="A352" s="124">
        <v>20</v>
      </c>
      <c r="B352" s="143" t="s">
        <v>568</v>
      </c>
      <c r="C352" s="177" t="s">
        <v>303</v>
      </c>
      <c r="D352" s="143" t="s">
        <v>202</v>
      </c>
      <c r="E352" s="143" t="s">
        <v>202</v>
      </c>
      <c r="F352" s="142" t="s">
        <v>95</v>
      </c>
      <c r="G352" s="110"/>
      <c r="H352" s="125"/>
      <c r="I352" s="48">
        <v>166000</v>
      </c>
      <c r="J352" s="48">
        <v>254000</v>
      </c>
      <c r="K352" s="85">
        <f t="shared" si="16"/>
        <v>420000</v>
      </c>
    </row>
    <row r="353" spans="1:11" s="123" customFormat="1" x14ac:dyDescent="0.25">
      <c r="A353" s="124">
        <v>21</v>
      </c>
      <c r="B353" s="176" t="s">
        <v>100</v>
      </c>
      <c r="C353" s="177" t="s">
        <v>389</v>
      </c>
      <c r="D353" s="143" t="s">
        <v>5</v>
      </c>
      <c r="E353" s="143" t="s">
        <v>202</v>
      </c>
      <c r="F353" s="142" t="s">
        <v>198</v>
      </c>
      <c r="G353" s="110"/>
      <c r="H353" s="125"/>
      <c r="I353" s="48">
        <v>202000</v>
      </c>
      <c r="J353" s="48">
        <v>0</v>
      </c>
      <c r="K353" s="85">
        <f t="shared" si="16"/>
        <v>202000</v>
      </c>
    </row>
    <row r="354" spans="1:11" s="123" customFormat="1" x14ac:dyDescent="0.25">
      <c r="A354" s="124">
        <v>22</v>
      </c>
      <c r="B354" s="143" t="s">
        <v>569</v>
      </c>
      <c r="C354" s="177" t="s">
        <v>614</v>
      </c>
      <c r="D354" s="143" t="s">
        <v>202</v>
      </c>
      <c r="E354" s="143" t="s">
        <v>202</v>
      </c>
      <c r="F354" s="142" t="s">
        <v>96</v>
      </c>
      <c r="G354" s="110"/>
      <c r="H354" s="125"/>
      <c r="I354" s="48">
        <v>72000</v>
      </c>
      <c r="J354" s="48">
        <v>0</v>
      </c>
      <c r="K354" s="85">
        <f t="shared" si="16"/>
        <v>72000</v>
      </c>
    </row>
    <row r="355" spans="1:11" s="123" customFormat="1" x14ac:dyDescent="0.25">
      <c r="A355" s="124">
        <v>23</v>
      </c>
      <c r="B355" s="143" t="s">
        <v>570</v>
      </c>
      <c r="C355" s="177" t="s">
        <v>475</v>
      </c>
      <c r="D355" s="143" t="s">
        <v>202</v>
      </c>
      <c r="E355" s="143" t="s">
        <v>202</v>
      </c>
      <c r="F355" s="142" t="s">
        <v>75</v>
      </c>
      <c r="G355" s="110"/>
      <c r="H355" s="125"/>
      <c r="I355" s="48">
        <v>94000</v>
      </c>
      <c r="J355" s="48">
        <v>0</v>
      </c>
      <c r="K355" s="85">
        <f t="shared" si="16"/>
        <v>94000</v>
      </c>
    </row>
    <row r="356" spans="1:11" s="123" customFormat="1" x14ac:dyDescent="0.25">
      <c r="A356" s="124">
        <v>24</v>
      </c>
      <c r="B356" s="143" t="s">
        <v>133</v>
      </c>
      <c r="C356" s="177" t="s">
        <v>435</v>
      </c>
      <c r="D356" s="143" t="s">
        <v>202</v>
      </c>
      <c r="E356" s="143" t="s">
        <v>202</v>
      </c>
      <c r="F356" s="142" t="s">
        <v>75</v>
      </c>
      <c r="G356" s="110"/>
      <c r="H356" s="125"/>
      <c r="I356" s="48">
        <v>44000</v>
      </c>
      <c r="J356" s="48">
        <v>52000</v>
      </c>
      <c r="K356" s="85">
        <f t="shared" si="16"/>
        <v>96000</v>
      </c>
    </row>
    <row r="357" spans="1:11" s="123" customFormat="1" x14ac:dyDescent="0.25">
      <c r="A357" s="124">
        <v>25</v>
      </c>
      <c r="B357" s="143" t="s">
        <v>571</v>
      </c>
      <c r="C357" s="177" t="s">
        <v>613</v>
      </c>
      <c r="D357" s="143" t="s">
        <v>202</v>
      </c>
      <c r="E357" s="143" t="s">
        <v>202</v>
      </c>
      <c r="F357" s="142" t="s">
        <v>95</v>
      </c>
      <c r="G357" s="110"/>
      <c r="H357" s="125"/>
      <c r="I357" s="48">
        <v>88000</v>
      </c>
      <c r="J357" s="48">
        <v>0</v>
      </c>
      <c r="K357" s="85">
        <f t="shared" si="16"/>
        <v>88000</v>
      </c>
    </row>
    <row r="358" spans="1:11" s="123" customFormat="1" x14ac:dyDescent="0.25">
      <c r="A358" s="124">
        <v>26</v>
      </c>
      <c r="B358" s="143" t="s">
        <v>572</v>
      </c>
      <c r="C358" s="177" t="s">
        <v>435</v>
      </c>
      <c r="D358" s="143" t="s">
        <v>202</v>
      </c>
      <c r="E358" s="143" t="s">
        <v>202</v>
      </c>
      <c r="F358" s="142" t="s">
        <v>75</v>
      </c>
      <c r="G358" s="110"/>
      <c r="H358" s="125"/>
      <c r="I358" s="48">
        <v>188200</v>
      </c>
      <c r="J358" s="48">
        <v>34000</v>
      </c>
      <c r="K358" s="85">
        <f t="shared" si="16"/>
        <v>222200</v>
      </c>
    </row>
    <row r="359" spans="1:11" s="123" customFormat="1" x14ac:dyDescent="0.25">
      <c r="A359" s="124">
        <v>27</v>
      </c>
      <c r="B359" s="176" t="s">
        <v>573</v>
      </c>
      <c r="C359" s="177" t="s">
        <v>374</v>
      </c>
      <c r="D359" s="143" t="s">
        <v>6</v>
      </c>
      <c r="E359" s="143" t="s">
        <v>202</v>
      </c>
      <c r="F359" s="142" t="s">
        <v>198</v>
      </c>
      <c r="G359" s="110"/>
      <c r="H359" s="125"/>
      <c r="I359" s="48">
        <v>220800</v>
      </c>
      <c r="J359" s="48">
        <v>0</v>
      </c>
      <c r="K359" s="85">
        <f t="shared" si="16"/>
        <v>220800</v>
      </c>
    </row>
    <row r="360" spans="1:11" s="123" customFormat="1" x14ac:dyDescent="0.25">
      <c r="A360" s="124">
        <v>28</v>
      </c>
      <c r="B360" s="143" t="s">
        <v>686</v>
      </c>
      <c r="C360" s="143"/>
      <c r="D360" s="143" t="s">
        <v>202</v>
      </c>
      <c r="E360" s="143" t="s">
        <v>202</v>
      </c>
      <c r="F360" s="142" t="s">
        <v>75</v>
      </c>
      <c r="G360" s="110"/>
      <c r="H360" s="125"/>
      <c r="I360" s="48"/>
      <c r="J360" s="48">
        <v>55200</v>
      </c>
      <c r="K360" s="85">
        <f t="shared" si="16"/>
        <v>55200</v>
      </c>
    </row>
    <row r="361" spans="1:11" s="123" customFormat="1" x14ac:dyDescent="0.25">
      <c r="A361" s="124">
        <v>29</v>
      </c>
      <c r="B361" s="176" t="s">
        <v>104</v>
      </c>
      <c r="C361" s="176"/>
      <c r="D361" s="143" t="s">
        <v>16</v>
      </c>
      <c r="E361" s="143" t="s">
        <v>202</v>
      </c>
      <c r="F361" s="142" t="s">
        <v>198</v>
      </c>
      <c r="G361" s="110"/>
      <c r="H361" s="125"/>
      <c r="I361" s="48"/>
      <c r="J361" s="48">
        <v>165600</v>
      </c>
      <c r="K361" s="85">
        <f t="shared" si="16"/>
        <v>165600</v>
      </c>
    </row>
    <row r="362" spans="1:11" s="123" customFormat="1" x14ac:dyDescent="0.25">
      <c r="A362" s="124">
        <v>30</v>
      </c>
      <c r="B362" s="176" t="s">
        <v>687</v>
      </c>
      <c r="C362" s="176"/>
      <c r="D362" s="143" t="s">
        <v>5</v>
      </c>
      <c r="E362" s="143" t="s">
        <v>202</v>
      </c>
      <c r="F362" s="142" t="s">
        <v>198</v>
      </c>
      <c r="G362" s="110"/>
      <c r="H362" s="125"/>
      <c r="I362" s="48"/>
      <c r="J362" s="48">
        <v>199900</v>
      </c>
      <c r="K362" s="85">
        <f t="shared" si="16"/>
        <v>199900</v>
      </c>
    </row>
    <row r="363" spans="1:11" s="123" customFormat="1" x14ac:dyDescent="0.25">
      <c r="A363" s="124">
        <v>31</v>
      </c>
      <c r="B363" s="143" t="s">
        <v>176</v>
      </c>
      <c r="C363" s="176"/>
      <c r="D363" s="143" t="s">
        <v>202</v>
      </c>
      <c r="E363" s="143" t="s">
        <v>202</v>
      </c>
      <c r="F363" s="142" t="s">
        <v>75</v>
      </c>
      <c r="G363" s="110"/>
      <c r="H363" s="125"/>
      <c r="I363" s="48"/>
      <c r="J363" s="48">
        <v>78500</v>
      </c>
      <c r="K363" s="85">
        <f t="shared" si="16"/>
        <v>78500</v>
      </c>
    </row>
    <row r="364" spans="1:11" s="123" customFormat="1" x14ac:dyDescent="0.25">
      <c r="A364" s="124">
        <v>32</v>
      </c>
      <c r="B364" s="143" t="s">
        <v>688</v>
      </c>
      <c r="C364" s="143"/>
      <c r="D364" s="143" t="s">
        <v>202</v>
      </c>
      <c r="E364" s="143" t="s">
        <v>202</v>
      </c>
      <c r="F364" s="142" t="s">
        <v>75</v>
      </c>
      <c r="G364" s="110"/>
      <c r="H364" s="125"/>
      <c r="I364" s="48"/>
      <c r="J364" s="48">
        <v>110400</v>
      </c>
      <c r="K364" s="85">
        <f t="shared" si="16"/>
        <v>110400</v>
      </c>
    </row>
    <row r="365" spans="1:11" s="123" customFormat="1" x14ac:dyDescent="0.25">
      <c r="A365" s="124">
        <v>33</v>
      </c>
      <c r="B365" s="176" t="s">
        <v>225</v>
      </c>
      <c r="C365" s="143"/>
      <c r="D365" s="143" t="s">
        <v>226</v>
      </c>
      <c r="E365" s="143" t="s">
        <v>202</v>
      </c>
      <c r="F365" s="142" t="s">
        <v>198</v>
      </c>
      <c r="G365" s="110"/>
      <c r="H365" s="125"/>
      <c r="I365" s="48"/>
      <c r="J365" s="48">
        <v>166000</v>
      </c>
      <c r="K365" s="85">
        <f t="shared" si="16"/>
        <v>166000</v>
      </c>
    </row>
    <row r="366" spans="1:11" s="123" customFormat="1" ht="15.75" thickBot="1" x14ac:dyDescent="0.3">
      <c r="A366" s="124">
        <v>34</v>
      </c>
      <c r="B366" s="176" t="s">
        <v>689</v>
      </c>
      <c r="C366" s="143"/>
      <c r="D366" s="143" t="s">
        <v>5</v>
      </c>
      <c r="E366" s="143" t="s">
        <v>202</v>
      </c>
      <c r="F366" s="142" t="s">
        <v>198</v>
      </c>
      <c r="G366" s="110"/>
      <c r="H366" s="125"/>
      <c r="I366" s="48"/>
      <c r="J366" s="48">
        <v>110000</v>
      </c>
      <c r="K366" s="85">
        <f t="shared" si="16"/>
        <v>110000</v>
      </c>
    </row>
    <row r="367" spans="1:11" s="123" customFormat="1" ht="15.75" x14ac:dyDescent="0.25">
      <c r="A367" s="243" t="s">
        <v>3</v>
      </c>
      <c r="B367" s="244"/>
      <c r="C367" s="244"/>
      <c r="D367" s="244"/>
      <c r="E367" s="244"/>
      <c r="F367" s="245"/>
      <c r="G367" s="28">
        <f>SUM(G333:G366)</f>
        <v>3129500</v>
      </c>
      <c r="H367" s="28">
        <f>SUM(H333:H366)</f>
        <v>3162200</v>
      </c>
      <c r="I367" s="28">
        <f>SUM(I333:I366)</f>
        <v>2717300</v>
      </c>
      <c r="J367" s="28">
        <f>SUM(J333:J366)</f>
        <v>4803300</v>
      </c>
      <c r="K367" s="84">
        <f t="shared" ref="K367" si="17">SUM(G367:J367)</f>
        <v>13812300</v>
      </c>
    </row>
    <row r="368" spans="1:11" s="123" customFormat="1" ht="15.75" x14ac:dyDescent="0.25">
      <c r="A368" s="246" t="s">
        <v>9</v>
      </c>
      <c r="B368" s="247"/>
      <c r="C368" s="247"/>
      <c r="D368" s="247"/>
      <c r="E368" s="247"/>
      <c r="F368" s="247"/>
      <c r="G368" s="37"/>
      <c r="H368" s="37"/>
      <c r="I368" s="37"/>
      <c r="J368" s="37"/>
      <c r="K368" s="89"/>
    </row>
    <row r="369" spans="1:13" s="123" customFormat="1" x14ac:dyDescent="0.25">
      <c r="A369" s="124">
        <v>1</v>
      </c>
      <c r="B369" s="24" t="s">
        <v>160</v>
      </c>
      <c r="C369" s="141" t="s">
        <v>470</v>
      </c>
      <c r="D369" s="24" t="s">
        <v>9</v>
      </c>
      <c r="E369" s="24" t="s">
        <v>9</v>
      </c>
      <c r="F369" s="9" t="s">
        <v>75</v>
      </c>
      <c r="G369" s="33">
        <v>672500</v>
      </c>
      <c r="H369" s="36"/>
      <c r="I369" s="26">
        <v>0</v>
      </c>
      <c r="J369" s="26">
        <v>710000</v>
      </c>
      <c r="K369" s="85">
        <f>SUM(G369:J369)</f>
        <v>1382500</v>
      </c>
    </row>
    <row r="370" spans="1:13" s="123" customFormat="1" ht="15.75" thickBot="1" x14ac:dyDescent="0.3">
      <c r="A370" s="124">
        <v>2</v>
      </c>
      <c r="B370" s="144" t="s">
        <v>466</v>
      </c>
      <c r="C370" s="145" t="s">
        <v>471</v>
      </c>
      <c r="D370" s="143" t="s">
        <v>17</v>
      </c>
      <c r="E370" s="143" t="s">
        <v>9</v>
      </c>
      <c r="F370" s="142" t="s">
        <v>472</v>
      </c>
      <c r="G370" s="110">
        <v>1650000</v>
      </c>
      <c r="H370" s="125"/>
      <c r="I370" s="48">
        <v>1650000</v>
      </c>
      <c r="J370" s="48">
        <v>0</v>
      </c>
      <c r="K370" s="85">
        <f t="shared" ref="K370" si="18">SUM(G370:J370)</f>
        <v>3300000</v>
      </c>
    </row>
    <row r="371" spans="1:13" s="123" customFormat="1" ht="15.75" x14ac:dyDescent="0.25">
      <c r="A371" s="243" t="s">
        <v>3</v>
      </c>
      <c r="B371" s="244"/>
      <c r="C371" s="244"/>
      <c r="D371" s="244"/>
      <c r="E371" s="244"/>
      <c r="F371" s="245"/>
      <c r="G371" s="28">
        <f>SUM(G369:G370)</f>
        <v>2322500</v>
      </c>
      <c r="H371" s="28">
        <f>SUM(H369:H370)</f>
        <v>0</v>
      </c>
      <c r="I371" s="28">
        <f>SUM(I369:I370)</f>
        <v>1650000</v>
      </c>
      <c r="J371" s="28">
        <f>SUM(J369:J370)</f>
        <v>710000</v>
      </c>
      <c r="K371" s="84">
        <f t="shared" ref="K371" si="19">SUM(G371:J371)</f>
        <v>4682500</v>
      </c>
    </row>
    <row r="372" spans="1:13" ht="15.75" x14ac:dyDescent="0.25">
      <c r="A372" s="246" t="s">
        <v>83</v>
      </c>
      <c r="B372" s="247"/>
      <c r="C372" s="247"/>
      <c r="D372" s="247"/>
      <c r="E372" s="247"/>
      <c r="F372" s="247"/>
      <c r="G372" s="37"/>
      <c r="H372" s="37"/>
      <c r="I372" s="37"/>
      <c r="J372" s="37"/>
      <c r="K372" s="89"/>
    </row>
    <row r="373" spans="1:13" s="5" customFormat="1" x14ac:dyDescent="0.25">
      <c r="A373" s="124">
        <v>1</v>
      </c>
      <c r="B373" s="29" t="s">
        <v>172</v>
      </c>
      <c r="C373" s="174" t="s">
        <v>488</v>
      </c>
      <c r="D373" s="30" t="s">
        <v>467</v>
      </c>
      <c r="E373" s="30" t="s">
        <v>467</v>
      </c>
      <c r="F373" s="25" t="s">
        <v>75</v>
      </c>
      <c r="G373" s="33">
        <v>122500</v>
      </c>
      <c r="H373" s="36">
        <v>0</v>
      </c>
      <c r="I373" s="26"/>
      <c r="J373" s="26">
        <v>0</v>
      </c>
      <c r="K373" s="85">
        <f>SUM(G373:J373)</f>
        <v>122500</v>
      </c>
    </row>
    <row r="374" spans="1:13" s="123" customFormat="1" x14ac:dyDescent="0.25">
      <c r="A374" s="124">
        <v>2</v>
      </c>
      <c r="B374" s="30" t="s">
        <v>468</v>
      </c>
      <c r="C374" s="69" t="s">
        <v>303</v>
      </c>
      <c r="D374" s="30" t="s">
        <v>467</v>
      </c>
      <c r="E374" s="30" t="s">
        <v>467</v>
      </c>
      <c r="F374" s="25" t="s">
        <v>75</v>
      </c>
      <c r="G374" s="110">
        <v>77500</v>
      </c>
      <c r="H374" s="125">
        <v>0</v>
      </c>
      <c r="I374" s="48"/>
      <c r="J374" s="48">
        <v>0</v>
      </c>
      <c r="K374" s="85">
        <f t="shared" ref="K374:K377" si="20">SUM(G374:J374)</f>
        <v>77500</v>
      </c>
    </row>
    <row r="375" spans="1:13" s="123" customFormat="1" x14ac:dyDescent="0.25">
      <c r="A375" s="124">
        <v>3</v>
      </c>
      <c r="B375" s="30" t="s">
        <v>469</v>
      </c>
      <c r="C375" s="69" t="s">
        <v>303</v>
      </c>
      <c r="D375" s="30" t="s">
        <v>467</v>
      </c>
      <c r="E375" s="30" t="s">
        <v>467</v>
      </c>
      <c r="F375" s="25" t="s">
        <v>75</v>
      </c>
      <c r="G375" s="110">
        <v>122500</v>
      </c>
      <c r="H375" s="125">
        <v>0</v>
      </c>
      <c r="I375" s="48"/>
      <c r="J375" s="48">
        <v>0</v>
      </c>
      <c r="K375" s="85">
        <f t="shared" si="20"/>
        <v>122500</v>
      </c>
    </row>
    <row r="376" spans="1:13" s="123" customFormat="1" x14ac:dyDescent="0.25">
      <c r="A376" s="124">
        <v>4</v>
      </c>
      <c r="B376" s="30" t="s">
        <v>690</v>
      </c>
      <c r="C376" s="30"/>
      <c r="D376" s="30" t="s">
        <v>467</v>
      </c>
      <c r="E376" s="30" t="s">
        <v>467</v>
      </c>
      <c r="F376" s="25" t="s">
        <v>75</v>
      </c>
      <c r="G376" s="110"/>
      <c r="H376" s="125">
        <v>62500</v>
      </c>
      <c r="I376" s="48"/>
      <c r="J376" s="48">
        <v>0</v>
      </c>
      <c r="K376" s="85">
        <f t="shared" si="20"/>
        <v>62500</v>
      </c>
    </row>
    <row r="377" spans="1:13" s="123" customFormat="1" x14ac:dyDescent="0.25">
      <c r="A377" s="124">
        <v>5</v>
      </c>
      <c r="B377" s="30" t="s">
        <v>691</v>
      </c>
      <c r="C377" s="30"/>
      <c r="D377" s="30" t="s">
        <v>467</v>
      </c>
      <c r="E377" s="30" t="s">
        <v>467</v>
      </c>
      <c r="F377" s="25" t="s">
        <v>75</v>
      </c>
      <c r="G377" s="110"/>
      <c r="H377" s="125"/>
      <c r="I377" s="48"/>
      <c r="J377" s="48">
        <v>55200</v>
      </c>
      <c r="K377" s="85">
        <f t="shared" si="20"/>
        <v>55200</v>
      </c>
    </row>
    <row r="378" spans="1:13" s="123" customFormat="1" ht="15.75" thickBot="1" x14ac:dyDescent="0.3">
      <c r="A378" s="124">
        <v>6</v>
      </c>
      <c r="B378" s="30"/>
      <c r="C378" s="69"/>
      <c r="D378" s="30"/>
      <c r="E378" s="30"/>
      <c r="F378" s="25"/>
      <c r="G378" s="110"/>
      <c r="H378" s="125"/>
      <c r="I378" s="48"/>
      <c r="J378" s="48"/>
      <c r="K378" s="85">
        <f t="shared" ref="K378" si="21">SUM(G378:J378)</f>
        <v>0</v>
      </c>
    </row>
    <row r="379" spans="1:13" s="5" customFormat="1" ht="16.5" thickBot="1" x14ac:dyDescent="0.3">
      <c r="A379" s="243" t="s">
        <v>3</v>
      </c>
      <c r="B379" s="244"/>
      <c r="C379" s="244"/>
      <c r="D379" s="244"/>
      <c r="E379" s="244"/>
      <c r="F379" s="245"/>
      <c r="G379" s="28">
        <f>SUM(G373:G378)</f>
        <v>322500</v>
      </c>
      <c r="H379" s="28">
        <f>SUM(H373:H378)</f>
        <v>62500</v>
      </c>
      <c r="I379" s="28">
        <f>SUM(I373:I378)</f>
        <v>0</v>
      </c>
      <c r="J379" s="28">
        <f>SUM(J373:J378)</f>
        <v>55200</v>
      </c>
      <c r="K379" s="84">
        <f t="shared" ref="K379" si="22">SUM(G379:J379)</f>
        <v>440200</v>
      </c>
    </row>
    <row r="380" spans="1:13" ht="16.5" thickBot="1" x14ac:dyDescent="0.3">
      <c r="A380" s="248" t="s">
        <v>15</v>
      </c>
      <c r="B380" s="249"/>
      <c r="C380" s="249"/>
      <c r="D380" s="249"/>
      <c r="E380" s="249"/>
      <c r="F380" s="250"/>
      <c r="G380" s="104">
        <f>G379+G278+G147+G97+G82+G64+G46+G7+G88+G371+G367+G331+G315+G298</f>
        <v>26655800</v>
      </c>
      <c r="H380" s="104">
        <f>H379+H278+H147+H97+H82+H64+H46+H7+H88+H371+H367+H331+H315+H298</f>
        <v>23733200</v>
      </c>
      <c r="I380" s="104">
        <f>I379+I278+I147+I97+I82+I64+I46+I7+I88+I371+I367+I331+I315+I298</f>
        <v>34409100</v>
      </c>
      <c r="J380" s="104">
        <f>J379+J278+J147+J97+J82+J64+J46+J7+J88+J371+J367+J331+J315+J298</f>
        <v>46853600</v>
      </c>
      <c r="K380" s="103">
        <f>SUM(G380:J380)</f>
        <v>131651700</v>
      </c>
      <c r="M380" s="68"/>
    </row>
    <row r="381" spans="1:13" ht="12.75" customHeight="1" thickTop="1" x14ac:dyDescent="0.25">
      <c r="A381" s="5"/>
      <c r="B381" s="5"/>
      <c r="E381" s="5"/>
      <c r="F381" s="5"/>
      <c r="G381" s="5"/>
      <c r="H381" s="5"/>
      <c r="I381" s="5"/>
      <c r="J381" s="5"/>
      <c r="K381" s="5"/>
    </row>
    <row r="382" spans="1:13" ht="12.75" customHeight="1" x14ac:dyDescent="0.25">
      <c r="A382" s="44" t="s">
        <v>192</v>
      </c>
      <c r="B382" s="123"/>
      <c r="D382" s="123"/>
      <c r="E382" s="118">
        <f>SUM(E383:E387)</f>
        <v>359084300</v>
      </c>
      <c r="F382" s="52"/>
      <c r="G382" s="123"/>
      <c r="H382" s="123"/>
      <c r="I382" s="1"/>
      <c r="J382" s="1"/>
      <c r="K382" s="1"/>
    </row>
    <row r="383" spans="1:13" ht="12.75" customHeight="1" x14ac:dyDescent="0.25">
      <c r="A383" s="44" t="s">
        <v>67</v>
      </c>
      <c r="B383" s="44" t="s">
        <v>61</v>
      </c>
      <c r="C383" s="44"/>
      <c r="D383" s="44"/>
      <c r="E383" s="62">
        <f>'Wil 1'!K192</f>
        <v>170634300</v>
      </c>
      <c r="F383" s="3"/>
      <c r="G383" s="123"/>
      <c r="H383" s="230" t="s">
        <v>168</v>
      </c>
      <c r="I383" s="230"/>
      <c r="J383" s="230"/>
      <c r="K383" s="123"/>
    </row>
    <row r="384" spans="1:13" ht="12.75" customHeight="1" x14ac:dyDescent="0.25">
      <c r="A384" s="44" t="s">
        <v>68</v>
      </c>
      <c r="B384" s="44" t="s">
        <v>62</v>
      </c>
      <c r="C384" s="44"/>
      <c r="D384" s="44"/>
      <c r="E384" s="8">
        <f>K380</f>
        <v>131651700</v>
      </c>
      <c r="F384" s="3"/>
      <c r="G384" s="123"/>
      <c r="H384" s="123"/>
      <c r="I384" s="123"/>
      <c r="J384" s="123"/>
      <c r="K384" s="123"/>
      <c r="M384" s="68"/>
    </row>
    <row r="385" spans="1:11" ht="12.75" customHeight="1" x14ac:dyDescent="0.25">
      <c r="A385" s="44" t="s">
        <v>67</v>
      </c>
      <c r="B385" s="44" t="s">
        <v>69</v>
      </c>
      <c r="C385" s="44"/>
      <c r="D385" s="44"/>
      <c r="E385" s="8">
        <f>MP!D29</f>
        <v>19241000</v>
      </c>
      <c r="F385" s="3"/>
      <c r="G385" s="123"/>
      <c r="H385" s="230"/>
      <c r="I385" s="230"/>
      <c r="J385" s="230"/>
      <c r="K385" s="230"/>
    </row>
    <row r="386" spans="1:11" ht="12.75" customHeight="1" x14ac:dyDescent="0.25">
      <c r="A386" s="44" t="s">
        <v>68</v>
      </c>
      <c r="B386" s="44" t="s">
        <v>57</v>
      </c>
      <c r="C386" s="44"/>
      <c r="D386" s="44"/>
      <c r="E386" s="8">
        <f>'Wil 1'!E198</f>
        <v>16280000</v>
      </c>
      <c r="F386" s="3"/>
      <c r="G386" s="123"/>
      <c r="H386" s="126"/>
      <c r="I386" s="126"/>
      <c r="J386" s="126"/>
      <c r="K386" s="126"/>
    </row>
    <row r="387" spans="1:11" s="123" customFormat="1" ht="12.75" customHeight="1" x14ac:dyDescent="0.25">
      <c r="A387" s="44" t="s">
        <v>67</v>
      </c>
      <c r="B387" s="44" t="s">
        <v>110</v>
      </c>
      <c r="C387" s="44"/>
      <c r="D387" s="44"/>
      <c r="E387" s="8">
        <f>'Wil 1'!E199</f>
        <v>21277300</v>
      </c>
      <c r="F387" s="3"/>
      <c r="H387" s="136"/>
      <c r="I387" s="136"/>
      <c r="J387" s="136"/>
      <c r="K387" s="136"/>
    </row>
    <row r="388" spans="1:11" ht="12.75" customHeight="1" x14ac:dyDescent="0.25">
      <c r="A388" s="44" t="s">
        <v>68</v>
      </c>
      <c r="B388" s="6" t="s">
        <v>63</v>
      </c>
      <c r="C388" s="6"/>
      <c r="D388" s="123"/>
      <c r="E388" s="8">
        <f>'Wil 1'!E200</f>
        <v>2561200</v>
      </c>
      <c r="F388" s="123"/>
      <c r="G388" s="123"/>
      <c r="H388" s="123"/>
      <c r="I388" s="123"/>
      <c r="J388" s="123"/>
      <c r="K388" s="123"/>
    </row>
    <row r="389" spans="1:11" ht="15.75" x14ac:dyDescent="0.25">
      <c r="A389" s="44" t="s">
        <v>67</v>
      </c>
      <c r="B389" s="6" t="s">
        <v>64</v>
      </c>
      <c r="C389" s="6"/>
      <c r="D389" s="123"/>
      <c r="E389" s="8">
        <f>'Wil 1'!E201</f>
        <v>794000</v>
      </c>
      <c r="F389" s="123"/>
      <c r="G389" s="123"/>
      <c r="H389" s="238" t="s">
        <v>80</v>
      </c>
      <c r="I389" s="238"/>
      <c r="J389" s="238"/>
      <c r="K389" s="123"/>
    </row>
    <row r="390" spans="1:11" ht="15.75" x14ac:dyDescent="0.25">
      <c r="A390" s="11" t="s">
        <v>193</v>
      </c>
      <c r="B390" s="11"/>
      <c r="C390" s="11"/>
      <c r="D390" s="11"/>
      <c r="E390" s="60">
        <f>SUM(E383:E389)</f>
        <v>362439500</v>
      </c>
      <c r="F390" s="123"/>
      <c r="G390" s="123"/>
      <c r="H390" s="202" t="s">
        <v>58</v>
      </c>
      <c r="I390" s="202"/>
      <c r="J390" s="202"/>
      <c r="K390" s="123"/>
    </row>
    <row r="391" spans="1:11" x14ac:dyDescent="0.25">
      <c r="A391" s="5"/>
      <c r="B391" s="5"/>
      <c r="E391" s="5"/>
      <c r="F391" s="5"/>
      <c r="G391" s="5"/>
      <c r="H391" s="5"/>
      <c r="I391" s="5"/>
      <c r="J391" s="5"/>
      <c r="K391" s="5"/>
    </row>
    <row r="392" spans="1:11" x14ac:dyDescent="0.25">
      <c r="A392" s="5"/>
      <c r="B392" s="5"/>
      <c r="E392" s="5"/>
      <c r="F392" s="5"/>
      <c r="G392" s="5"/>
      <c r="H392" s="5"/>
      <c r="I392" s="5"/>
      <c r="J392" s="5"/>
      <c r="K392" s="5"/>
    </row>
    <row r="393" spans="1:11" x14ac:dyDescent="0.25">
      <c r="A393" s="5"/>
      <c r="B393" s="5"/>
      <c r="E393" s="5"/>
      <c r="F393" s="5"/>
      <c r="G393" s="5"/>
      <c r="H393" s="5"/>
      <c r="I393" s="5"/>
      <c r="J393" s="5"/>
      <c r="K393" s="5"/>
    </row>
    <row r="394" spans="1:11" x14ac:dyDescent="0.25">
      <c r="A394" s="5"/>
      <c r="B394" s="5"/>
      <c r="E394" s="5"/>
      <c r="F394" s="5"/>
      <c r="G394" s="5"/>
      <c r="H394" s="5"/>
      <c r="I394" s="5"/>
      <c r="J394" s="5"/>
      <c r="K394" s="5"/>
    </row>
    <row r="395" spans="1:11" x14ac:dyDescent="0.25">
      <c r="A395" s="5"/>
      <c r="B395" s="5"/>
      <c r="E395" s="5"/>
      <c r="F395" s="5"/>
      <c r="G395" s="5"/>
      <c r="H395" s="5"/>
      <c r="I395" s="5"/>
      <c r="J395" s="5"/>
      <c r="K395" s="5"/>
    </row>
    <row r="396" spans="1:11" x14ac:dyDescent="0.25">
      <c r="A396" s="5"/>
      <c r="B396" s="5"/>
      <c r="E396" s="5"/>
      <c r="F396" s="5"/>
      <c r="G396" s="5"/>
      <c r="H396" s="5"/>
      <c r="I396" s="5"/>
      <c r="J396" s="5"/>
      <c r="K396" s="5"/>
    </row>
    <row r="397" spans="1:11" x14ac:dyDescent="0.25">
      <c r="A397" s="5"/>
      <c r="B397" s="5"/>
      <c r="E397" s="5"/>
      <c r="F397" s="5"/>
      <c r="G397" s="5"/>
      <c r="H397" s="5"/>
      <c r="I397" s="5"/>
      <c r="J397" s="5"/>
      <c r="K397" s="5"/>
    </row>
    <row r="398" spans="1:11" x14ac:dyDescent="0.25">
      <c r="A398" s="5"/>
      <c r="B398" s="5"/>
      <c r="E398" s="5"/>
      <c r="F398" s="5"/>
      <c r="G398" s="5"/>
      <c r="H398" s="5"/>
      <c r="I398" s="5"/>
      <c r="J398" s="5"/>
      <c r="K398" s="5"/>
    </row>
    <row r="399" spans="1:11" x14ac:dyDescent="0.25">
      <c r="A399" s="5"/>
      <c r="B399" s="5"/>
      <c r="E399" s="5"/>
      <c r="F399" s="5"/>
      <c r="G399" s="5"/>
      <c r="H399" s="5"/>
      <c r="I399" s="5"/>
      <c r="J399" s="5"/>
      <c r="K399" s="5"/>
    </row>
    <row r="400" spans="1:11" x14ac:dyDescent="0.25">
      <c r="A400" s="5"/>
      <c r="B400" s="5"/>
      <c r="E400" s="5"/>
      <c r="F400" s="5"/>
      <c r="G400" s="5"/>
      <c r="H400" s="5"/>
      <c r="I400" s="5"/>
      <c r="J400" s="5"/>
      <c r="K400" s="5"/>
    </row>
    <row r="401" spans="1:11" x14ac:dyDescent="0.25">
      <c r="A401" s="5"/>
      <c r="B401" s="5"/>
      <c r="E401" s="5"/>
      <c r="F401" s="5"/>
      <c r="G401" s="5"/>
      <c r="H401" s="5"/>
      <c r="I401" s="5"/>
      <c r="J401" s="5"/>
      <c r="K401" s="5"/>
    </row>
    <row r="402" spans="1:11" x14ac:dyDescent="0.25">
      <c r="A402" s="5"/>
      <c r="B402" s="5"/>
      <c r="E402" s="5"/>
      <c r="F402" s="5"/>
      <c r="G402" s="5"/>
      <c r="H402" s="5"/>
      <c r="I402" s="5"/>
      <c r="J402" s="5"/>
      <c r="K402" s="5"/>
    </row>
    <row r="403" spans="1:11" x14ac:dyDescent="0.25">
      <c r="A403" s="5"/>
      <c r="B403" s="5"/>
      <c r="E403" s="5"/>
      <c r="F403" s="5"/>
      <c r="G403" s="5"/>
      <c r="H403" s="5"/>
      <c r="I403" s="5"/>
      <c r="J403" s="5"/>
      <c r="K403" s="5"/>
    </row>
  </sheetData>
  <mergeCells count="49">
    <mergeCell ref="A8:F8"/>
    <mergeCell ref="G8:K8"/>
    <mergeCell ref="A7:F7"/>
    <mergeCell ref="A46:F46"/>
    <mergeCell ref="A64:F64"/>
    <mergeCell ref="A1:K2"/>
    <mergeCell ref="A3:A4"/>
    <mergeCell ref="B3:B4"/>
    <mergeCell ref="D3:D4"/>
    <mergeCell ref="E3:E4"/>
    <mergeCell ref="F3:F4"/>
    <mergeCell ref="G3:J3"/>
    <mergeCell ref="K3:K5"/>
    <mergeCell ref="A5:F5"/>
    <mergeCell ref="C3:C4"/>
    <mergeCell ref="A97:F97"/>
    <mergeCell ref="A83:F83"/>
    <mergeCell ref="G83:K83"/>
    <mergeCell ref="A148:F148"/>
    <mergeCell ref="A278:F278"/>
    <mergeCell ref="G148:K148"/>
    <mergeCell ref="A89:F89"/>
    <mergeCell ref="G89:K89"/>
    <mergeCell ref="A88:F88"/>
    <mergeCell ref="A98:F98"/>
    <mergeCell ref="G98:K98"/>
    <mergeCell ref="A147:F147"/>
    <mergeCell ref="G65:K65"/>
    <mergeCell ref="G47:K47"/>
    <mergeCell ref="A65:F65"/>
    <mergeCell ref="A47:F47"/>
    <mergeCell ref="A82:F82"/>
    <mergeCell ref="A279:F279"/>
    <mergeCell ref="A298:F298"/>
    <mergeCell ref="A299:F299"/>
    <mergeCell ref="A315:F315"/>
    <mergeCell ref="A316:F316"/>
    <mergeCell ref="H389:J389"/>
    <mergeCell ref="H390:J390"/>
    <mergeCell ref="A331:F331"/>
    <mergeCell ref="A332:F332"/>
    <mergeCell ref="A367:F367"/>
    <mergeCell ref="A368:F368"/>
    <mergeCell ref="A371:F371"/>
    <mergeCell ref="A372:F372"/>
    <mergeCell ref="A380:F380"/>
    <mergeCell ref="A379:F379"/>
    <mergeCell ref="H383:J383"/>
    <mergeCell ref="H385:K385"/>
  </mergeCells>
  <pageMargins left="0.59055118110236227" right="0.70866141732283472" top="0.74803149606299213" bottom="0.55118110236220474" header="0.31496062992125984" footer="0.31496062992125984"/>
  <pageSetup paperSize="9" scale="9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opLeftCell="A6" workbookViewId="0">
      <selection activeCell="E20" sqref="E20"/>
    </sheetView>
  </sheetViews>
  <sheetFormatPr defaultRowHeight="15" x14ac:dyDescent="0.25"/>
  <cols>
    <col min="1" max="1" width="4.28515625" customWidth="1"/>
    <col min="2" max="2" width="30" customWidth="1"/>
    <col min="3" max="4" width="17.140625" customWidth="1"/>
    <col min="5" max="5" width="12" customWidth="1"/>
    <col min="6" max="6" width="11.85546875" customWidth="1"/>
    <col min="7" max="7" width="12.5703125" customWidth="1"/>
    <col min="8" max="8" width="13.140625" customWidth="1"/>
    <col min="9" max="10" width="11.5703125" bestFit="1" customWidth="1"/>
  </cols>
  <sheetData>
    <row r="1" spans="1:9" ht="15" customHeight="1" x14ac:dyDescent="0.25">
      <c r="A1" s="303" t="s">
        <v>191</v>
      </c>
      <c r="B1" s="303"/>
      <c r="C1" s="303"/>
      <c r="D1" s="303"/>
      <c r="E1" s="303"/>
      <c r="F1" s="303"/>
      <c r="G1" s="303"/>
      <c r="H1" s="303"/>
      <c r="I1" s="303"/>
    </row>
    <row r="2" spans="1:9" ht="15" customHeight="1" thickBot="1" x14ac:dyDescent="0.3">
      <c r="A2" s="303"/>
      <c r="B2" s="303"/>
      <c r="C2" s="303"/>
      <c r="D2" s="303"/>
      <c r="E2" s="303"/>
      <c r="F2" s="303"/>
      <c r="G2" s="303"/>
      <c r="H2" s="303"/>
      <c r="I2" s="303"/>
    </row>
    <row r="3" spans="1:9" ht="15" customHeight="1" thickTop="1" x14ac:dyDescent="0.25">
      <c r="A3" s="304" t="s">
        <v>0</v>
      </c>
      <c r="B3" s="306" t="s">
        <v>1</v>
      </c>
      <c r="C3" s="308" t="s">
        <v>20</v>
      </c>
      <c r="D3" s="306" t="s">
        <v>32</v>
      </c>
      <c r="E3" s="310" t="s">
        <v>2</v>
      </c>
      <c r="F3" s="311"/>
      <c r="G3" s="311"/>
      <c r="H3" s="312"/>
      <c r="I3" s="313" t="s">
        <v>3</v>
      </c>
    </row>
    <row r="4" spans="1:9" ht="15" customHeight="1" x14ac:dyDescent="0.25">
      <c r="A4" s="305"/>
      <c r="B4" s="307"/>
      <c r="C4" s="309"/>
      <c r="D4" s="307"/>
      <c r="E4" s="12" t="s">
        <v>4</v>
      </c>
      <c r="F4" s="13" t="s">
        <v>33</v>
      </c>
      <c r="G4" s="13" t="s">
        <v>34</v>
      </c>
      <c r="H4" s="14" t="s">
        <v>35</v>
      </c>
      <c r="I4" s="314"/>
    </row>
    <row r="5" spans="1:9" ht="15" customHeight="1" x14ac:dyDescent="0.25">
      <c r="A5" s="297" t="s">
        <v>36</v>
      </c>
      <c r="B5" s="298"/>
      <c r="C5" s="298"/>
      <c r="D5" s="298"/>
      <c r="E5" s="12" t="s">
        <v>27</v>
      </c>
      <c r="F5" s="13" t="s">
        <v>28</v>
      </c>
      <c r="G5" s="13" t="s">
        <v>29</v>
      </c>
      <c r="H5" s="14" t="s">
        <v>93</v>
      </c>
      <c r="I5" s="315"/>
    </row>
    <row r="6" spans="1:9" x14ac:dyDescent="0.25">
      <c r="A6" s="86">
        <v>1</v>
      </c>
      <c r="B6" s="119" t="s">
        <v>504</v>
      </c>
      <c r="C6" s="119" t="s">
        <v>505</v>
      </c>
      <c r="D6" s="119" t="s">
        <v>505</v>
      </c>
      <c r="E6" s="27">
        <v>530000</v>
      </c>
      <c r="F6" s="27">
        <v>275000</v>
      </c>
      <c r="G6" s="38">
        <v>310000</v>
      </c>
      <c r="H6" s="27">
        <v>0</v>
      </c>
      <c r="I6" s="93">
        <f>SUM(E6:H6)</f>
        <v>1115000</v>
      </c>
    </row>
    <row r="7" spans="1:9" s="2" customFormat="1" x14ac:dyDescent="0.25">
      <c r="A7" s="86">
        <v>2</v>
      </c>
      <c r="B7" s="120" t="s">
        <v>506</v>
      </c>
      <c r="C7" s="119" t="s">
        <v>505</v>
      </c>
      <c r="D7" s="119" t="s">
        <v>505</v>
      </c>
      <c r="E7" s="27">
        <v>1100000</v>
      </c>
      <c r="F7" s="27">
        <v>880000</v>
      </c>
      <c r="G7" s="38">
        <v>2450000</v>
      </c>
      <c r="H7" s="27">
        <v>1685000</v>
      </c>
      <c r="I7" s="93">
        <f t="shared" ref="I7:I17" si="0">SUM(E7:H7)</f>
        <v>6115000</v>
      </c>
    </row>
    <row r="8" spans="1:9" s="5" customFormat="1" x14ac:dyDescent="0.25">
      <c r="A8" s="86">
        <v>3</v>
      </c>
      <c r="B8" s="120" t="s">
        <v>507</v>
      </c>
      <c r="C8" s="119" t="s">
        <v>508</v>
      </c>
      <c r="D8" s="119" t="s">
        <v>508</v>
      </c>
      <c r="E8" s="27">
        <v>55000</v>
      </c>
      <c r="F8" s="27">
        <v>0</v>
      </c>
      <c r="G8" s="38">
        <v>0</v>
      </c>
      <c r="H8" s="27">
        <v>0</v>
      </c>
      <c r="I8" s="93">
        <f t="shared" si="0"/>
        <v>55000</v>
      </c>
    </row>
    <row r="9" spans="1:9" s="5" customFormat="1" x14ac:dyDescent="0.25">
      <c r="A9" s="86">
        <v>4</v>
      </c>
      <c r="B9" s="120" t="s">
        <v>509</v>
      </c>
      <c r="C9" s="121" t="s">
        <v>505</v>
      </c>
      <c r="D9" s="121" t="s">
        <v>505</v>
      </c>
      <c r="E9" s="27"/>
      <c r="F9" s="27">
        <v>210000</v>
      </c>
      <c r="G9" s="38">
        <v>0</v>
      </c>
      <c r="H9" s="27">
        <v>0</v>
      </c>
      <c r="I9" s="93">
        <f t="shared" si="0"/>
        <v>210000</v>
      </c>
    </row>
    <row r="10" spans="1:9" s="123" customFormat="1" x14ac:dyDescent="0.25">
      <c r="A10" s="86">
        <v>5</v>
      </c>
      <c r="B10" s="120" t="s">
        <v>510</v>
      </c>
      <c r="C10" s="121" t="s">
        <v>511</v>
      </c>
      <c r="D10" s="121" t="s">
        <v>511</v>
      </c>
      <c r="E10" s="27"/>
      <c r="F10" s="27">
        <v>1355000</v>
      </c>
      <c r="G10" s="38">
        <v>1980000</v>
      </c>
      <c r="H10" s="27">
        <v>1650000</v>
      </c>
      <c r="I10" s="93">
        <f t="shared" si="0"/>
        <v>4985000</v>
      </c>
    </row>
    <row r="11" spans="1:9" s="123" customFormat="1" x14ac:dyDescent="0.25">
      <c r="A11" s="86">
        <v>6</v>
      </c>
      <c r="B11" s="119" t="s">
        <v>512</v>
      </c>
      <c r="C11" s="119" t="s">
        <v>505</v>
      </c>
      <c r="D11" s="119" t="s">
        <v>505</v>
      </c>
      <c r="E11" s="27"/>
      <c r="F11" s="27">
        <v>300000</v>
      </c>
      <c r="G11" s="38">
        <v>350000</v>
      </c>
      <c r="H11" s="27">
        <v>0</v>
      </c>
      <c r="I11" s="93">
        <f t="shared" si="0"/>
        <v>650000</v>
      </c>
    </row>
    <row r="12" spans="1:9" s="123" customFormat="1" x14ac:dyDescent="0.25">
      <c r="A12" s="86">
        <v>7</v>
      </c>
      <c r="B12" s="119" t="s">
        <v>513</v>
      </c>
      <c r="C12" s="119" t="s">
        <v>505</v>
      </c>
      <c r="D12" s="119" t="s">
        <v>505</v>
      </c>
      <c r="E12" s="27"/>
      <c r="F12" s="27"/>
      <c r="G12" s="38">
        <v>330000</v>
      </c>
      <c r="H12" s="27">
        <v>0</v>
      </c>
      <c r="I12" s="93">
        <f t="shared" si="0"/>
        <v>330000</v>
      </c>
    </row>
    <row r="13" spans="1:9" s="123" customFormat="1" x14ac:dyDescent="0.25">
      <c r="A13" s="86">
        <v>8</v>
      </c>
      <c r="B13" s="120" t="s">
        <v>710</v>
      </c>
      <c r="C13" s="121" t="s">
        <v>711</v>
      </c>
      <c r="D13" s="121" t="s">
        <v>711</v>
      </c>
      <c r="E13" s="27"/>
      <c r="F13" s="27"/>
      <c r="G13" s="38"/>
      <c r="H13" s="27">
        <v>110000</v>
      </c>
      <c r="I13" s="93">
        <f t="shared" si="0"/>
        <v>110000</v>
      </c>
    </row>
    <row r="14" spans="1:9" s="123" customFormat="1" x14ac:dyDescent="0.25">
      <c r="A14" s="86">
        <v>9</v>
      </c>
      <c r="B14" s="119" t="s">
        <v>712</v>
      </c>
      <c r="C14" s="119" t="s">
        <v>505</v>
      </c>
      <c r="D14" s="119" t="s">
        <v>505</v>
      </c>
      <c r="E14" s="27"/>
      <c r="F14" s="27"/>
      <c r="G14" s="38"/>
      <c r="H14" s="27">
        <v>200000</v>
      </c>
      <c r="I14" s="93">
        <f t="shared" si="0"/>
        <v>200000</v>
      </c>
    </row>
    <row r="15" spans="1:9" s="123" customFormat="1" x14ac:dyDescent="0.25">
      <c r="A15" s="86">
        <v>10</v>
      </c>
      <c r="B15" s="119" t="s">
        <v>713</v>
      </c>
      <c r="C15" s="119" t="s">
        <v>505</v>
      </c>
      <c r="D15" s="119" t="s">
        <v>505</v>
      </c>
      <c r="E15" s="27"/>
      <c r="F15" s="27"/>
      <c r="G15" s="38"/>
      <c r="H15" s="27">
        <v>1882500</v>
      </c>
      <c r="I15" s="93">
        <f t="shared" si="0"/>
        <v>1882500</v>
      </c>
    </row>
    <row r="16" spans="1:9" s="123" customFormat="1" ht="15.75" thickBot="1" x14ac:dyDescent="0.3">
      <c r="A16" s="86">
        <v>11</v>
      </c>
      <c r="B16" s="119" t="s">
        <v>714</v>
      </c>
      <c r="C16" s="119" t="s">
        <v>505</v>
      </c>
      <c r="D16" s="119" t="s">
        <v>505</v>
      </c>
      <c r="E16" s="27"/>
      <c r="F16" s="27"/>
      <c r="G16" s="38"/>
      <c r="H16" s="27">
        <v>462500</v>
      </c>
      <c r="I16" s="93">
        <f t="shared" si="0"/>
        <v>462500</v>
      </c>
    </row>
    <row r="17" spans="1:9" s="5" customFormat="1" ht="15.75" x14ac:dyDescent="0.25">
      <c r="A17" s="294" t="s">
        <v>3</v>
      </c>
      <c r="B17" s="295"/>
      <c r="C17" s="295"/>
      <c r="D17" s="296"/>
      <c r="E17" s="28">
        <f>SUM(E6:E16)</f>
        <v>1685000</v>
      </c>
      <c r="F17" s="28">
        <f>SUM(F6:F16)</f>
        <v>3020000</v>
      </c>
      <c r="G17" s="28">
        <f>SUM(G6:G16)</f>
        <v>5420000</v>
      </c>
      <c r="H17" s="28">
        <f>SUM(H6:H16)</f>
        <v>5990000</v>
      </c>
      <c r="I17" s="94">
        <f t="shared" si="0"/>
        <v>16115000</v>
      </c>
    </row>
    <row r="18" spans="1:9" s="5" customFormat="1" ht="15.75" x14ac:dyDescent="0.25">
      <c r="A18" s="297" t="s">
        <v>37</v>
      </c>
      <c r="B18" s="298"/>
      <c r="C18" s="298"/>
      <c r="D18" s="298"/>
      <c r="E18" s="55"/>
      <c r="F18" s="53"/>
      <c r="G18" s="53"/>
      <c r="H18" s="54"/>
      <c r="I18" s="95"/>
    </row>
    <row r="19" spans="1:9" s="5" customFormat="1" x14ac:dyDescent="0.25">
      <c r="A19" s="86">
        <v>1</v>
      </c>
      <c r="B19" s="120" t="s">
        <v>159</v>
      </c>
      <c r="C19" s="121" t="s">
        <v>16</v>
      </c>
      <c r="D19" s="121" t="s">
        <v>514</v>
      </c>
      <c r="E19" s="31">
        <v>716000</v>
      </c>
      <c r="F19" s="27">
        <v>1320000</v>
      </c>
      <c r="G19" s="27">
        <v>0</v>
      </c>
      <c r="H19" s="27">
        <v>0</v>
      </c>
      <c r="I19" s="93">
        <f t="shared" ref="I19:I22" si="1">SUM(E19:H19)</f>
        <v>2036000</v>
      </c>
    </row>
    <row r="20" spans="1:9" s="123" customFormat="1" x14ac:dyDescent="0.25">
      <c r="A20" s="86">
        <v>2</v>
      </c>
      <c r="B20" s="120" t="s">
        <v>101</v>
      </c>
      <c r="C20" s="121" t="s">
        <v>16</v>
      </c>
      <c r="D20" s="121" t="s">
        <v>515</v>
      </c>
      <c r="E20" s="27"/>
      <c r="F20" s="27">
        <v>220000</v>
      </c>
      <c r="G20" s="27">
        <v>165000</v>
      </c>
      <c r="H20" s="27">
        <v>220000</v>
      </c>
      <c r="I20" s="93">
        <f t="shared" si="1"/>
        <v>605000</v>
      </c>
    </row>
    <row r="21" spans="1:9" s="123" customFormat="1" x14ac:dyDescent="0.25">
      <c r="A21" s="86">
        <v>3</v>
      </c>
      <c r="B21" s="120" t="s">
        <v>715</v>
      </c>
      <c r="C21" s="121" t="s">
        <v>716</v>
      </c>
      <c r="D21" s="121" t="s">
        <v>716</v>
      </c>
      <c r="E21" s="27"/>
      <c r="F21" s="27"/>
      <c r="G21" s="27"/>
      <c r="H21" s="27">
        <v>165000</v>
      </c>
      <c r="I21" s="93">
        <f t="shared" si="1"/>
        <v>165000</v>
      </c>
    </row>
    <row r="22" spans="1:9" s="123" customFormat="1" ht="15.75" thickBot="1" x14ac:dyDescent="0.3">
      <c r="A22" s="86">
        <v>4</v>
      </c>
      <c r="B22" s="120" t="s">
        <v>101</v>
      </c>
      <c r="C22" s="121" t="s">
        <v>16</v>
      </c>
      <c r="D22" s="121" t="s">
        <v>145</v>
      </c>
      <c r="E22" s="27"/>
      <c r="F22" s="27"/>
      <c r="G22" s="27"/>
      <c r="H22" s="27">
        <v>320000</v>
      </c>
      <c r="I22" s="93">
        <f t="shared" si="1"/>
        <v>320000</v>
      </c>
    </row>
    <row r="23" spans="1:9" s="2" customFormat="1" ht="16.5" thickBot="1" x14ac:dyDescent="0.3">
      <c r="A23" s="299" t="s">
        <v>8</v>
      </c>
      <c r="B23" s="300"/>
      <c r="C23" s="300"/>
      <c r="D23" s="300"/>
      <c r="E23" s="61">
        <f>SUM(E19:E22)</f>
        <v>716000</v>
      </c>
      <c r="F23" s="61">
        <f>SUM(F19:F22)</f>
        <v>1540000</v>
      </c>
      <c r="G23" s="61">
        <f>SUM(G19:G22)</f>
        <v>165000</v>
      </c>
      <c r="H23" s="61">
        <f>SUM(H19:H22)</f>
        <v>705000</v>
      </c>
      <c r="I23" s="96">
        <f>SUM(E23:H23)</f>
        <v>3126000</v>
      </c>
    </row>
    <row r="24" spans="1:9" s="5" customFormat="1" ht="17.25" thickTop="1" thickBot="1" x14ac:dyDescent="0.3">
      <c r="A24" s="301" t="s">
        <v>15</v>
      </c>
      <c r="B24" s="302"/>
      <c r="C24" s="302"/>
      <c r="D24" s="302"/>
      <c r="E24" s="56">
        <f>E17+E23</f>
        <v>2401000</v>
      </c>
      <c r="F24" s="57">
        <f>F17+F23</f>
        <v>4560000</v>
      </c>
      <c r="G24" s="57">
        <f>G17+G23</f>
        <v>5585000</v>
      </c>
      <c r="H24" s="57">
        <f>H17+H23</f>
        <v>6695000</v>
      </c>
      <c r="I24" s="97">
        <f>SUM(E24:H24)</f>
        <v>19241000</v>
      </c>
    </row>
    <row r="25" spans="1:9" s="5" customFormat="1" ht="15.75" thickTop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5.75" x14ac:dyDescent="0.25">
      <c r="A26" s="44" t="s">
        <v>192</v>
      </c>
      <c r="B26" s="123"/>
      <c r="C26" s="123"/>
      <c r="D26" s="118">
        <f>SUM(D27:D31)</f>
        <v>359084300</v>
      </c>
      <c r="E26" s="52"/>
      <c r="F26" s="123"/>
      <c r="G26" s="123"/>
      <c r="H26" s="1"/>
      <c r="I26" s="1"/>
    </row>
    <row r="27" spans="1:9" x14ac:dyDescent="0.25">
      <c r="A27" s="44" t="s">
        <v>67</v>
      </c>
      <c r="B27" s="44" t="s">
        <v>61</v>
      </c>
      <c r="C27" s="44"/>
      <c r="D27" s="62">
        <f>'Wil 1'!K192</f>
        <v>170634300</v>
      </c>
      <c r="E27" s="3"/>
      <c r="F27" s="123"/>
      <c r="G27" s="230" t="s">
        <v>168</v>
      </c>
      <c r="H27" s="230"/>
      <c r="I27" s="230"/>
    </row>
    <row r="28" spans="1:9" x14ac:dyDescent="0.25">
      <c r="A28" s="44" t="s">
        <v>68</v>
      </c>
      <c r="B28" s="44" t="s">
        <v>62</v>
      </c>
      <c r="C28" s="44"/>
      <c r="D28" s="8">
        <f>'Wil 2'!K380</f>
        <v>131651700</v>
      </c>
      <c r="E28" s="3"/>
      <c r="F28" s="123"/>
      <c r="G28" s="123"/>
      <c r="H28" s="123"/>
      <c r="I28" s="123"/>
    </row>
    <row r="29" spans="1:9" s="2" customFormat="1" x14ac:dyDescent="0.25">
      <c r="A29" s="44" t="s">
        <v>66</v>
      </c>
      <c r="B29" s="44" t="s">
        <v>69</v>
      </c>
      <c r="C29" s="44"/>
      <c r="D29" s="8">
        <f>I24</f>
        <v>19241000</v>
      </c>
      <c r="E29" s="3"/>
      <c r="F29" s="123"/>
      <c r="G29" s="230"/>
      <c r="H29" s="230"/>
      <c r="I29" s="230"/>
    </row>
    <row r="30" spans="1:9" s="5" customFormat="1" x14ac:dyDescent="0.25">
      <c r="A30" s="44" t="s">
        <v>135</v>
      </c>
      <c r="B30" s="44" t="s">
        <v>57</v>
      </c>
      <c r="C30" s="44"/>
      <c r="D30" s="8">
        <f>'Wil 1'!E198</f>
        <v>16280000</v>
      </c>
      <c r="E30" s="3"/>
      <c r="F30" s="123"/>
      <c r="G30" s="126"/>
      <c r="H30" s="126"/>
      <c r="I30" s="126"/>
    </row>
    <row r="31" spans="1:9" s="123" customFormat="1" x14ac:dyDescent="0.25">
      <c r="A31" s="44" t="s">
        <v>65</v>
      </c>
      <c r="B31" s="44" t="s">
        <v>110</v>
      </c>
      <c r="C31" s="44"/>
      <c r="D31" s="8">
        <f>'Wil 1'!E199</f>
        <v>21277300</v>
      </c>
      <c r="E31" s="3"/>
      <c r="G31" s="136"/>
      <c r="H31" s="136"/>
      <c r="I31" s="136"/>
    </row>
    <row r="32" spans="1:9" s="5" customFormat="1" x14ac:dyDescent="0.25">
      <c r="A32" s="44" t="s">
        <v>136</v>
      </c>
      <c r="B32" s="6" t="s">
        <v>63</v>
      </c>
      <c r="C32" s="123"/>
      <c r="D32" s="8">
        <v>0</v>
      </c>
      <c r="E32" s="123"/>
      <c r="F32" s="123"/>
      <c r="G32" s="123"/>
      <c r="H32" s="123"/>
      <c r="I32" s="123"/>
    </row>
    <row r="33" spans="1:9" ht="15.75" x14ac:dyDescent="0.25">
      <c r="A33" s="44" t="s">
        <v>137</v>
      </c>
      <c r="B33" s="6" t="s">
        <v>64</v>
      </c>
      <c r="C33" s="123"/>
      <c r="D33" s="8">
        <v>0</v>
      </c>
      <c r="E33" s="123"/>
      <c r="F33" s="123"/>
      <c r="G33" s="238" t="s">
        <v>80</v>
      </c>
      <c r="H33" s="238"/>
      <c r="I33" s="238"/>
    </row>
    <row r="34" spans="1:9" ht="15.75" x14ac:dyDescent="0.25">
      <c r="A34" s="11" t="s">
        <v>193</v>
      </c>
      <c r="B34" s="11"/>
      <c r="C34" s="11"/>
      <c r="D34" s="60">
        <f>SUM(D27:D33)</f>
        <v>359084300</v>
      </c>
      <c r="E34" s="123"/>
      <c r="F34" s="123"/>
      <c r="G34" s="202" t="s">
        <v>58</v>
      </c>
      <c r="H34" s="202"/>
      <c r="I34" s="202"/>
    </row>
    <row r="35" spans="1:9" s="2" customFormat="1" x14ac:dyDescent="0.25">
      <c r="A35"/>
      <c r="B35"/>
      <c r="C35"/>
      <c r="D35"/>
      <c r="E35"/>
      <c r="F35"/>
      <c r="G35"/>
      <c r="H35"/>
    </row>
  </sheetData>
  <mergeCells count="16">
    <mergeCell ref="A1:I2"/>
    <mergeCell ref="A3:A4"/>
    <mergeCell ref="B3:B4"/>
    <mergeCell ref="C3:C4"/>
    <mergeCell ref="D3:D4"/>
    <mergeCell ref="E3:H3"/>
    <mergeCell ref="I3:I5"/>
    <mergeCell ref="A5:D5"/>
    <mergeCell ref="G34:I34"/>
    <mergeCell ref="G27:I27"/>
    <mergeCell ref="G29:I29"/>
    <mergeCell ref="G33:I33"/>
    <mergeCell ref="A17:D17"/>
    <mergeCell ref="A18:D18"/>
    <mergeCell ref="A23:D23"/>
    <mergeCell ref="A24:D24"/>
  </mergeCells>
  <pageMargins left="1.1023622047244095" right="0.70866141732283472" top="0.55118110236220474" bottom="0.55118110236220474" header="0.31496062992125984" footer="0.31496062992125984"/>
  <pageSetup paperSize="9" scale="9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3"/>
  <sheetViews>
    <sheetView zoomScaleNormal="100" workbookViewId="0">
      <pane ySplit="4" topLeftCell="A185" activePane="bottomLeft" state="frozen"/>
      <selection pane="bottomLeft" activeCell="A186" sqref="B186:B191"/>
    </sheetView>
  </sheetViews>
  <sheetFormatPr defaultRowHeight="15" x14ac:dyDescent="0.25"/>
  <cols>
    <col min="1" max="1" width="3.85546875" customWidth="1"/>
    <col min="2" max="2" width="23.5703125" customWidth="1"/>
    <col min="3" max="3" width="13.28515625" style="5" customWidth="1"/>
    <col min="4" max="4" width="16.42578125" customWidth="1"/>
    <col min="5" max="5" width="18.42578125" customWidth="1"/>
    <col min="6" max="6" width="12.42578125" customWidth="1"/>
    <col min="7" max="7" width="12.5703125" customWidth="1"/>
    <col min="8" max="8" width="11.5703125" customWidth="1"/>
    <col min="9" max="9" width="12.5703125" customWidth="1"/>
    <col min="10" max="10" width="11.85546875" customWidth="1"/>
  </cols>
  <sheetData>
    <row r="1" spans="1:13" ht="15" customHeight="1" x14ac:dyDescent="0.25">
      <c r="A1" s="231" t="s">
        <v>166</v>
      </c>
      <c r="B1" s="231"/>
      <c r="C1" s="231"/>
      <c r="D1" s="231"/>
      <c r="E1" s="231"/>
      <c r="F1" s="231"/>
      <c r="G1" s="231"/>
      <c r="H1" s="231"/>
      <c r="I1" s="231"/>
      <c r="J1" s="231"/>
      <c r="K1" s="5"/>
    </row>
    <row r="2" spans="1:13" ht="15" customHeight="1" x14ac:dyDescent="0.25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5"/>
    </row>
    <row r="3" spans="1:13" x14ac:dyDescent="0.25">
      <c r="A3" s="344" t="s">
        <v>0</v>
      </c>
      <c r="B3" s="345" t="s">
        <v>1</v>
      </c>
      <c r="C3" s="355" t="s">
        <v>20</v>
      </c>
      <c r="D3" s="355" t="s">
        <v>38</v>
      </c>
      <c r="E3" s="355" t="s">
        <v>21</v>
      </c>
      <c r="F3" s="346" t="s">
        <v>39</v>
      </c>
      <c r="G3" s="347"/>
      <c r="H3" s="347"/>
      <c r="I3" s="348"/>
      <c r="J3" s="349" t="s">
        <v>3</v>
      </c>
      <c r="K3" s="5"/>
    </row>
    <row r="4" spans="1:13" x14ac:dyDescent="0.25">
      <c r="A4" s="344"/>
      <c r="B4" s="345"/>
      <c r="C4" s="356"/>
      <c r="D4" s="356"/>
      <c r="E4" s="356"/>
      <c r="F4" s="15" t="s">
        <v>40</v>
      </c>
      <c r="G4" s="15" t="s">
        <v>41</v>
      </c>
      <c r="H4" s="15" t="s">
        <v>42</v>
      </c>
      <c r="I4" s="15" t="s">
        <v>43</v>
      </c>
      <c r="J4" s="350"/>
    </row>
    <row r="5" spans="1:13" x14ac:dyDescent="0.25">
      <c r="A5" s="352" t="s">
        <v>5</v>
      </c>
      <c r="B5" s="353"/>
      <c r="C5" s="353"/>
      <c r="D5" s="353"/>
      <c r="E5" s="354"/>
      <c r="F5" s="16" t="s">
        <v>44</v>
      </c>
      <c r="G5" s="16" t="s">
        <v>45</v>
      </c>
      <c r="H5" s="16" t="s">
        <v>46</v>
      </c>
      <c r="I5" s="17" t="s">
        <v>89</v>
      </c>
      <c r="J5" s="351"/>
    </row>
    <row r="6" spans="1:13" ht="14.25" customHeight="1" x14ac:dyDescent="0.25">
      <c r="A6" s="179">
        <v>1</v>
      </c>
      <c r="B6" s="63" t="s">
        <v>142</v>
      </c>
      <c r="C6" s="64" t="s">
        <v>5</v>
      </c>
      <c r="D6" s="64" t="s">
        <v>5</v>
      </c>
      <c r="E6" s="64" t="s">
        <v>95</v>
      </c>
      <c r="F6" s="58">
        <v>56000</v>
      </c>
      <c r="G6" s="58">
        <v>103000</v>
      </c>
      <c r="H6" s="58"/>
      <c r="I6" s="58">
        <v>158500</v>
      </c>
      <c r="J6" s="58">
        <f t="shared" ref="J6:J32" si="0">SUM(F6:I6)</f>
        <v>317500</v>
      </c>
      <c r="M6" s="68"/>
    </row>
    <row r="7" spans="1:13" ht="14.25" customHeight="1" x14ac:dyDescent="0.25">
      <c r="A7" s="179">
        <v>2</v>
      </c>
      <c r="B7" s="180" t="s">
        <v>119</v>
      </c>
      <c r="C7" s="64" t="s">
        <v>5</v>
      </c>
      <c r="D7" s="64" t="s">
        <v>5</v>
      </c>
      <c r="E7" s="64" t="s">
        <v>75</v>
      </c>
      <c r="F7" s="58">
        <v>2000</v>
      </c>
      <c r="G7" s="58"/>
      <c r="H7" s="58"/>
      <c r="I7" s="132"/>
      <c r="J7" s="58">
        <f t="shared" si="0"/>
        <v>2000</v>
      </c>
    </row>
    <row r="8" spans="1:13" ht="14.25" customHeight="1" x14ac:dyDescent="0.25">
      <c r="A8" s="179">
        <v>3</v>
      </c>
      <c r="B8" s="180" t="s">
        <v>133</v>
      </c>
      <c r="C8" s="64" t="s">
        <v>5</v>
      </c>
      <c r="D8" s="64" t="s">
        <v>5</v>
      </c>
      <c r="E8" s="64" t="s">
        <v>95</v>
      </c>
      <c r="F8" s="58">
        <v>110000</v>
      </c>
      <c r="G8" s="58">
        <v>70000</v>
      </c>
      <c r="H8" s="58"/>
      <c r="I8" s="58">
        <v>162000</v>
      </c>
      <c r="J8" s="58">
        <f t="shared" si="0"/>
        <v>342000</v>
      </c>
    </row>
    <row r="9" spans="1:13" ht="14.25" customHeight="1" x14ac:dyDescent="0.25">
      <c r="A9" s="179">
        <v>4</v>
      </c>
      <c r="B9" s="180" t="s">
        <v>165</v>
      </c>
      <c r="C9" s="64" t="s">
        <v>5</v>
      </c>
      <c r="D9" s="64" t="s">
        <v>5</v>
      </c>
      <c r="E9" s="64" t="s">
        <v>75</v>
      </c>
      <c r="F9" s="58">
        <v>20000</v>
      </c>
      <c r="G9" s="58"/>
      <c r="H9" s="58"/>
      <c r="I9" s="58"/>
      <c r="J9" s="58">
        <f t="shared" si="0"/>
        <v>20000</v>
      </c>
    </row>
    <row r="10" spans="1:13" ht="14.25" customHeight="1" x14ac:dyDescent="0.25">
      <c r="A10" s="179">
        <v>5</v>
      </c>
      <c r="B10" s="63" t="s">
        <v>148</v>
      </c>
      <c r="C10" s="64" t="s">
        <v>5</v>
      </c>
      <c r="D10" s="64" t="s">
        <v>5</v>
      </c>
      <c r="E10" s="64" t="s">
        <v>95</v>
      </c>
      <c r="F10" s="58">
        <v>80000</v>
      </c>
      <c r="G10" s="58"/>
      <c r="H10" s="58">
        <v>55000</v>
      </c>
      <c r="I10" s="58">
        <v>100000</v>
      </c>
      <c r="J10" s="58">
        <f t="shared" si="0"/>
        <v>235000</v>
      </c>
    </row>
    <row r="11" spans="1:13" ht="14.25" customHeight="1" x14ac:dyDescent="0.25">
      <c r="A11" s="179">
        <v>6</v>
      </c>
      <c r="B11" s="180" t="s">
        <v>173</v>
      </c>
      <c r="C11" s="64" t="s">
        <v>5</v>
      </c>
      <c r="D11" s="64" t="s">
        <v>5</v>
      </c>
      <c r="E11" s="64" t="s">
        <v>95</v>
      </c>
      <c r="F11" s="58">
        <v>100000</v>
      </c>
      <c r="G11" s="58"/>
      <c r="H11" s="58"/>
      <c r="I11" s="58">
        <v>100000</v>
      </c>
      <c r="J11" s="58">
        <f t="shared" si="0"/>
        <v>200000</v>
      </c>
    </row>
    <row r="12" spans="1:13" ht="14.25" customHeight="1" x14ac:dyDescent="0.25">
      <c r="A12" s="179">
        <v>7</v>
      </c>
      <c r="B12" s="180" t="s">
        <v>138</v>
      </c>
      <c r="C12" s="64" t="s">
        <v>5</v>
      </c>
      <c r="D12" s="64" t="s">
        <v>5</v>
      </c>
      <c r="E12" s="64" t="s">
        <v>95</v>
      </c>
      <c r="F12" s="58">
        <v>50000</v>
      </c>
      <c r="G12" s="58">
        <v>50000</v>
      </c>
      <c r="H12" s="58">
        <v>130000</v>
      </c>
      <c r="I12" s="58">
        <v>250000</v>
      </c>
      <c r="J12" s="58">
        <f t="shared" si="0"/>
        <v>480000</v>
      </c>
    </row>
    <row r="13" spans="1:13" ht="14.25" customHeight="1" x14ac:dyDescent="0.25">
      <c r="A13" s="179">
        <v>8</v>
      </c>
      <c r="B13" s="180" t="s">
        <v>156</v>
      </c>
      <c r="C13" s="64" t="s">
        <v>5</v>
      </c>
      <c r="D13" s="64" t="s">
        <v>5</v>
      </c>
      <c r="E13" s="64" t="s">
        <v>95</v>
      </c>
      <c r="F13" s="58">
        <v>50000</v>
      </c>
      <c r="G13" s="58"/>
      <c r="H13" s="58"/>
      <c r="I13" s="58">
        <v>60000</v>
      </c>
      <c r="J13" s="58">
        <f t="shared" si="0"/>
        <v>110000</v>
      </c>
    </row>
    <row r="14" spans="1:13" ht="14.25" customHeight="1" x14ac:dyDescent="0.25">
      <c r="A14" s="179">
        <v>9</v>
      </c>
      <c r="B14" s="63" t="s">
        <v>152</v>
      </c>
      <c r="C14" s="64" t="s">
        <v>5</v>
      </c>
      <c r="D14" s="64" t="s">
        <v>5</v>
      </c>
      <c r="E14" s="64" t="s">
        <v>95</v>
      </c>
      <c r="F14" s="58">
        <v>50000</v>
      </c>
      <c r="G14" s="58"/>
      <c r="H14" s="58"/>
      <c r="I14" s="58">
        <v>70000</v>
      </c>
      <c r="J14" s="58">
        <f t="shared" si="0"/>
        <v>120000</v>
      </c>
    </row>
    <row r="15" spans="1:13" ht="14.25" customHeight="1" x14ac:dyDescent="0.25">
      <c r="A15" s="179">
        <v>10</v>
      </c>
      <c r="B15" s="63" t="s">
        <v>94</v>
      </c>
      <c r="C15" s="64" t="s">
        <v>5</v>
      </c>
      <c r="D15" s="64" t="s">
        <v>5</v>
      </c>
      <c r="E15" s="64" t="s">
        <v>95</v>
      </c>
      <c r="F15" s="58">
        <v>30000</v>
      </c>
      <c r="G15" s="58"/>
      <c r="H15" s="58"/>
      <c r="I15" s="58">
        <v>130000</v>
      </c>
      <c r="J15" s="58">
        <f t="shared" si="0"/>
        <v>160000</v>
      </c>
    </row>
    <row r="16" spans="1:13" ht="14.25" customHeight="1" x14ac:dyDescent="0.25">
      <c r="A16" s="179">
        <v>11</v>
      </c>
      <c r="B16" s="180" t="s">
        <v>180</v>
      </c>
      <c r="C16" s="64" t="s">
        <v>5</v>
      </c>
      <c r="D16" s="64" t="s">
        <v>5</v>
      </c>
      <c r="E16" s="64" t="s">
        <v>75</v>
      </c>
      <c r="F16" s="58">
        <v>4000</v>
      </c>
      <c r="G16" s="58"/>
      <c r="H16" s="58"/>
      <c r="I16" s="58"/>
      <c r="J16" s="58">
        <f t="shared" si="0"/>
        <v>4000</v>
      </c>
      <c r="K16" s="77"/>
      <c r="L16" s="101"/>
      <c r="M16" s="68"/>
    </row>
    <row r="17" spans="1:12" ht="14.25" customHeight="1" x14ac:dyDescent="0.25">
      <c r="A17" s="179">
        <v>12</v>
      </c>
      <c r="B17" s="180" t="s">
        <v>150</v>
      </c>
      <c r="C17" s="64" t="s">
        <v>5</v>
      </c>
      <c r="D17" s="64" t="s">
        <v>5</v>
      </c>
      <c r="E17" s="64" t="s">
        <v>75</v>
      </c>
      <c r="F17" s="58"/>
      <c r="G17" s="58">
        <v>50000</v>
      </c>
      <c r="H17" s="58"/>
      <c r="I17" s="58"/>
      <c r="J17" s="58">
        <f t="shared" si="0"/>
        <v>50000</v>
      </c>
    </row>
    <row r="18" spans="1:12" s="2" customFormat="1" ht="14.25" customHeight="1" x14ac:dyDescent="0.25">
      <c r="A18" s="179">
        <v>13</v>
      </c>
      <c r="B18" s="180" t="s">
        <v>116</v>
      </c>
      <c r="C18" s="64" t="s">
        <v>5</v>
      </c>
      <c r="D18" s="64" t="s">
        <v>5</v>
      </c>
      <c r="E18" s="64" t="s">
        <v>75</v>
      </c>
      <c r="F18" s="58"/>
      <c r="G18" s="58">
        <v>10000</v>
      </c>
      <c r="H18" s="58"/>
      <c r="I18" s="58"/>
      <c r="J18" s="58">
        <f t="shared" si="0"/>
        <v>10000</v>
      </c>
      <c r="K18"/>
      <c r="L18" s="68"/>
    </row>
    <row r="19" spans="1:12" s="2" customFormat="1" ht="14.25" customHeight="1" x14ac:dyDescent="0.25">
      <c r="A19" s="179">
        <v>14</v>
      </c>
      <c r="B19" s="180" t="s">
        <v>183</v>
      </c>
      <c r="C19" s="64" t="s">
        <v>5</v>
      </c>
      <c r="D19" s="64" t="s">
        <v>5</v>
      </c>
      <c r="E19" s="64" t="s">
        <v>75</v>
      </c>
      <c r="F19" s="58"/>
      <c r="G19" s="58">
        <v>10000</v>
      </c>
      <c r="H19" s="58"/>
      <c r="I19" s="58"/>
      <c r="J19" s="58">
        <f t="shared" si="0"/>
        <v>10000</v>
      </c>
      <c r="K19"/>
    </row>
    <row r="20" spans="1:12" s="4" customFormat="1" ht="14.25" customHeight="1" x14ac:dyDescent="0.25">
      <c r="A20" s="179">
        <v>15</v>
      </c>
      <c r="B20" s="180" t="s">
        <v>141</v>
      </c>
      <c r="C20" s="64" t="s">
        <v>5</v>
      </c>
      <c r="D20" s="64" t="s">
        <v>5</v>
      </c>
      <c r="E20" s="64" t="s">
        <v>95</v>
      </c>
      <c r="F20" s="58"/>
      <c r="G20" s="58">
        <v>50000</v>
      </c>
      <c r="H20" s="58"/>
      <c r="I20" s="58">
        <v>40000</v>
      </c>
      <c r="J20" s="58">
        <f t="shared" si="0"/>
        <v>90000</v>
      </c>
      <c r="K20"/>
    </row>
    <row r="21" spans="1:12" s="5" customFormat="1" ht="14.25" customHeight="1" x14ac:dyDescent="0.25">
      <c r="A21" s="179">
        <v>16</v>
      </c>
      <c r="B21" s="64" t="s">
        <v>185</v>
      </c>
      <c r="C21" s="64" t="s">
        <v>5</v>
      </c>
      <c r="D21" s="64" t="s">
        <v>5</v>
      </c>
      <c r="E21" s="64" t="s">
        <v>75</v>
      </c>
      <c r="F21" s="58"/>
      <c r="G21" s="58">
        <v>10000</v>
      </c>
      <c r="H21" s="58"/>
      <c r="I21" s="58"/>
      <c r="J21" s="58">
        <f t="shared" si="0"/>
        <v>10000</v>
      </c>
      <c r="K21"/>
    </row>
    <row r="22" spans="1:12" s="5" customFormat="1" ht="14.25" customHeight="1" x14ac:dyDescent="0.25">
      <c r="A22" s="179">
        <v>17</v>
      </c>
      <c r="B22" s="63" t="s">
        <v>502</v>
      </c>
      <c r="C22" s="64" t="s">
        <v>5</v>
      </c>
      <c r="D22" s="64" t="s">
        <v>5</v>
      </c>
      <c r="E22" s="64" t="s">
        <v>95</v>
      </c>
      <c r="F22" s="58"/>
      <c r="G22" s="58"/>
      <c r="H22" s="58">
        <v>50000</v>
      </c>
      <c r="I22" s="58"/>
      <c r="J22" s="58">
        <f t="shared" si="0"/>
        <v>50000</v>
      </c>
    </row>
    <row r="23" spans="1:12" s="123" customFormat="1" ht="14.25" customHeight="1" x14ac:dyDescent="0.25">
      <c r="A23" s="179">
        <v>18</v>
      </c>
      <c r="B23" s="63" t="s">
        <v>195</v>
      </c>
      <c r="C23" s="64" t="s">
        <v>16</v>
      </c>
      <c r="D23" s="64" t="s">
        <v>5</v>
      </c>
      <c r="E23" s="64" t="s">
        <v>96</v>
      </c>
      <c r="F23" s="58"/>
      <c r="G23" s="58"/>
      <c r="H23" s="58"/>
      <c r="I23" s="58">
        <v>18000</v>
      </c>
      <c r="J23" s="58">
        <f t="shared" si="0"/>
        <v>18000</v>
      </c>
    </row>
    <row r="24" spans="1:12" s="123" customFormat="1" ht="14.25" customHeight="1" x14ac:dyDescent="0.25">
      <c r="A24" s="179">
        <v>19</v>
      </c>
      <c r="B24" s="63" t="s">
        <v>728</v>
      </c>
      <c r="C24" s="64" t="s">
        <v>5</v>
      </c>
      <c r="D24" s="64" t="s">
        <v>5</v>
      </c>
      <c r="E24" s="64" t="s">
        <v>95</v>
      </c>
      <c r="F24" s="58"/>
      <c r="G24" s="58"/>
      <c r="H24" s="58"/>
      <c r="I24" s="58">
        <v>20000</v>
      </c>
      <c r="J24" s="58">
        <f t="shared" si="0"/>
        <v>20000</v>
      </c>
    </row>
    <row r="25" spans="1:12" s="5" customFormat="1" ht="14.25" customHeight="1" x14ac:dyDescent="0.25">
      <c r="A25" s="179">
        <v>20</v>
      </c>
      <c r="B25" s="63" t="s">
        <v>116</v>
      </c>
      <c r="C25" s="64" t="s">
        <v>5</v>
      </c>
      <c r="D25" s="64" t="s">
        <v>5</v>
      </c>
      <c r="E25" s="64" t="s">
        <v>75</v>
      </c>
      <c r="F25" s="58"/>
      <c r="G25" s="58"/>
      <c r="H25" s="58"/>
      <c r="I25" s="58">
        <v>30000</v>
      </c>
      <c r="J25" s="58">
        <f t="shared" si="0"/>
        <v>30000</v>
      </c>
    </row>
    <row r="26" spans="1:12" s="123" customFormat="1" ht="14.25" customHeight="1" x14ac:dyDescent="0.25">
      <c r="A26" s="179">
        <v>21</v>
      </c>
      <c r="B26" s="63" t="s">
        <v>203</v>
      </c>
      <c r="C26" s="64" t="s">
        <v>5</v>
      </c>
      <c r="D26" s="64" t="s">
        <v>5</v>
      </c>
      <c r="E26" s="64" t="s">
        <v>95</v>
      </c>
      <c r="F26" s="58"/>
      <c r="G26" s="58"/>
      <c r="H26" s="58"/>
      <c r="I26" s="58">
        <v>70000</v>
      </c>
      <c r="J26" s="58">
        <f t="shared" si="0"/>
        <v>70000</v>
      </c>
    </row>
    <row r="27" spans="1:12" s="123" customFormat="1" ht="14.25" customHeight="1" x14ac:dyDescent="0.25">
      <c r="A27" s="179">
        <v>22</v>
      </c>
      <c r="B27" s="63" t="s">
        <v>343</v>
      </c>
      <c r="C27" s="64" t="s">
        <v>5</v>
      </c>
      <c r="D27" s="64" t="s">
        <v>5</v>
      </c>
      <c r="E27" s="64" t="s">
        <v>95</v>
      </c>
      <c r="F27" s="58"/>
      <c r="G27" s="58"/>
      <c r="H27" s="58"/>
      <c r="I27" s="58">
        <v>50000</v>
      </c>
      <c r="J27" s="58">
        <f t="shared" si="0"/>
        <v>50000</v>
      </c>
    </row>
    <row r="28" spans="1:12" s="123" customFormat="1" ht="14.25" customHeight="1" x14ac:dyDescent="0.25">
      <c r="A28" s="179">
        <v>23</v>
      </c>
      <c r="B28" s="63" t="s">
        <v>739</v>
      </c>
      <c r="C28" s="64" t="s">
        <v>5</v>
      </c>
      <c r="D28" s="64" t="s">
        <v>5</v>
      </c>
      <c r="E28" s="64" t="s">
        <v>75</v>
      </c>
      <c r="F28" s="58"/>
      <c r="G28" s="58"/>
      <c r="H28" s="58"/>
      <c r="I28" s="58">
        <v>15000</v>
      </c>
      <c r="J28" s="58">
        <f t="shared" si="0"/>
        <v>15000</v>
      </c>
    </row>
    <row r="29" spans="1:12" s="123" customFormat="1" ht="14.25" customHeight="1" x14ac:dyDescent="0.25">
      <c r="A29" s="179">
        <v>24</v>
      </c>
      <c r="B29" s="63" t="s">
        <v>738</v>
      </c>
      <c r="C29" s="64" t="s">
        <v>5</v>
      </c>
      <c r="D29" s="64" t="s">
        <v>5</v>
      </c>
      <c r="E29" s="64" t="s">
        <v>95</v>
      </c>
      <c r="F29" s="58"/>
      <c r="G29" s="58"/>
      <c r="H29" s="58"/>
      <c r="I29" s="58">
        <v>70000</v>
      </c>
      <c r="J29" s="58">
        <f t="shared" si="0"/>
        <v>70000</v>
      </c>
    </row>
    <row r="30" spans="1:12" s="123" customFormat="1" ht="14.25" customHeight="1" x14ac:dyDescent="0.25">
      <c r="A30" s="179">
        <v>25</v>
      </c>
      <c r="B30" s="63" t="s">
        <v>205</v>
      </c>
      <c r="C30" s="64" t="s">
        <v>5</v>
      </c>
      <c r="D30" s="64" t="s">
        <v>5</v>
      </c>
      <c r="E30" s="64" t="s">
        <v>75</v>
      </c>
      <c r="F30" s="58"/>
      <c r="G30" s="58"/>
      <c r="H30" s="58"/>
      <c r="I30" s="58">
        <v>15000</v>
      </c>
      <c r="J30" s="58">
        <f t="shared" si="0"/>
        <v>15000</v>
      </c>
    </row>
    <row r="31" spans="1:12" s="123" customFormat="1" ht="14.25" customHeight="1" x14ac:dyDescent="0.25">
      <c r="A31" s="179">
        <v>26</v>
      </c>
      <c r="B31" s="63" t="s">
        <v>746</v>
      </c>
      <c r="C31" s="64" t="s">
        <v>5</v>
      </c>
      <c r="D31" s="64" t="s">
        <v>5</v>
      </c>
      <c r="E31" s="64" t="s">
        <v>75</v>
      </c>
      <c r="F31" s="58"/>
      <c r="G31" s="58"/>
      <c r="H31" s="58"/>
      <c r="I31" s="58">
        <v>16500</v>
      </c>
      <c r="J31" s="58">
        <f t="shared" si="0"/>
        <v>16500</v>
      </c>
    </row>
    <row r="32" spans="1:12" s="123" customFormat="1" ht="14.25" customHeight="1" thickBot="1" x14ac:dyDescent="0.3">
      <c r="A32" s="179">
        <v>27</v>
      </c>
      <c r="B32" s="63" t="s">
        <v>111</v>
      </c>
      <c r="C32" s="64" t="s">
        <v>5</v>
      </c>
      <c r="D32" s="64" t="s">
        <v>5</v>
      </c>
      <c r="E32" s="64" t="s">
        <v>96</v>
      </c>
      <c r="F32" s="58"/>
      <c r="G32" s="58"/>
      <c r="H32" s="58"/>
      <c r="I32" s="58">
        <v>100000</v>
      </c>
      <c r="J32" s="58">
        <f t="shared" si="0"/>
        <v>100000</v>
      </c>
    </row>
    <row r="33" spans="1:11" s="5" customFormat="1" ht="14.25" customHeight="1" x14ac:dyDescent="0.25">
      <c r="A33" s="338" t="s">
        <v>8</v>
      </c>
      <c r="B33" s="339"/>
      <c r="C33" s="339"/>
      <c r="D33" s="339"/>
      <c r="E33" s="340"/>
      <c r="F33" s="65">
        <f>SUM(F6:F32)</f>
        <v>552000</v>
      </c>
      <c r="G33" s="65">
        <f>SUM(G6:G32)</f>
        <v>353000</v>
      </c>
      <c r="H33" s="65">
        <f>SUM(H6:H32)</f>
        <v>235000</v>
      </c>
      <c r="I33" s="65">
        <f>SUM(I6:I32)</f>
        <v>1475000</v>
      </c>
      <c r="J33" s="181">
        <f>SUM(J6:J32)</f>
        <v>2615000</v>
      </c>
      <c r="K33"/>
    </row>
    <row r="34" spans="1:11" s="5" customFormat="1" ht="14.25" customHeight="1" x14ac:dyDescent="0.25">
      <c r="A34" s="337" t="s">
        <v>78</v>
      </c>
      <c r="B34" s="337"/>
      <c r="C34" s="337"/>
      <c r="D34" s="337"/>
      <c r="E34" s="337"/>
      <c r="F34" s="337"/>
      <c r="G34" s="337"/>
      <c r="H34" s="337"/>
      <c r="I34" s="337"/>
      <c r="J34" s="337"/>
      <c r="K34"/>
    </row>
    <row r="35" spans="1:11" s="5" customFormat="1" ht="14.25" customHeight="1" x14ac:dyDescent="0.25">
      <c r="A35" s="179">
        <v>1</v>
      </c>
      <c r="B35" s="180" t="s">
        <v>170</v>
      </c>
      <c r="C35" s="64" t="s">
        <v>6</v>
      </c>
      <c r="D35" s="63" t="s">
        <v>6</v>
      </c>
      <c r="E35" s="63" t="s">
        <v>75</v>
      </c>
      <c r="F35" s="58">
        <v>15000</v>
      </c>
      <c r="G35" s="58"/>
      <c r="H35" s="58"/>
      <c r="I35" s="58">
        <v>45000</v>
      </c>
      <c r="J35" s="58">
        <f>SUM(F35:I35)</f>
        <v>60000</v>
      </c>
      <c r="K35"/>
    </row>
    <row r="36" spans="1:11" s="5" customFormat="1" ht="14.25" customHeight="1" x14ac:dyDescent="0.25">
      <c r="A36" s="179">
        <v>2</v>
      </c>
      <c r="B36" s="180" t="s">
        <v>98</v>
      </c>
      <c r="C36" s="64" t="s">
        <v>6</v>
      </c>
      <c r="D36" s="63" t="s">
        <v>6</v>
      </c>
      <c r="E36" s="63" t="s">
        <v>96</v>
      </c>
      <c r="F36" s="58">
        <v>5000</v>
      </c>
      <c r="G36" s="58"/>
      <c r="H36" s="58">
        <v>51500</v>
      </c>
      <c r="I36" s="58">
        <v>220000</v>
      </c>
      <c r="J36" s="58">
        <f t="shared" ref="J36:J61" si="1">SUM(F36:I36)</f>
        <v>276500</v>
      </c>
      <c r="K36"/>
    </row>
    <row r="37" spans="1:11" s="5" customFormat="1" ht="14.25" customHeight="1" x14ac:dyDescent="0.25">
      <c r="A37" s="179">
        <v>3</v>
      </c>
      <c r="B37" s="63" t="s">
        <v>181</v>
      </c>
      <c r="C37" s="64" t="s">
        <v>6</v>
      </c>
      <c r="D37" s="63" t="s">
        <v>6</v>
      </c>
      <c r="E37" s="63" t="s">
        <v>96</v>
      </c>
      <c r="F37" s="58"/>
      <c r="G37" s="58">
        <v>6000</v>
      </c>
      <c r="H37" s="58"/>
      <c r="I37" s="58">
        <v>65000</v>
      </c>
      <c r="J37" s="58">
        <f t="shared" si="1"/>
        <v>71000</v>
      </c>
      <c r="K37"/>
    </row>
    <row r="38" spans="1:11" s="5" customFormat="1" ht="14.25" customHeight="1" x14ac:dyDescent="0.25">
      <c r="A38" s="179">
        <v>4</v>
      </c>
      <c r="B38" s="63" t="s">
        <v>97</v>
      </c>
      <c r="C38" s="64" t="s">
        <v>6</v>
      </c>
      <c r="D38" s="63" t="s">
        <v>6</v>
      </c>
      <c r="E38" s="63" t="s">
        <v>96</v>
      </c>
      <c r="F38" s="58"/>
      <c r="G38" s="58">
        <v>12000</v>
      </c>
      <c r="H38" s="58"/>
      <c r="I38" s="58">
        <v>10000</v>
      </c>
      <c r="J38" s="58">
        <f t="shared" si="1"/>
        <v>22000</v>
      </c>
    </row>
    <row r="39" spans="1:11" s="5" customFormat="1" ht="14.25" customHeight="1" x14ac:dyDescent="0.25">
      <c r="A39" s="179">
        <v>5</v>
      </c>
      <c r="B39" s="63" t="s">
        <v>493</v>
      </c>
      <c r="C39" s="64" t="s">
        <v>6</v>
      </c>
      <c r="D39" s="63" t="s">
        <v>6</v>
      </c>
      <c r="E39" s="63" t="s">
        <v>95</v>
      </c>
      <c r="F39" s="58"/>
      <c r="G39" s="58"/>
      <c r="H39" s="58">
        <v>70000</v>
      </c>
      <c r="I39" s="58">
        <v>105000</v>
      </c>
      <c r="J39" s="58">
        <f t="shared" si="1"/>
        <v>175000</v>
      </c>
    </row>
    <row r="40" spans="1:11" s="123" customFormat="1" ht="14.25" customHeight="1" x14ac:dyDescent="0.25">
      <c r="A40" s="179">
        <v>6</v>
      </c>
      <c r="B40" s="63" t="s">
        <v>734</v>
      </c>
      <c r="C40" s="64" t="s">
        <v>6</v>
      </c>
      <c r="D40" s="63" t="s">
        <v>6</v>
      </c>
      <c r="E40" s="63" t="s">
        <v>95</v>
      </c>
      <c r="F40" s="58"/>
      <c r="G40" s="58"/>
      <c r="H40" s="58"/>
      <c r="I40" s="58">
        <v>50000</v>
      </c>
      <c r="J40" s="58">
        <f t="shared" si="1"/>
        <v>50000</v>
      </c>
    </row>
    <row r="41" spans="1:11" s="123" customFormat="1" ht="14.25" customHeight="1" x14ac:dyDescent="0.25">
      <c r="A41" s="179">
        <v>7</v>
      </c>
      <c r="B41" s="63" t="s">
        <v>735</v>
      </c>
      <c r="C41" s="64" t="s">
        <v>6</v>
      </c>
      <c r="D41" s="63" t="s">
        <v>6</v>
      </c>
      <c r="E41" s="63" t="s">
        <v>95</v>
      </c>
      <c r="F41" s="58"/>
      <c r="G41" s="58"/>
      <c r="H41" s="58"/>
      <c r="I41" s="58">
        <v>150000</v>
      </c>
      <c r="J41" s="58">
        <f t="shared" si="1"/>
        <v>150000</v>
      </c>
    </row>
    <row r="42" spans="1:11" s="123" customFormat="1" ht="14.25" customHeight="1" x14ac:dyDescent="0.25">
      <c r="A42" s="179">
        <v>8</v>
      </c>
      <c r="B42" s="63" t="s">
        <v>740</v>
      </c>
      <c r="C42" s="64" t="s">
        <v>6</v>
      </c>
      <c r="D42" s="63" t="s">
        <v>6</v>
      </c>
      <c r="E42" s="63" t="s">
        <v>95</v>
      </c>
      <c r="F42" s="58"/>
      <c r="G42" s="58"/>
      <c r="H42" s="58"/>
      <c r="I42" s="58">
        <v>60000</v>
      </c>
      <c r="J42" s="58">
        <f t="shared" si="1"/>
        <v>60000</v>
      </c>
    </row>
    <row r="43" spans="1:11" s="123" customFormat="1" ht="14.25" customHeight="1" x14ac:dyDescent="0.25">
      <c r="A43" s="179">
        <v>9</v>
      </c>
      <c r="B43" s="63" t="s">
        <v>750</v>
      </c>
      <c r="C43" s="64" t="s">
        <v>6</v>
      </c>
      <c r="D43" s="63" t="s">
        <v>6</v>
      </c>
      <c r="E43" s="63" t="s">
        <v>75</v>
      </c>
      <c r="F43" s="58"/>
      <c r="G43" s="58"/>
      <c r="H43" s="58"/>
      <c r="I43" s="58">
        <v>100000</v>
      </c>
      <c r="J43" s="58">
        <f t="shared" si="1"/>
        <v>100000</v>
      </c>
    </row>
    <row r="44" spans="1:11" s="5" customFormat="1" ht="14.25" customHeight="1" thickBot="1" x14ac:dyDescent="0.3">
      <c r="A44" s="179">
        <v>10</v>
      </c>
      <c r="B44" s="63" t="s">
        <v>209</v>
      </c>
      <c r="C44" s="64" t="s">
        <v>6</v>
      </c>
      <c r="D44" s="63" t="s">
        <v>6</v>
      </c>
      <c r="E44" s="63" t="s">
        <v>96</v>
      </c>
      <c r="F44" s="58"/>
      <c r="G44" s="58"/>
      <c r="H44" s="58"/>
      <c r="I44" s="58">
        <v>50000</v>
      </c>
      <c r="J44" s="58">
        <f t="shared" si="1"/>
        <v>50000</v>
      </c>
    </row>
    <row r="45" spans="1:11" ht="14.25" customHeight="1" x14ac:dyDescent="0.25">
      <c r="A45" s="338" t="s">
        <v>8</v>
      </c>
      <c r="B45" s="339"/>
      <c r="C45" s="339"/>
      <c r="D45" s="339"/>
      <c r="E45" s="340"/>
      <c r="F45" s="182">
        <f>SUM(F35:F44)</f>
        <v>20000</v>
      </c>
      <c r="G45" s="182">
        <f>SUM(G35:G44)</f>
        <v>18000</v>
      </c>
      <c r="H45" s="182">
        <f>SUM(H35:H44)</f>
        <v>121500</v>
      </c>
      <c r="I45" s="182">
        <f>SUM(I35:I44)</f>
        <v>855000</v>
      </c>
      <c r="J45" s="181">
        <f>SUM(F45:I45)</f>
        <v>1014500</v>
      </c>
    </row>
    <row r="46" spans="1:11" ht="14.25" customHeight="1" x14ac:dyDescent="0.25">
      <c r="A46" s="341" t="s">
        <v>70</v>
      </c>
      <c r="B46" s="341"/>
      <c r="C46" s="341"/>
      <c r="D46" s="341"/>
      <c r="E46" s="341"/>
      <c r="F46" s="341"/>
      <c r="G46" s="341"/>
      <c r="H46" s="341"/>
      <c r="I46" s="341"/>
      <c r="J46" s="341"/>
    </row>
    <row r="47" spans="1:11" ht="14.25" customHeight="1" x14ac:dyDescent="0.25">
      <c r="A47" s="179">
        <v>1</v>
      </c>
      <c r="B47" s="180" t="s">
        <v>139</v>
      </c>
      <c r="C47" s="64" t="s">
        <v>99</v>
      </c>
      <c r="D47" s="64" t="s">
        <v>99</v>
      </c>
      <c r="E47" s="64" t="s">
        <v>95</v>
      </c>
      <c r="F47" s="58">
        <v>100000</v>
      </c>
      <c r="G47" s="58"/>
      <c r="H47" s="58"/>
      <c r="I47" s="58">
        <v>120000</v>
      </c>
      <c r="J47" s="58">
        <f t="shared" si="1"/>
        <v>220000</v>
      </c>
    </row>
    <row r="48" spans="1:11" s="5" customFormat="1" ht="14.25" customHeight="1" x14ac:dyDescent="0.25">
      <c r="A48" s="179">
        <v>2</v>
      </c>
      <c r="B48" s="180" t="s">
        <v>150</v>
      </c>
      <c r="C48" s="64" t="s">
        <v>105</v>
      </c>
      <c r="D48" s="64" t="s">
        <v>99</v>
      </c>
      <c r="E48" s="64" t="s">
        <v>75</v>
      </c>
      <c r="F48" s="58">
        <v>5000</v>
      </c>
      <c r="G48" s="58"/>
      <c r="H48" s="58"/>
      <c r="I48" s="58"/>
      <c r="J48" s="58">
        <f t="shared" si="1"/>
        <v>5000</v>
      </c>
      <c r="K48"/>
    </row>
    <row r="49" spans="1:11" s="5" customFormat="1" ht="14.25" customHeight="1" x14ac:dyDescent="0.25">
      <c r="A49" s="179">
        <v>3</v>
      </c>
      <c r="B49" s="180" t="s">
        <v>103</v>
      </c>
      <c r="C49" s="64" t="s">
        <v>6</v>
      </c>
      <c r="D49" s="64" t="s">
        <v>99</v>
      </c>
      <c r="E49" s="64" t="s">
        <v>96</v>
      </c>
      <c r="F49" s="133">
        <v>50000</v>
      </c>
      <c r="G49" s="133"/>
      <c r="H49" s="183"/>
      <c r="I49" s="133">
        <v>50000</v>
      </c>
      <c r="J49" s="58">
        <f t="shared" si="1"/>
        <v>100000</v>
      </c>
    </row>
    <row r="50" spans="1:11" s="123" customFormat="1" ht="14.25" customHeight="1" x14ac:dyDescent="0.25">
      <c r="A50" s="179">
        <v>4</v>
      </c>
      <c r="B50" s="180" t="s">
        <v>102</v>
      </c>
      <c r="C50" s="64" t="s">
        <v>99</v>
      </c>
      <c r="D50" s="64" t="s">
        <v>99</v>
      </c>
      <c r="E50" s="64" t="s">
        <v>96</v>
      </c>
      <c r="F50" s="133"/>
      <c r="G50" s="133">
        <v>50000</v>
      </c>
      <c r="H50" s="183"/>
      <c r="I50" s="133"/>
      <c r="J50" s="58">
        <f t="shared" si="1"/>
        <v>50000</v>
      </c>
    </row>
    <row r="51" spans="1:11" s="123" customFormat="1" ht="14.25" customHeight="1" x14ac:dyDescent="0.25">
      <c r="A51" s="179">
        <v>5</v>
      </c>
      <c r="B51" s="180" t="s">
        <v>101</v>
      </c>
      <c r="C51" s="64" t="s">
        <v>16</v>
      </c>
      <c r="D51" s="64" t="s">
        <v>99</v>
      </c>
      <c r="E51" s="64" t="s">
        <v>96</v>
      </c>
      <c r="F51" s="133"/>
      <c r="G51" s="133">
        <v>50000</v>
      </c>
      <c r="H51" s="183"/>
      <c r="I51" s="133"/>
      <c r="J51" s="58">
        <f t="shared" si="1"/>
        <v>50000</v>
      </c>
    </row>
    <row r="52" spans="1:11" s="123" customFormat="1" ht="14.25" customHeight="1" x14ac:dyDescent="0.25">
      <c r="A52" s="179">
        <v>6</v>
      </c>
      <c r="B52" s="180" t="s">
        <v>195</v>
      </c>
      <c r="C52" s="64" t="s">
        <v>16</v>
      </c>
      <c r="D52" s="64" t="s">
        <v>105</v>
      </c>
      <c r="E52" s="64" t="s">
        <v>96</v>
      </c>
      <c r="F52" s="133"/>
      <c r="G52" s="133"/>
      <c r="H52" s="183">
        <v>50000</v>
      </c>
      <c r="I52" s="133"/>
      <c r="J52" s="58">
        <f t="shared" si="1"/>
        <v>50000</v>
      </c>
    </row>
    <row r="53" spans="1:11" s="123" customFormat="1" ht="14.25" customHeight="1" x14ac:dyDescent="0.25">
      <c r="A53" s="179">
        <v>7</v>
      </c>
      <c r="B53" s="180" t="s">
        <v>222</v>
      </c>
      <c r="C53" s="64" t="s">
        <v>16</v>
      </c>
      <c r="D53" s="64" t="s">
        <v>99</v>
      </c>
      <c r="E53" s="64" t="s">
        <v>96</v>
      </c>
      <c r="F53" s="133"/>
      <c r="G53" s="133"/>
      <c r="H53" s="183">
        <v>10000</v>
      </c>
      <c r="I53" s="133">
        <v>10000</v>
      </c>
      <c r="J53" s="58">
        <f t="shared" si="1"/>
        <v>20000</v>
      </c>
    </row>
    <row r="54" spans="1:11" s="123" customFormat="1" ht="14.25" customHeight="1" x14ac:dyDescent="0.25">
      <c r="A54" s="179">
        <v>8</v>
      </c>
      <c r="B54" s="180" t="s">
        <v>125</v>
      </c>
      <c r="C54" s="64" t="s">
        <v>99</v>
      </c>
      <c r="D54" s="64" t="s">
        <v>99</v>
      </c>
      <c r="E54" s="64" t="s">
        <v>95</v>
      </c>
      <c r="F54" s="133"/>
      <c r="G54" s="133"/>
      <c r="H54" s="183"/>
      <c r="I54" s="133">
        <v>50000</v>
      </c>
      <c r="J54" s="58">
        <f t="shared" si="1"/>
        <v>50000</v>
      </c>
    </row>
    <row r="55" spans="1:11" s="123" customFormat="1" ht="14.25" customHeight="1" x14ac:dyDescent="0.25">
      <c r="A55" s="179">
        <v>9</v>
      </c>
      <c r="B55" s="180" t="s">
        <v>227</v>
      </c>
      <c r="C55" s="64" t="s">
        <v>105</v>
      </c>
      <c r="D55" s="64" t="s">
        <v>105</v>
      </c>
      <c r="E55" s="64" t="s">
        <v>96</v>
      </c>
      <c r="F55" s="133"/>
      <c r="G55" s="133"/>
      <c r="H55" s="183"/>
      <c r="I55" s="133">
        <v>150000</v>
      </c>
      <c r="J55" s="58">
        <f t="shared" si="1"/>
        <v>150000</v>
      </c>
    </row>
    <row r="56" spans="1:11" s="123" customFormat="1" ht="14.25" customHeight="1" thickBot="1" x14ac:dyDescent="0.3">
      <c r="A56" s="179">
        <v>10</v>
      </c>
      <c r="B56" s="180" t="s">
        <v>195</v>
      </c>
      <c r="C56" s="64" t="s">
        <v>16</v>
      </c>
      <c r="D56" s="64" t="s">
        <v>99</v>
      </c>
      <c r="E56" s="64" t="s">
        <v>96</v>
      </c>
      <c r="F56" s="133"/>
      <c r="G56" s="133"/>
      <c r="H56" s="183"/>
      <c r="I56" s="133">
        <v>50000</v>
      </c>
      <c r="J56" s="58">
        <f t="shared" si="1"/>
        <v>50000</v>
      </c>
    </row>
    <row r="57" spans="1:11" ht="14.25" customHeight="1" x14ac:dyDescent="0.25">
      <c r="A57" s="338" t="s">
        <v>8</v>
      </c>
      <c r="B57" s="339"/>
      <c r="C57" s="339"/>
      <c r="D57" s="339"/>
      <c r="E57" s="340"/>
      <c r="F57" s="182">
        <f>SUM(F47:F56)</f>
        <v>155000</v>
      </c>
      <c r="G57" s="182">
        <f>SUM(G47:G56)</f>
        <v>100000</v>
      </c>
      <c r="H57" s="182">
        <f>SUM(H47:H56)</f>
        <v>60000</v>
      </c>
      <c r="I57" s="182">
        <f>SUM(I47:I56)</f>
        <v>430000</v>
      </c>
      <c r="J57" s="181">
        <f>SUM(F57:I57)</f>
        <v>745000</v>
      </c>
    </row>
    <row r="58" spans="1:11" s="2" customFormat="1" ht="14.25" customHeight="1" x14ac:dyDescent="0.25">
      <c r="A58" s="341" t="s">
        <v>74</v>
      </c>
      <c r="B58" s="341"/>
      <c r="C58" s="341"/>
      <c r="D58" s="341"/>
      <c r="E58" s="341"/>
      <c r="F58" s="341"/>
      <c r="G58" s="341"/>
      <c r="H58" s="341"/>
      <c r="I58" s="341"/>
      <c r="J58" s="341"/>
      <c r="K58"/>
    </row>
    <row r="59" spans="1:11" s="2" customFormat="1" ht="14.25" customHeight="1" x14ac:dyDescent="0.25">
      <c r="A59" s="179">
        <v>1</v>
      </c>
      <c r="B59" s="63" t="s">
        <v>100</v>
      </c>
      <c r="C59" s="63" t="s">
        <v>5</v>
      </c>
      <c r="D59" s="63" t="s">
        <v>26</v>
      </c>
      <c r="E59" s="122" t="s">
        <v>96</v>
      </c>
      <c r="F59" s="133">
        <v>8500</v>
      </c>
      <c r="G59" s="133"/>
      <c r="H59" s="133"/>
      <c r="I59" s="133"/>
      <c r="J59" s="58">
        <f t="shared" si="1"/>
        <v>8500</v>
      </c>
      <c r="K59"/>
    </row>
    <row r="60" spans="1:11" s="123" customFormat="1" ht="14.25" customHeight="1" x14ac:dyDescent="0.25">
      <c r="A60" s="184">
        <v>2</v>
      </c>
      <c r="B60" s="63" t="s">
        <v>107</v>
      </c>
      <c r="C60" s="63" t="s">
        <v>106</v>
      </c>
      <c r="D60" s="63" t="s">
        <v>106</v>
      </c>
      <c r="E60" s="122" t="s">
        <v>96</v>
      </c>
      <c r="F60" s="133">
        <v>25000</v>
      </c>
      <c r="G60" s="133"/>
      <c r="H60" s="133"/>
      <c r="I60" s="133">
        <v>60000</v>
      </c>
      <c r="J60" s="58">
        <f t="shared" si="1"/>
        <v>85000</v>
      </c>
    </row>
    <row r="61" spans="1:11" s="123" customFormat="1" ht="14.25" customHeight="1" thickBot="1" x14ac:dyDescent="0.3">
      <c r="A61" s="179">
        <v>3</v>
      </c>
      <c r="B61" s="63" t="s">
        <v>229</v>
      </c>
      <c r="C61" s="63" t="s">
        <v>106</v>
      </c>
      <c r="D61" s="63" t="s">
        <v>106</v>
      </c>
      <c r="E61" s="122" t="s">
        <v>75</v>
      </c>
      <c r="F61" s="133"/>
      <c r="G61" s="133"/>
      <c r="H61" s="133"/>
      <c r="I61" s="133">
        <v>10000</v>
      </c>
      <c r="J61" s="58">
        <f t="shared" si="1"/>
        <v>10000</v>
      </c>
    </row>
    <row r="62" spans="1:11" ht="14.25" customHeight="1" x14ac:dyDescent="0.25">
      <c r="A62" s="338" t="s">
        <v>8</v>
      </c>
      <c r="B62" s="339"/>
      <c r="C62" s="339"/>
      <c r="D62" s="339"/>
      <c r="E62" s="340"/>
      <c r="F62" s="65">
        <f>SUM(F59:F61)</f>
        <v>33500</v>
      </c>
      <c r="G62" s="65">
        <f>SUM(G59:G61)</f>
        <v>0</v>
      </c>
      <c r="H62" s="65">
        <f>SUM(H59:H61)</f>
        <v>0</v>
      </c>
      <c r="I62" s="65">
        <f>SUM(I59:I61)</f>
        <v>70000</v>
      </c>
      <c r="J62" s="181">
        <f>SUM(J59:J59)</f>
        <v>8500</v>
      </c>
    </row>
    <row r="63" spans="1:11" s="5" customFormat="1" ht="14.25" customHeight="1" x14ac:dyDescent="0.25">
      <c r="A63" s="342" t="s">
        <v>72</v>
      </c>
      <c r="B63" s="342"/>
      <c r="C63" s="342"/>
      <c r="D63" s="342"/>
      <c r="E63" s="342"/>
      <c r="F63" s="342"/>
      <c r="G63" s="342"/>
      <c r="H63" s="342"/>
      <c r="I63" s="342"/>
      <c r="J63" s="342"/>
      <c r="K63"/>
    </row>
    <row r="64" spans="1:11" s="5" customFormat="1" ht="14.25" customHeight="1" x14ac:dyDescent="0.25">
      <c r="A64" s="179">
        <v>1</v>
      </c>
      <c r="B64" s="180" t="s">
        <v>108</v>
      </c>
      <c r="C64" s="180" t="s">
        <v>140</v>
      </c>
      <c r="D64" s="180" t="s">
        <v>140</v>
      </c>
      <c r="E64" s="58" t="s">
        <v>96</v>
      </c>
      <c r="F64" s="185">
        <v>15000</v>
      </c>
      <c r="G64" s="185"/>
      <c r="H64" s="186"/>
      <c r="I64" s="186">
        <v>85000</v>
      </c>
      <c r="J64" s="186">
        <f>SUM(F64:I64)</f>
        <v>100000</v>
      </c>
      <c r="K64"/>
    </row>
    <row r="65" spans="1:11" s="5" customFormat="1" ht="14.25" customHeight="1" x14ac:dyDescent="0.25">
      <c r="A65" s="179">
        <v>2</v>
      </c>
      <c r="B65" s="180" t="s">
        <v>113</v>
      </c>
      <c r="C65" s="180" t="s">
        <v>112</v>
      </c>
      <c r="D65" s="180" t="s">
        <v>112</v>
      </c>
      <c r="E65" s="58" t="s">
        <v>96</v>
      </c>
      <c r="F65" s="187">
        <v>30000</v>
      </c>
      <c r="G65" s="187">
        <v>30000</v>
      </c>
      <c r="H65" s="188">
        <v>50000</v>
      </c>
      <c r="I65" s="188">
        <v>50000</v>
      </c>
      <c r="J65" s="186">
        <f t="shared" ref="J65:J71" si="2">SUM(F65:I65)</f>
        <v>160000</v>
      </c>
    </row>
    <row r="66" spans="1:11" s="123" customFormat="1" ht="14.25" customHeight="1" x14ac:dyDescent="0.25">
      <c r="A66" s="179">
        <v>3</v>
      </c>
      <c r="B66" s="180" t="s">
        <v>114</v>
      </c>
      <c r="C66" s="180" t="s">
        <v>112</v>
      </c>
      <c r="D66" s="180" t="s">
        <v>112</v>
      </c>
      <c r="E66" s="58" t="s">
        <v>96</v>
      </c>
      <c r="F66" s="187">
        <v>70000</v>
      </c>
      <c r="G66" s="187">
        <v>30000</v>
      </c>
      <c r="H66" s="188"/>
      <c r="I66" s="188">
        <v>70000</v>
      </c>
      <c r="J66" s="186">
        <f t="shared" si="2"/>
        <v>170000</v>
      </c>
    </row>
    <row r="67" spans="1:11" s="123" customFormat="1" ht="14.25" customHeight="1" x14ac:dyDescent="0.25">
      <c r="A67" s="179">
        <v>4</v>
      </c>
      <c r="B67" s="180" t="s">
        <v>149</v>
      </c>
      <c r="C67" s="180" t="s">
        <v>112</v>
      </c>
      <c r="D67" s="180" t="s">
        <v>112</v>
      </c>
      <c r="E67" s="58" t="s">
        <v>75</v>
      </c>
      <c r="F67" s="187">
        <v>155000</v>
      </c>
      <c r="G67" s="187">
        <v>130000</v>
      </c>
      <c r="H67" s="187">
        <v>150000</v>
      </c>
      <c r="I67" s="188">
        <v>100000</v>
      </c>
      <c r="J67" s="186">
        <f t="shared" si="2"/>
        <v>535000</v>
      </c>
    </row>
    <row r="68" spans="1:11" s="123" customFormat="1" ht="14.25" customHeight="1" x14ac:dyDescent="0.25">
      <c r="A68" s="179">
        <v>5</v>
      </c>
      <c r="B68" s="180" t="s">
        <v>154</v>
      </c>
      <c r="C68" s="180" t="s">
        <v>112</v>
      </c>
      <c r="D68" s="180" t="s">
        <v>112</v>
      </c>
      <c r="E68" s="58" t="s">
        <v>96</v>
      </c>
      <c r="F68" s="187">
        <v>50000</v>
      </c>
      <c r="G68" s="187"/>
      <c r="H68" s="188"/>
      <c r="I68" s="188">
        <v>50000</v>
      </c>
      <c r="J68" s="186">
        <f t="shared" si="2"/>
        <v>100000</v>
      </c>
    </row>
    <row r="69" spans="1:11" s="123" customFormat="1" ht="14.25" customHeight="1" x14ac:dyDescent="0.25">
      <c r="A69" s="179">
        <v>6</v>
      </c>
      <c r="B69" s="180" t="s">
        <v>104</v>
      </c>
      <c r="C69" s="180" t="s">
        <v>16</v>
      </c>
      <c r="D69" s="180" t="s">
        <v>112</v>
      </c>
      <c r="E69" s="58" t="s">
        <v>96</v>
      </c>
      <c r="F69" s="187">
        <v>42500</v>
      </c>
      <c r="G69" s="187"/>
      <c r="H69" s="188"/>
      <c r="I69" s="188">
        <v>74950</v>
      </c>
      <c r="J69" s="186">
        <f t="shared" si="2"/>
        <v>117450</v>
      </c>
    </row>
    <row r="70" spans="1:11" s="123" customFormat="1" ht="14.25" customHeight="1" x14ac:dyDescent="0.25">
      <c r="A70" s="179">
        <v>7</v>
      </c>
      <c r="B70" s="180" t="s">
        <v>222</v>
      </c>
      <c r="C70" s="180" t="s">
        <v>16</v>
      </c>
      <c r="D70" s="180" t="s">
        <v>112</v>
      </c>
      <c r="E70" s="58" t="s">
        <v>96</v>
      </c>
      <c r="F70" s="187"/>
      <c r="G70" s="187"/>
      <c r="H70" s="188"/>
      <c r="I70" s="188">
        <v>5000</v>
      </c>
      <c r="J70" s="186">
        <f t="shared" si="2"/>
        <v>5000</v>
      </c>
    </row>
    <row r="71" spans="1:11" s="123" customFormat="1" ht="14.25" customHeight="1" thickBot="1" x14ac:dyDescent="0.3">
      <c r="A71" s="179">
        <v>8</v>
      </c>
      <c r="B71" s="180" t="s">
        <v>258</v>
      </c>
      <c r="C71" s="180" t="s">
        <v>112</v>
      </c>
      <c r="D71" s="180" t="s">
        <v>112</v>
      </c>
      <c r="E71" s="58" t="s">
        <v>96</v>
      </c>
      <c r="F71" s="187"/>
      <c r="G71" s="187"/>
      <c r="H71" s="188"/>
      <c r="I71" s="188">
        <v>40000</v>
      </c>
      <c r="J71" s="186">
        <f t="shared" si="2"/>
        <v>40000</v>
      </c>
    </row>
    <row r="72" spans="1:11" s="5" customFormat="1" ht="14.25" customHeight="1" x14ac:dyDescent="0.25">
      <c r="A72" s="357" t="s">
        <v>3</v>
      </c>
      <c r="B72" s="357"/>
      <c r="C72" s="357"/>
      <c r="D72" s="357"/>
      <c r="E72" s="189"/>
      <c r="F72" s="190">
        <f>SUM(F63:F71)</f>
        <v>362500</v>
      </c>
      <c r="G72" s="190">
        <f>SUM(G63:G71)</f>
        <v>190000</v>
      </c>
      <c r="H72" s="190">
        <f>SUM(H63:H71)</f>
        <v>200000</v>
      </c>
      <c r="I72" s="190">
        <f>SUM(I63:I71)</f>
        <v>474950</v>
      </c>
      <c r="J72" s="181">
        <f>SUM(F72:I72)</f>
        <v>1227450</v>
      </c>
    </row>
    <row r="73" spans="1:11" s="5" customFormat="1" ht="14.25" customHeight="1" x14ac:dyDescent="0.25">
      <c r="A73" s="342" t="s">
        <v>79</v>
      </c>
      <c r="B73" s="342"/>
      <c r="C73" s="342"/>
      <c r="D73" s="342"/>
      <c r="E73" s="342"/>
      <c r="F73" s="342"/>
      <c r="G73" s="342"/>
      <c r="H73" s="342"/>
      <c r="I73" s="342"/>
      <c r="J73" s="342"/>
    </row>
    <row r="74" spans="1:11" s="5" customFormat="1" ht="14.25" customHeight="1" x14ac:dyDescent="0.25">
      <c r="A74" s="179">
        <v>1</v>
      </c>
      <c r="B74" s="180" t="s">
        <v>157</v>
      </c>
      <c r="C74" s="180" t="s">
        <v>109</v>
      </c>
      <c r="D74" s="180" t="s">
        <v>109</v>
      </c>
      <c r="E74" s="58" t="s">
        <v>75</v>
      </c>
      <c r="F74" s="187"/>
      <c r="G74" s="187"/>
      <c r="H74" s="188"/>
      <c r="I74" s="188">
        <v>50000</v>
      </c>
      <c r="J74" s="186">
        <f>SUM(F74:I74)</f>
        <v>50000</v>
      </c>
    </row>
    <row r="75" spans="1:11" s="123" customFormat="1" ht="14.25" customHeight="1" x14ac:dyDescent="0.25">
      <c r="A75" s="179">
        <v>2</v>
      </c>
      <c r="B75" s="180" t="s">
        <v>743</v>
      </c>
      <c r="C75" s="180" t="s">
        <v>109</v>
      </c>
      <c r="D75" s="180" t="s">
        <v>25</v>
      </c>
      <c r="E75" s="58" t="s">
        <v>75</v>
      </c>
      <c r="F75" s="187"/>
      <c r="G75" s="187"/>
      <c r="H75" s="188"/>
      <c r="I75" s="188">
        <v>50000</v>
      </c>
      <c r="J75" s="186">
        <f t="shared" ref="J75:J76" si="3">SUM(F75:I75)</f>
        <v>50000</v>
      </c>
    </row>
    <row r="76" spans="1:11" s="123" customFormat="1" ht="14.25" customHeight="1" thickBot="1" x14ac:dyDescent="0.3">
      <c r="A76" s="179">
        <v>3</v>
      </c>
      <c r="B76" s="180" t="s">
        <v>744</v>
      </c>
      <c r="C76" s="180" t="s">
        <v>25</v>
      </c>
      <c r="D76" s="180" t="s">
        <v>25</v>
      </c>
      <c r="E76" s="58" t="s">
        <v>95</v>
      </c>
      <c r="F76" s="187"/>
      <c r="G76" s="187"/>
      <c r="H76" s="188"/>
      <c r="I76" s="188">
        <v>100000</v>
      </c>
      <c r="J76" s="186">
        <f t="shared" si="3"/>
        <v>100000</v>
      </c>
    </row>
    <row r="77" spans="1:11" s="5" customFormat="1" ht="14.25" customHeight="1" x14ac:dyDescent="0.25">
      <c r="A77" s="357" t="s">
        <v>3</v>
      </c>
      <c r="B77" s="357"/>
      <c r="C77" s="357"/>
      <c r="D77" s="357"/>
      <c r="E77" s="189"/>
      <c r="F77" s="190">
        <f>SUM(F74:F76)</f>
        <v>0</v>
      </c>
      <c r="G77" s="190">
        <f>SUM(G74:G76)</f>
        <v>0</v>
      </c>
      <c r="H77" s="190">
        <f>SUM(H74:H76)</f>
        <v>0</v>
      </c>
      <c r="I77" s="190">
        <f>SUM(I74:I76)</f>
        <v>200000</v>
      </c>
      <c r="J77" s="181">
        <f>SUM(F77:I77)</f>
        <v>200000</v>
      </c>
    </row>
    <row r="78" spans="1:11" s="5" customFormat="1" ht="14.25" customHeight="1" x14ac:dyDescent="0.25">
      <c r="A78" s="342" t="s">
        <v>18</v>
      </c>
      <c r="B78" s="342"/>
      <c r="C78" s="342"/>
      <c r="D78" s="342"/>
      <c r="E78" s="342"/>
      <c r="F78" s="342"/>
      <c r="G78" s="342"/>
      <c r="H78" s="342"/>
      <c r="I78" s="342"/>
      <c r="J78" s="342"/>
    </row>
    <row r="79" spans="1:11" s="5" customFormat="1" ht="14.25" customHeight="1" thickBot="1" x14ac:dyDescent="0.3">
      <c r="A79" s="179">
        <v>1</v>
      </c>
      <c r="B79" s="180" t="s">
        <v>736</v>
      </c>
      <c r="C79" s="180" t="s">
        <v>253</v>
      </c>
      <c r="D79" s="180" t="s">
        <v>253</v>
      </c>
      <c r="E79" s="58" t="s">
        <v>75</v>
      </c>
      <c r="F79" s="187"/>
      <c r="G79" s="187"/>
      <c r="H79" s="188"/>
      <c r="I79" s="188">
        <v>25000</v>
      </c>
      <c r="J79" s="186">
        <f>SUM(F79:I79)</f>
        <v>25000</v>
      </c>
    </row>
    <row r="80" spans="1:11" s="5" customFormat="1" ht="14.25" customHeight="1" thickBot="1" x14ac:dyDescent="0.3">
      <c r="A80" s="343" t="s">
        <v>3</v>
      </c>
      <c r="B80" s="343"/>
      <c r="C80" s="343"/>
      <c r="D80" s="343"/>
      <c r="E80" s="191"/>
      <c r="F80" s="192">
        <f>SUM(F79:F79)</f>
        <v>0</v>
      </c>
      <c r="G80" s="192">
        <f>SUM(G79:G79)</f>
        <v>0</v>
      </c>
      <c r="H80" s="192">
        <f>SUM(H79:H79)</f>
        <v>0</v>
      </c>
      <c r="I80" s="192">
        <f>SUM(I79:I79)</f>
        <v>25000</v>
      </c>
      <c r="J80" s="193">
        <f>SUM(F80:I80)</f>
        <v>25000</v>
      </c>
      <c r="K80"/>
    </row>
    <row r="81" spans="1:11" s="5" customFormat="1" ht="14.25" customHeight="1" thickTop="1" x14ac:dyDescent="0.25">
      <c r="A81" s="359" t="s">
        <v>19</v>
      </c>
      <c r="B81" s="360"/>
      <c r="C81" s="360"/>
      <c r="D81" s="360"/>
      <c r="E81" s="361"/>
      <c r="F81" s="194">
        <f>F80+F77+F72+F62+F57+F45+F33</f>
        <v>1123000</v>
      </c>
      <c r="G81" s="194">
        <f>G80+G77+G72+G62+G57+G45+G33</f>
        <v>661000</v>
      </c>
      <c r="H81" s="194">
        <f>H80+H77+H72+H62+H57+H45+H33</f>
        <v>616500</v>
      </c>
      <c r="I81" s="194">
        <f>I80+I77+I72+I62+I57+I45+I33</f>
        <v>3529950</v>
      </c>
      <c r="J81" s="200">
        <f>SUM(F81:I81)</f>
        <v>5930450</v>
      </c>
      <c r="K81"/>
    </row>
    <row r="82" spans="1:11" s="2" customFormat="1" ht="14.25" customHeight="1" x14ac:dyDescent="0.25">
      <c r="A82" s="358" t="s">
        <v>85</v>
      </c>
      <c r="B82" s="358"/>
      <c r="C82" s="358"/>
      <c r="D82" s="358"/>
      <c r="E82" s="358"/>
      <c r="F82" s="358"/>
      <c r="G82" s="358"/>
      <c r="H82" s="358"/>
      <c r="I82" s="358"/>
      <c r="J82" s="358"/>
      <c r="K82"/>
    </row>
    <row r="83" spans="1:11" ht="14.25" customHeight="1" x14ac:dyDescent="0.25">
      <c r="A83" s="179">
        <v>1</v>
      </c>
      <c r="B83" s="180" t="s">
        <v>127</v>
      </c>
      <c r="C83" s="180" t="s">
        <v>16</v>
      </c>
      <c r="D83" s="180" t="s">
        <v>16</v>
      </c>
      <c r="E83" s="180" t="s">
        <v>75</v>
      </c>
      <c r="F83" s="58">
        <v>15000</v>
      </c>
      <c r="G83" s="58"/>
      <c r="H83" s="58"/>
      <c r="I83" s="58"/>
      <c r="J83" s="58">
        <f t="shared" ref="J83:J91" si="4">SUM(F83:I83)</f>
        <v>15000</v>
      </c>
    </row>
    <row r="84" spans="1:11" s="2" customFormat="1" ht="14.25" customHeight="1" x14ac:dyDescent="0.25">
      <c r="A84" s="179">
        <v>2</v>
      </c>
      <c r="B84" s="180" t="s">
        <v>177</v>
      </c>
      <c r="C84" s="180" t="s">
        <v>16</v>
      </c>
      <c r="D84" s="180" t="s">
        <v>16</v>
      </c>
      <c r="E84" s="180" t="s">
        <v>75</v>
      </c>
      <c r="F84" s="58">
        <v>7000</v>
      </c>
      <c r="G84" s="58"/>
      <c r="H84" s="58"/>
      <c r="I84" s="58"/>
      <c r="J84" s="58">
        <f t="shared" si="4"/>
        <v>7000</v>
      </c>
      <c r="K84"/>
    </row>
    <row r="85" spans="1:11" s="2" customFormat="1" ht="14.25" customHeight="1" x14ac:dyDescent="0.25">
      <c r="A85" s="179">
        <v>3</v>
      </c>
      <c r="B85" s="180" t="s">
        <v>184</v>
      </c>
      <c r="C85" s="180" t="s">
        <v>16</v>
      </c>
      <c r="D85" s="180" t="s">
        <v>16</v>
      </c>
      <c r="E85" s="180" t="s">
        <v>75</v>
      </c>
      <c r="F85" s="58"/>
      <c r="G85" s="58">
        <v>25000</v>
      </c>
      <c r="H85" s="58"/>
      <c r="I85" s="58"/>
      <c r="J85" s="58">
        <f t="shared" si="4"/>
        <v>25000</v>
      </c>
      <c r="K85"/>
    </row>
    <row r="86" spans="1:11" s="5" customFormat="1" ht="14.25" customHeight="1" x14ac:dyDescent="0.25">
      <c r="A86" s="179">
        <v>4</v>
      </c>
      <c r="B86" s="180" t="s">
        <v>497</v>
      </c>
      <c r="C86" s="180" t="s">
        <v>16</v>
      </c>
      <c r="D86" s="180" t="s">
        <v>16</v>
      </c>
      <c r="E86" s="180" t="s">
        <v>75</v>
      </c>
      <c r="F86" s="58"/>
      <c r="G86" s="58"/>
      <c r="H86" s="58">
        <v>7000</v>
      </c>
      <c r="I86" s="58"/>
      <c r="J86" s="58">
        <f t="shared" si="4"/>
        <v>7000</v>
      </c>
    </row>
    <row r="87" spans="1:11" s="123" customFormat="1" ht="14.25" customHeight="1" x14ac:dyDescent="0.25">
      <c r="A87" s="179">
        <v>5</v>
      </c>
      <c r="B87" s="180" t="s">
        <v>498</v>
      </c>
      <c r="C87" s="180" t="s">
        <v>16</v>
      </c>
      <c r="D87" s="180" t="s">
        <v>16</v>
      </c>
      <c r="E87" s="180" t="s">
        <v>75</v>
      </c>
      <c r="F87" s="58"/>
      <c r="G87" s="58"/>
      <c r="H87" s="58">
        <v>6000</v>
      </c>
      <c r="I87" s="58"/>
      <c r="J87" s="58">
        <f t="shared" si="4"/>
        <v>6000</v>
      </c>
    </row>
    <row r="88" spans="1:11" s="123" customFormat="1" ht="14.25" customHeight="1" x14ac:dyDescent="0.25">
      <c r="A88" s="179">
        <v>6</v>
      </c>
      <c r="B88" s="180" t="s">
        <v>119</v>
      </c>
      <c r="C88" s="180" t="s">
        <v>16</v>
      </c>
      <c r="D88" s="180" t="s">
        <v>16</v>
      </c>
      <c r="E88" s="180" t="s">
        <v>75</v>
      </c>
      <c r="F88" s="58"/>
      <c r="G88" s="58"/>
      <c r="H88" s="58"/>
      <c r="I88" s="58">
        <v>10000</v>
      </c>
      <c r="J88" s="58">
        <f t="shared" si="4"/>
        <v>10000</v>
      </c>
    </row>
    <row r="89" spans="1:11" s="123" customFormat="1" ht="14.25" customHeight="1" x14ac:dyDescent="0.25">
      <c r="A89" s="179">
        <v>7</v>
      </c>
      <c r="B89" s="180" t="s">
        <v>659</v>
      </c>
      <c r="C89" s="180" t="s">
        <v>16</v>
      </c>
      <c r="D89" s="180" t="s">
        <v>16</v>
      </c>
      <c r="E89" s="180" t="s">
        <v>75</v>
      </c>
      <c r="F89" s="58"/>
      <c r="G89" s="58"/>
      <c r="H89" s="58"/>
      <c r="I89" s="58">
        <v>5000</v>
      </c>
      <c r="J89" s="58">
        <f>SUM(F89:I89)</f>
        <v>5000</v>
      </c>
    </row>
    <row r="90" spans="1:11" s="123" customFormat="1" ht="14.25" customHeight="1" x14ac:dyDescent="0.25">
      <c r="A90" s="179">
        <v>8</v>
      </c>
      <c r="B90" s="180" t="s">
        <v>635</v>
      </c>
      <c r="C90" s="180" t="s">
        <v>16</v>
      </c>
      <c r="D90" s="180" t="s">
        <v>16</v>
      </c>
      <c r="E90" s="180" t="s">
        <v>75</v>
      </c>
      <c r="F90" s="58"/>
      <c r="G90" s="58"/>
      <c r="H90" s="58"/>
      <c r="I90" s="58">
        <v>25000</v>
      </c>
      <c r="J90" s="58">
        <f t="shared" si="4"/>
        <v>25000</v>
      </c>
    </row>
    <row r="91" spans="1:11" s="123" customFormat="1" ht="14.25" customHeight="1" thickBot="1" x14ac:dyDescent="0.3">
      <c r="A91" s="179">
        <v>9</v>
      </c>
      <c r="B91" s="180" t="s">
        <v>747</v>
      </c>
      <c r="C91" s="180" t="s">
        <v>16</v>
      </c>
      <c r="D91" s="180" t="s">
        <v>16</v>
      </c>
      <c r="E91" s="180" t="s">
        <v>75</v>
      </c>
      <c r="F91" s="58"/>
      <c r="G91" s="58"/>
      <c r="H91" s="58"/>
      <c r="I91" s="58">
        <v>3000</v>
      </c>
      <c r="J91" s="58">
        <f t="shared" si="4"/>
        <v>3000</v>
      </c>
    </row>
    <row r="92" spans="1:11" s="5" customFormat="1" ht="14.25" customHeight="1" x14ac:dyDescent="0.25">
      <c r="A92" s="317" t="s">
        <v>3</v>
      </c>
      <c r="B92" s="318"/>
      <c r="C92" s="318"/>
      <c r="D92" s="318"/>
      <c r="E92" s="319"/>
      <c r="F92" s="195">
        <f>SUM(F83:F91)</f>
        <v>22000</v>
      </c>
      <c r="G92" s="195">
        <f>SUM(G83:G91)</f>
        <v>25000</v>
      </c>
      <c r="H92" s="195">
        <f>SUM(H83:H91)</f>
        <v>13000</v>
      </c>
      <c r="I92" s="195">
        <f>SUM(I83:I91)</f>
        <v>43000</v>
      </c>
      <c r="J92" s="195">
        <f>SUM(J83:J91)</f>
        <v>103000</v>
      </c>
      <c r="K92"/>
    </row>
    <row r="93" spans="1:11" s="5" customFormat="1" ht="14.25" customHeight="1" x14ac:dyDescent="0.25">
      <c r="A93" s="358" t="s">
        <v>17</v>
      </c>
      <c r="B93" s="358"/>
      <c r="C93" s="358"/>
      <c r="D93" s="358"/>
      <c r="E93" s="358"/>
      <c r="F93" s="358"/>
      <c r="G93" s="358"/>
      <c r="H93" s="358"/>
      <c r="I93" s="358"/>
      <c r="J93" s="358"/>
      <c r="K93"/>
    </row>
    <row r="94" spans="1:11" s="5" customFormat="1" ht="14.25" customHeight="1" x14ac:dyDescent="0.25">
      <c r="A94" s="179">
        <v>1</v>
      </c>
      <c r="B94" s="120" t="s">
        <v>121</v>
      </c>
      <c r="C94" s="120" t="s">
        <v>17</v>
      </c>
      <c r="D94" s="120" t="s">
        <v>17</v>
      </c>
      <c r="E94" s="120" t="s">
        <v>95</v>
      </c>
      <c r="F94" s="58">
        <v>30000</v>
      </c>
      <c r="G94" s="58"/>
      <c r="H94" s="58"/>
      <c r="I94" s="58">
        <v>30000</v>
      </c>
      <c r="J94" s="58">
        <f>SUM(F94:I94)</f>
        <v>60000</v>
      </c>
      <c r="K94"/>
    </row>
    <row r="95" spans="1:11" s="5" customFormat="1" ht="14.25" customHeight="1" x14ac:dyDescent="0.25">
      <c r="A95" s="179">
        <v>2</v>
      </c>
      <c r="B95" s="120" t="s">
        <v>729</v>
      </c>
      <c r="C95" s="120" t="s">
        <v>17</v>
      </c>
      <c r="D95" s="120" t="s">
        <v>17</v>
      </c>
      <c r="E95" s="120" t="s">
        <v>730</v>
      </c>
      <c r="F95" s="58"/>
      <c r="G95" s="58"/>
      <c r="H95" s="58"/>
      <c r="I95" s="58">
        <v>20000</v>
      </c>
      <c r="J95" s="58">
        <f t="shared" ref="J95:J98" si="5">SUM(F95:I95)</f>
        <v>20000</v>
      </c>
    </row>
    <row r="96" spans="1:11" s="5" customFormat="1" ht="14.25" customHeight="1" x14ac:dyDescent="0.25">
      <c r="A96" s="179">
        <v>3</v>
      </c>
      <c r="B96" s="180" t="s">
        <v>737</v>
      </c>
      <c r="C96" s="120" t="s">
        <v>17</v>
      </c>
      <c r="D96" s="120" t="s">
        <v>17</v>
      </c>
      <c r="E96" s="120" t="s">
        <v>75</v>
      </c>
      <c r="F96" s="58"/>
      <c r="G96" s="58"/>
      <c r="H96" s="58"/>
      <c r="I96" s="58">
        <v>10000</v>
      </c>
      <c r="J96" s="58">
        <f t="shared" si="5"/>
        <v>10000</v>
      </c>
    </row>
    <row r="97" spans="1:11" s="123" customFormat="1" ht="14.25" customHeight="1" x14ac:dyDescent="0.25">
      <c r="A97" s="179">
        <v>4</v>
      </c>
      <c r="B97" s="180" t="s">
        <v>748</v>
      </c>
      <c r="C97" s="120" t="s">
        <v>17</v>
      </c>
      <c r="D97" s="120" t="s">
        <v>17</v>
      </c>
      <c r="E97" s="120" t="s">
        <v>95</v>
      </c>
      <c r="F97" s="58"/>
      <c r="G97" s="58"/>
      <c r="H97" s="58"/>
      <c r="I97" s="58">
        <v>50000</v>
      </c>
      <c r="J97" s="58">
        <f t="shared" si="5"/>
        <v>50000</v>
      </c>
    </row>
    <row r="98" spans="1:11" s="123" customFormat="1" ht="14.25" customHeight="1" thickBot="1" x14ac:dyDescent="0.3">
      <c r="A98" s="179">
        <v>5</v>
      </c>
      <c r="B98" s="180" t="s">
        <v>279</v>
      </c>
      <c r="C98" s="120" t="s">
        <v>17</v>
      </c>
      <c r="D98" s="120" t="s">
        <v>17</v>
      </c>
      <c r="E98" s="120" t="s">
        <v>95</v>
      </c>
      <c r="F98" s="58"/>
      <c r="G98" s="58"/>
      <c r="H98" s="58"/>
      <c r="I98" s="58">
        <v>10000</v>
      </c>
      <c r="J98" s="58">
        <f t="shared" si="5"/>
        <v>10000</v>
      </c>
    </row>
    <row r="99" spans="1:11" x14ac:dyDescent="0.25">
      <c r="A99" s="317" t="s">
        <v>3</v>
      </c>
      <c r="B99" s="318"/>
      <c r="C99" s="318"/>
      <c r="D99" s="318"/>
      <c r="E99" s="319"/>
      <c r="F99" s="181">
        <f>SUM(F94:F98)</f>
        <v>30000</v>
      </c>
      <c r="G99" s="181">
        <f>SUM(G94:G98)</f>
        <v>0</v>
      </c>
      <c r="H99" s="181">
        <f>SUM(H94:H98)</f>
        <v>0</v>
      </c>
      <c r="I99" s="181">
        <f>SUM(I94:I98)</f>
        <v>120000</v>
      </c>
      <c r="J99" s="181">
        <f>SUM(F99:I99)</f>
        <v>150000</v>
      </c>
    </row>
    <row r="100" spans="1:11" x14ac:dyDescent="0.25">
      <c r="A100" s="358" t="s">
        <v>30</v>
      </c>
      <c r="B100" s="358"/>
      <c r="C100" s="358"/>
      <c r="D100" s="358"/>
      <c r="E100" s="358"/>
      <c r="F100" s="358"/>
      <c r="G100" s="358"/>
      <c r="H100" s="358"/>
      <c r="I100" s="358"/>
      <c r="J100" s="358"/>
    </row>
    <row r="101" spans="1:11" ht="15.75" thickBot="1" x14ac:dyDescent="0.3">
      <c r="A101" s="179">
        <v>1</v>
      </c>
      <c r="B101" s="120" t="s">
        <v>225</v>
      </c>
      <c r="C101" s="120" t="s">
        <v>30</v>
      </c>
      <c r="D101" s="120" t="s">
        <v>30</v>
      </c>
      <c r="E101" s="185" t="s">
        <v>96</v>
      </c>
      <c r="F101" s="185"/>
      <c r="G101" s="58"/>
      <c r="H101" s="58"/>
      <c r="I101" s="58">
        <v>100000</v>
      </c>
      <c r="J101" s="58">
        <f t="shared" ref="J101" si="6">SUM(F101:I101)</f>
        <v>100000</v>
      </c>
    </row>
    <row r="102" spans="1:11" s="5" customFormat="1" x14ac:dyDescent="0.25">
      <c r="A102" s="317" t="s">
        <v>3</v>
      </c>
      <c r="B102" s="318"/>
      <c r="C102" s="318"/>
      <c r="D102" s="318"/>
      <c r="E102" s="319"/>
      <c r="F102" s="196">
        <f>SUM(F101:F101)</f>
        <v>0</v>
      </c>
      <c r="G102" s="196">
        <f>SUM(G101:G101)</f>
        <v>0</v>
      </c>
      <c r="H102" s="196">
        <f>SUM(H101:H101)</f>
        <v>0</v>
      </c>
      <c r="I102" s="196">
        <f>SUM(I101:I101)</f>
        <v>100000</v>
      </c>
      <c r="J102" s="195">
        <f>SUM(J101:J101)</f>
        <v>100000</v>
      </c>
      <c r="K102"/>
    </row>
    <row r="103" spans="1:11" s="5" customFormat="1" x14ac:dyDescent="0.25">
      <c r="A103" s="358" t="s">
        <v>91</v>
      </c>
      <c r="B103" s="358"/>
      <c r="C103" s="358"/>
      <c r="D103" s="358"/>
      <c r="E103" s="358"/>
      <c r="F103" s="358"/>
      <c r="G103" s="358"/>
      <c r="H103" s="358"/>
      <c r="I103" s="358"/>
      <c r="J103" s="358"/>
    </row>
    <row r="104" spans="1:11" s="5" customFormat="1" x14ac:dyDescent="0.25">
      <c r="A104" s="179">
        <v>1</v>
      </c>
      <c r="B104" s="120"/>
      <c r="C104" s="120"/>
      <c r="D104" s="120"/>
      <c r="E104" s="120"/>
      <c r="F104" s="58"/>
      <c r="G104" s="58"/>
      <c r="H104" s="58"/>
      <c r="I104" s="58"/>
      <c r="J104" s="58">
        <f t="shared" ref="J104:J105" si="7">SUM(F104:I104)</f>
        <v>0</v>
      </c>
    </row>
    <row r="105" spans="1:11" s="123" customFormat="1" ht="15.75" thickBot="1" x14ac:dyDescent="0.3">
      <c r="A105" s="184">
        <v>2</v>
      </c>
      <c r="B105" s="120"/>
      <c r="C105" s="120"/>
      <c r="D105" s="120"/>
      <c r="E105" s="120"/>
      <c r="F105" s="133"/>
      <c r="G105" s="133"/>
      <c r="H105" s="133"/>
      <c r="I105" s="133"/>
      <c r="J105" s="58">
        <f t="shared" si="7"/>
        <v>0</v>
      </c>
    </row>
    <row r="106" spans="1:11" s="5" customFormat="1" x14ac:dyDescent="0.25">
      <c r="A106" s="317" t="s">
        <v>3</v>
      </c>
      <c r="B106" s="318"/>
      <c r="C106" s="318"/>
      <c r="D106" s="318"/>
      <c r="E106" s="319"/>
      <c r="F106" s="196">
        <f>SUM(F104:F105)</f>
        <v>0</v>
      </c>
      <c r="G106" s="196">
        <f>SUM(G104:G105)</f>
        <v>0</v>
      </c>
      <c r="H106" s="196">
        <f>SUM(H104:H105)</f>
        <v>0</v>
      </c>
      <c r="I106" s="196">
        <f>SUM(I104:I105)</f>
        <v>0</v>
      </c>
      <c r="J106" s="195">
        <f>SUM(J104:J105)</f>
        <v>0</v>
      </c>
    </row>
    <row r="107" spans="1:11" x14ac:dyDescent="0.25">
      <c r="A107" s="358" t="s">
        <v>82</v>
      </c>
      <c r="B107" s="358"/>
      <c r="C107" s="358"/>
      <c r="D107" s="358"/>
      <c r="E107" s="358"/>
      <c r="F107" s="358"/>
      <c r="G107" s="358"/>
      <c r="H107" s="358"/>
      <c r="I107" s="358"/>
      <c r="J107" s="358"/>
    </row>
    <row r="108" spans="1:11" x14ac:dyDescent="0.25">
      <c r="A108" s="179">
        <v>1</v>
      </c>
      <c r="B108" s="180" t="s">
        <v>171</v>
      </c>
      <c r="C108" s="180" t="s">
        <v>88</v>
      </c>
      <c r="D108" s="180" t="s">
        <v>88</v>
      </c>
      <c r="E108" s="180" t="s">
        <v>75</v>
      </c>
      <c r="F108" s="58">
        <v>30000</v>
      </c>
      <c r="G108" s="58"/>
      <c r="H108" s="58"/>
      <c r="I108" s="58"/>
      <c r="J108" s="58">
        <f>SUM(F108:I108)</f>
        <v>30000</v>
      </c>
    </row>
    <row r="109" spans="1:11" s="5" customFormat="1" x14ac:dyDescent="0.25">
      <c r="A109" s="184">
        <v>2</v>
      </c>
      <c r="B109" s="180" t="s">
        <v>117</v>
      </c>
      <c r="C109" s="180" t="s">
        <v>88</v>
      </c>
      <c r="D109" s="180" t="s">
        <v>88</v>
      </c>
      <c r="E109" s="180" t="s">
        <v>75</v>
      </c>
      <c r="F109" s="133">
        <v>10000</v>
      </c>
      <c r="G109" s="133"/>
      <c r="H109" s="133"/>
      <c r="I109" s="133"/>
      <c r="J109" s="58">
        <f>SUM(F109:I109)</f>
        <v>10000</v>
      </c>
    </row>
    <row r="110" spans="1:11" s="123" customFormat="1" x14ac:dyDescent="0.25">
      <c r="A110" s="179">
        <v>3</v>
      </c>
      <c r="B110" s="180" t="s">
        <v>163</v>
      </c>
      <c r="C110" s="180" t="s">
        <v>88</v>
      </c>
      <c r="D110" s="180" t="s">
        <v>88</v>
      </c>
      <c r="E110" s="180" t="s">
        <v>75</v>
      </c>
      <c r="F110" s="133">
        <v>40000</v>
      </c>
      <c r="G110" s="133"/>
      <c r="H110" s="133"/>
      <c r="I110" s="133"/>
      <c r="J110" s="58">
        <f t="shared" ref="J110:J137" si="8">SUM(F110:I110)</f>
        <v>40000</v>
      </c>
    </row>
    <row r="111" spans="1:11" s="123" customFormat="1" x14ac:dyDescent="0.25">
      <c r="A111" s="184">
        <v>4</v>
      </c>
      <c r="B111" s="180" t="s">
        <v>178</v>
      </c>
      <c r="C111" s="180" t="s">
        <v>88</v>
      </c>
      <c r="D111" s="180" t="s">
        <v>88</v>
      </c>
      <c r="E111" s="180" t="s">
        <v>95</v>
      </c>
      <c r="F111" s="133">
        <v>20000</v>
      </c>
      <c r="G111" s="133">
        <v>30000</v>
      </c>
      <c r="H111" s="133"/>
      <c r="I111" s="133">
        <v>30000</v>
      </c>
      <c r="J111" s="58">
        <f t="shared" si="8"/>
        <v>80000</v>
      </c>
    </row>
    <row r="112" spans="1:11" s="123" customFormat="1" x14ac:dyDescent="0.25">
      <c r="A112" s="179">
        <v>5</v>
      </c>
      <c r="B112" s="180" t="s">
        <v>118</v>
      </c>
      <c r="C112" s="180" t="s">
        <v>88</v>
      </c>
      <c r="D112" s="180" t="s">
        <v>88</v>
      </c>
      <c r="E112" s="180" t="s">
        <v>75</v>
      </c>
      <c r="F112" s="133">
        <v>20000</v>
      </c>
      <c r="G112" s="133"/>
      <c r="H112" s="133"/>
      <c r="I112" s="133"/>
      <c r="J112" s="58">
        <f t="shared" si="8"/>
        <v>20000</v>
      </c>
    </row>
    <row r="113" spans="1:10" s="123" customFormat="1" x14ac:dyDescent="0.25">
      <c r="A113" s="184">
        <v>6</v>
      </c>
      <c r="B113" s="180" t="s">
        <v>182</v>
      </c>
      <c r="C113" s="180" t="s">
        <v>88</v>
      </c>
      <c r="D113" s="180" t="s">
        <v>88</v>
      </c>
      <c r="E113" s="180" t="s">
        <v>75</v>
      </c>
      <c r="F113" s="133"/>
      <c r="G113" s="133">
        <v>75000</v>
      </c>
      <c r="H113" s="133"/>
      <c r="I113" s="133"/>
      <c r="J113" s="58">
        <f t="shared" si="8"/>
        <v>75000</v>
      </c>
    </row>
    <row r="114" spans="1:10" s="123" customFormat="1" x14ac:dyDescent="0.25">
      <c r="A114" s="179">
        <v>7</v>
      </c>
      <c r="B114" s="180" t="s">
        <v>131</v>
      </c>
      <c r="C114" s="180" t="s">
        <v>88</v>
      </c>
      <c r="D114" s="180" t="s">
        <v>88</v>
      </c>
      <c r="E114" s="180" t="s">
        <v>75</v>
      </c>
      <c r="F114" s="133"/>
      <c r="G114" s="133">
        <v>40000</v>
      </c>
      <c r="H114" s="133"/>
      <c r="I114" s="133">
        <v>50000</v>
      </c>
      <c r="J114" s="58">
        <f t="shared" si="8"/>
        <v>90000</v>
      </c>
    </row>
    <row r="115" spans="1:10" s="123" customFormat="1" x14ac:dyDescent="0.25">
      <c r="A115" s="184">
        <v>8</v>
      </c>
      <c r="B115" s="180" t="s">
        <v>128</v>
      </c>
      <c r="C115" s="180" t="s">
        <v>88</v>
      </c>
      <c r="D115" s="180" t="s">
        <v>88</v>
      </c>
      <c r="E115" s="180" t="s">
        <v>75</v>
      </c>
      <c r="F115" s="133"/>
      <c r="G115" s="133">
        <v>10000</v>
      </c>
      <c r="H115" s="133"/>
      <c r="I115" s="133"/>
      <c r="J115" s="58">
        <f t="shared" si="8"/>
        <v>10000</v>
      </c>
    </row>
    <row r="116" spans="1:10" s="123" customFormat="1" x14ac:dyDescent="0.25">
      <c r="A116" s="179">
        <v>9</v>
      </c>
      <c r="B116" s="180" t="s">
        <v>130</v>
      </c>
      <c r="C116" s="180" t="s">
        <v>88</v>
      </c>
      <c r="D116" s="180" t="s">
        <v>88</v>
      </c>
      <c r="E116" s="180" t="s">
        <v>75</v>
      </c>
      <c r="F116" s="133"/>
      <c r="G116" s="133">
        <v>5000</v>
      </c>
      <c r="H116" s="133"/>
      <c r="I116" s="133">
        <v>10000</v>
      </c>
      <c r="J116" s="58">
        <f t="shared" si="8"/>
        <v>15000</v>
      </c>
    </row>
    <row r="117" spans="1:10" s="123" customFormat="1" x14ac:dyDescent="0.25">
      <c r="A117" s="184">
        <v>10</v>
      </c>
      <c r="B117" s="180" t="s">
        <v>164</v>
      </c>
      <c r="C117" s="180" t="s">
        <v>88</v>
      </c>
      <c r="D117" s="180" t="s">
        <v>88</v>
      </c>
      <c r="E117" s="180" t="s">
        <v>75</v>
      </c>
      <c r="F117" s="133"/>
      <c r="G117" s="133">
        <v>4500</v>
      </c>
      <c r="H117" s="133"/>
      <c r="I117" s="133"/>
      <c r="J117" s="58">
        <f t="shared" si="8"/>
        <v>4500</v>
      </c>
    </row>
    <row r="118" spans="1:10" s="123" customFormat="1" x14ac:dyDescent="0.25">
      <c r="A118" s="179">
        <v>11</v>
      </c>
      <c r="B118" s="180" t="s">
        <v>126</v>
      </c>
      <c r="C118" s="180" t="s">
        <v>88</v>
      </c>
      <c r="D118" s="180" t="s">
        <v>88</v>
      </c>
      <c r="E118" s="180" t="s">
        <v>75</v>
      </c>
      <c r="F118" s="133"/>
      <c r="G118" s="133">
        <v>15000</v>
      </c>
      <c r="H118" s="133">
        <v>20000</v>
      </c>
      <c r="I118" s="133">
        <v>25000</v>
      </c>
      <c r="J118" s="58">
        <f t="shared" si="8"/>
        <v>60000</v>
      </c>
    </row>
    <row r="119" spans="1:10" s="123" customFormat="1" x14ac:dyDescent="0.25">
      <c r="A119" s="179">
        <v>12</v>
      </c>
      <c r="B119" s="180" t="s">
        <v>162</v>
      </c>
      <c r="C119" s="180" t="s">
        <v>88</v>
      </c>
      <c r="D119" s="180" t="s">
        <v>88</v>
      </c>
      <c r="E119" s="180" t="s">
        <v>75</v>
      </c>
      <c r="F119" s="133"/>
      <c r="G119" s="133">
        <v>10000</v>
      </c>
      <c r="H119" s="133"/>
      <c r="I119" s="133"/>
      <c r="J119" s="58">
        <f t="shared" si="8"/>
        <v>10000</v>
      </c>
    </row>
    <row r="120" spans="1:10" s="123" customFormat="1" x14ac:dyDescent="0.25">
      <c r="A120" s="179">
        <v>13</v>
      </c>
      <c r="B120" s="180" t="s">
        <v>125</v>
      </c>
      <c r="C120" s="180" t="s">
        <v>88</v>
      </c>
      <c r="D120" s="180" t="s">
        <v>88</v>
      </c>
      <c r="E120" s="180" t="s">
        <v>492</v>
      </c>
      <c r="F120" s="133"/>
      <c r="G120" s="133">
        <v>50000</v>
      </c>
      <c r="H120" s="133"/>
      <c r="I120" s="133"/>
      <c r="J120" s="58">
        <f t="shared" si="8"/>
        <v>50000</v>
      </c>
    </row>
    <row r="121" spans="1:10" s="123" customFormat="1" x14ac:dyDescent="0.25">
      <c r="A121" s="179">
        <v>14</v>
      </c>
      <c r="B121" s="180" t="s">
        <v>161</v>
      </c>
      <c r="C121" s="180" t="s">
        <v>88</v>
      </c>
      <c r="D121" s="180" t="s">
        <v>88</v>
      </c>
      <c r="E121" s="180" t="s">
        <v>75</v>
      </c>
      <c r="F121" s="133"/>
      <c r="G121" s="133">
        <v>15000</v>
      </c>
      <c r="H121" s="133"/>
      <c r="I121" s="133"/>
      <c r="J121" s="58">
        <f t="shared" si="8"/>
        <v>15000</v>
      </c>
    </row>
    <row r="122" spans="1:10" s="123" customFormat="1" x14ac:dyDescent="0.25">
      <c r="A122" s="179">
        <v>15</v>
      </c>
      <c r="B122" s="180" t="s">
        <v>100</v>
      </c>
      <c r="C122" s="180" t="s">
        <v>5</v>
      </c>
      <c r="D122" s="180" t="s">
        <v>88</v>
      </c>
      <c r="E122" s="180" t="s">
        <v>96</v>
      </c>
      <c r="F122" s="133"/>
      <c r="G122" s="133">
        <v>45000</v>
      </c>
      <c r="H122" s="133">
        <v>10000</v>
      </c>
      <c r="I122" s="133">
        <v>20000</v>
      </c>
      <c r="J122" s="58">
        <f t="shared" si="8"/>
        <v>75000</v>
      </c>
    </row>
    <row r="123" spans="1:10" s="123" customFormat="1" x14ac:dyDescent="0.25">
      <c r="A123" s="179">
        <v>16</v>
      </c>
      <c r="B123" s="180" t="s">
        <v>494</v>
      </c>
      <c r="C123" s="180" t="s">
        <v>16</v>
      </c>
      <c r="D123" s="180" t="s">
        <v>88</v>
      </c>
      <c r="E123" s="180" t="s">
        <v>75</v>
      </c>
      <c r="F123" s="133"/>
      <c r="G123" s="133"/>
      <c r="H123" s="133">
        <v>10000</v>
      </c>
      <c r="I123" s="133"/>
      <c r="J123" s="58">
        <f t="shared" si="8"/>
        <v>10000</v>
      </c>
    </row>
    <row r="124" spans="1:10" s="123" customFormat="1" x14ac:dyDescent="0.25">
      <c r="A124" s="179">
        <v>17</v>
      </c>
      <c r="B124" s="180" t="s">
        <v>496</v>
      </c>
      <c r="C124" s="180" t="s">
        <v>88</v>
      </c>
      <c r="D124" s="180" t="s">
        <v>88</v>
      </c>
      <c r="E124" s="180" t="s">
        <v>75</v>
      </c>
      <c r="F124" s="133"/>
      <c r="G124" s="133"/>
      <c r="H124" s="133">
        <v>30000</v>
      </c>
      <c r="I124" s="133"/>
      <c r="J124" s="58">
        <f t="shared" si="8"/>
        <v>30000</v>
      </c>
    </row>
    <row r="125" spans="1:10" s="123" customFormat="1" x14ac:dyDescent="0.25">
      <c r="A125" s="179">
        <v>18</v>
      </c>
      <c r="B125" s="180" t="s">
        <v>364</v>
      </c>
      <c r="C125" s="180" t="s">
        <v>5</v>
      </c>
      <c r="D125" s="180" t="s">
        <v>88</v>
      </c>
      <c r="E125" s="180" t="s">
        <v>96</v>
      </c>
      <c r="F125" s="133"/>
      <c r="G125" s="133"/>
      <c r="H125" s="133">
        <v>10000</v>
      </c>
      <c r="I125" s="133"/>
      <c r="J125" s="58">
        <f t="shared" si="8"/>
        <v>10000</v>
      </c>
    </row>
    <row r="126" spans="1:10" s="123" customFormat="1" x14ac:dyDescent="0.25">
      <c r="A126" s="179">
        <v>19</v>
      </c>
      <c r="B126" s="180" t="s">
        <v>351</v>
      </c>
      <c r="C126" s="180" t="s">
        <v>88</v>
      </c>
      <c r="D126" s="180" t="s">
        <v>88</v>
      </c>
      <c r="E126" s="180" t="s">
        <v>75</v>
      </c>
      <c r="F126" s="133"/>
      <c r="G126" s="133"/>
      <c r="H126" s="133">
        <v>14500</v>
      </c>
      <c r="I126" s="133"/>
      <c r="J126" s="58">
        <f t="shared" si="8"/>
        <v>14500</v>
      </c>
    </row>
    <row r="127" spans="1:10" s="123" customFormat="1" x14ac:dyDescent="0.25">
      <c r="A127" s="179">
        <v>20</v>
      </c>
      <c r="B127" s="180" t="s">
        <v>355</v>
      </c>
      <c r="C127" s="180" t="s">
        <v>88</v>
      </c>
      <c r="D127" s="180" t="s">
        <v>88</v>
      </c>
      <c r="E127" s="180" t="s">
        <v>75</v>
      </c>
      <c r="F127" s="133"/>
      <c r="G127" s="133"/>
      <c r="H127" s="133">
        <v>10000</v>
      </c>
      <c r="I127" s="133"/>
      <c r="J127" s="58">
        <f t="shared" si="8"/>
        <v>10000</v>
      </c>
    </row>
    <row r="128" spans="1:10" s="123" customFormat="1" x14ac:dyDescent="0.25">
      <c r="A128" s="179">
        <v>21</v>
      </c>
      <c r="B128" s="180" t="s">
        <v>499</v>
      </c>
      <c r="C128" s="180" t="s">
        <v>88</v>
      </c>
      <c r="D128" s="180" t="s">
        <v>88</v>
      </c>
      <c r="E128" s="180" t="s">
        <v>96</v>
      </c>
      <c r="F128" s="133"/>
      <c r="G128" s="133"/>
      <c r="H128" s="133">
        <v>20000</v>
      </c>
      <c r="I128" s="133"/>
      <c r="J128" s="58">
        <f t="shared" si="8"/>
        <v>20000</v>
      </c>
    </row>
    <row r="129" spans="1:11" s="123" customFormat="1" x14ac:dyDescent="0.25">
      <c r="A129" s="179">
        <v>22</v>
      </c>
      <c r="B129" s="180" t="s">
        <v>500</v>
      </c>
      <c r="C129" s="180" t="s">
        <v>88</v>
      </c>
      <c r="D129" s="180" t="s">
        <v>88</v>
      </c>
      <c r="E129" s="180" t="s">
        <v>75</v>
      </c>
      <c r="F129" s="133"/>
      <c r="G129" s="133"/>
      <c r="H129" s="133">
        <v>50000</v>
      </c>
      <c r="I129" s="133"/>
      <c r="J129" s="58">
        <f t="shared" si="8"/>
        <v>50000</v>
      </c>
    </row>
    <row r="130" spans="1:11" s="123" customFormat="1" x14ac:dyDescent="0.25">
      <c r="A130" s="179">
        <v>23</v>
      </c>
      <c r="B130" s="180" t="s">
        <v>501</v>
      </c>
      <c r="C130" s="180" t="s">
        <v>88</v>
      </c>
      <c r="D130" s="180" t="s">
        <v>88</v>
      </c>
      <c r="E130" s="180" t="s">
        <v>75</v>
      </c>
      <c r="F130" s="133"/>
      <c r="G130" s="133"/>
      <c r="H130" s="133">
        <v>50000</v>
      </c>
      <c r="I130" s="133"/>
      <c r="J130" s="58">
        <f t="shared" si="8"/>
        <v>50000</v>
      </c>
    </row>
    <row r="131" spans="1:11" s="123" customFormat="1" x14ac:dyDescent="0.25">
      <c r="A131" s="179">
        <v>24</v>
      </c>
      <c r="B131" s="180" t="s">
        <v>503</v>
      </c>
      <c r="C131" s="180" t="s">
        <v>88</v>
      </c>
      <c r="D131" s="180" t="s">
        <v>88</v>
      </c>
      <c r="E131" s="180" t="s">
        <v>75</v>
      </c>
      <c r="F131" s="133"/>
      <c r="G131" s="133"/>
      <c r="H131" s="133">
        <v>10000</v>
      </c>
      <c r="I131" s="133"/>
      <c r="J131" s="58">
        <f t="shared" si="8"/>
        <v>10000</v>
      </c>
    </row>
    <row r="132" spans="1:11" s="123" customFormat="1" x14ac:dyDescent="0.25">
      <c r="A132" s="179">
        <v>25</v>
      </c>
      <c r="B132" s="180" t="s">
        <v>361</v>
      </c>
      <c r="C132" s="180" t="s">
        <v>88</v>
      </c>
      <c r="D132" s="180" t="s">
        <v>88</v>
      </c>
      <c r="E132" s="180" t="s">
        <v>75</v>
      </c>
      <c r="F132" s="133"/>
      <c r="G132" s="133"/>
      <c r="H132" s="133">
        <v>5000</v>
      </c>
      <c r="I132" s="133"/>
      <c r="J132" s="58">
        <f t="shared" si="8"/>
        <v>5000</v>
      </c>
    </row>
    <row r="133" spans="1:11" s="123" customFormat="1" x14ac:dyDescent="0.25">
      <c r="A133" s="179">
        <v>26</v>
      </c>
      <c r="B133" s="180" t="s">
        <v>731</v>
      </c>
      <c r="C133" s="180" t="s">
        <v>88</v>
      </c>
      <c r="D133" s="180" t="s">
        <v>88</v>
      </c>
      <c r="E133" s="180" t="s">
        <v>75</v>
      </c>
      <c r="F133" s="133"/>
      <c r="G133" s="133"/>
      <c r="H133" s="133"/>
      <c r="I133" s="133">
        <v>8000</v>
      </c>
      <c r="J133" s="58">
        <f t="shared" si="8"/>
        <v>8000</v>
      </c>
    </row>
    <row r="134" spans="1:11" s="123" customFormat="1" x14ac:dyDescent="0.25">
      <c r="A134" s="179">
        <v>27</v>
      </c>
      <c r="B134" s="180" t="s">
        <v>322</v>
      </c>
      <c r="C134" s="180" t="s">
        <v>88</v>
      </c>
      <c r="D134" s="180" t="s">
        <v>88</v>
      </c>
      <c r="E134" s="180" t="s">
        <v>75</v>
      </c>
      <c r="F134" s="133"/>
      <c r="G134" s="133"/>
      <c r="H134" s="133"/>
      <c r="I134" s="133">
        <v>50000</v>
      </c>
      <c r="J134" s="58">
        <f t="shared" si="8"/>
        <v>50000</v>
      </c>
    </row>
    <row r="135" spans="1:11" s="123" customFormat="1" x14ac:dyDescent="0.25">
      <c r="A135" s="179">
        <v>28</v>
      </c>
      <c r="B135" s="180" t="s">
        <v>664</v>
      </c>
      <c r="C135" s="180" t="s">
        <v>88</v>
      </c>
      <c r="D135" s="180" t="s">
        <v>88</v>
      </c>
      <c r="E135" s="180" t="s">
        <v>75</v>
      </c>
      <c r="F135" s="133"/>
      <c r="G135" s="133"/>
      <c r="H135" s="133"/>
      <c r="I135" s="133">
        <v>15000</v>
      </c>
      <c r="J135" s="58">
        <f t="shared" si="8"/>
        <v>15000</v>
      </c>
    </row>
    <row r="136" spans="1:11" s="123" customFormat="1" x14ac:dyDescent="0.25">
      <c r="A136" s="179">
        <v>29</v>
      </c>
      <c r="B136" s="180" t="s">
        <v>264</v>
      </c>
      <c r="C136" s="180" t="s">
        <v>88</v>
      </c>
      <c r="D136" s="180" t="s">
        <v>88</v>
      </c>
      <c r="E136" s="180" t="s">
        <v>75</v>
      </c>
      <c r="F136" s="133"/>
      <c r="G136" s="133"/>
      <c r="H136" s="133"/>
      <c r="I136" s="133">
        <v>10000</v>
      </c>
      <c r="J136" s="58">
        <f t="shared" si="8"/>
        <v>10000</v>
      </c>
    </row>
    <row r="137" spans="1:11" s="123" customFormat="1" ht="15.75" thickBot="1" x14ac:dyDescent="0.3">
      <c r="A137" s="179">
        <v>30</v>
      </c>
      <c r="B137" s="180" t="s">
        <v>371</v>
      </c>
      <c r="C137" s="180" t="s">
        <v>88</v>
      </c>
      <c r="D137" s="180" t="s">
        <v>88</v>
      </c>
      <c r="E137" s="180" t="s">
        <v>75</v>
      </c>
      <c r="F137" s="133"/>
      <c r="G137" s="133"/>
      <c r="H137" s="133"/>
      <c r="I137" s="133">
        <v>15000</v>
      </c>
      <c r="J137" s="58">
        <f t="shared" si="8"/>
        <v>15000</v>
      </c>
    </row>
    <row r="138" spans="1:11" s="5" customFormat="1" x14ac:dyDescent="0.25">
      <c r="A138" s="317" t="s">
        <v>3</v>
      </c>
      <c r="B138" s="318"/>
      <c r="C138" s="318"/>
      <c r="D138" s="318"/>
      <c r="E138" s="319"/>
      <c r="F138" s="195">
        <f>SUM(F108:F137)</f>
        <v>120000</v>
      </c>
      <c r="G138" s="195">
        <f>SUM(G108:G137)</f>
        <v>299500</v>
      </c>
      <c r="H138" s="195">
        <f>SUM(H108:H137)</f>
        <v>239500</v>
      </c>
      <c r="I138" s="195">
        <f>SUM(I108:I137)</f>
        <v>233000</v>
      </c>
      <c r="J138" s="196">
        <f>SUM(F138:I138)</f>
        <v>892000</v>
      </c>
      <c r="K138"/>
    </row>
    <row r="139" spans="1:11" x14ac:dyDescent="0.25">
      <c r="A139" s="358" t="s">
        <v>14</v>
      </c>
      <c r="B139" s="358"/>
      <c r="C139" s="358"/>
      <c r="D139" s="358"/>
      <c r="E139" s="358"/>
      <c r="F139" s="358"/>
      <c r="G139" s="358"/>
      <c r="H139" s="358"/>
      <c r="I139" s="358"/>
      <c r="J139" s="358"/>
    </row>
    <row r="140" spans="1:11" x14ac:dyDescent="0.25">
      <c r="A140" s="179">
        <v>1</v>
      </c>
      <c r="B140" s="180" t="s">
        <v>122</v>
      </c>
      <c r="C140" s="180" t="s">
        <v>14</v>
      </c>
      <c r="D140" s="180" t="s">
        <v>14</v>
      </c>
      <c r="E140" s="180" t="s">
        <v>95</v>
      </c>
      <c r="F140" s="58">
        <v>50000</v>
      </c>
      <c r="G140" s="58"/>
      <c r="H140" s="58"/>
      <c r="I140" s="58">
        <v>40000</v>
      </c>
      <c r="J140" s="185">
        <f>SUM(F140:I140)</f>
        <v>90000</v>
      </c>
    </row>
    <row r="141" spans="1:11" x14ac:dyDescent="0.25">
      <c r="A141" s="179">
        <v>2</v>
      </c>
      <c r="B141" s="180" t="s">
        <v>172</v>
      </c>
      <c r="C141" s="180" t="s">
        <v>16</v>
      </c>
      <c r="D141" s="180" t="s">
        <v>14</v>
      </c>
      <c r="E141" s="180" t="s">
        <v>75</v>
      </c>
      <c r="F141" s="58">
        <v>33000</v>
      </c>
      <c r="G141" s="58"/>
      <c r="H141" s="58"/>
      <c r="I141" s="187"/>
      <c r="J141" s="185">
        <f t="shared" ref="J141:J158" si="9">SUM(F141:I141)</f>
        <v>33000</v>
      </c>
    </row>
    <row r="142" spans="1:11" s="5" customFormat="1" x14ac:dyDescent="0.25">
      <c r="A142" s="179">
        <v>3</v>
      </c>
      <c r="B142" s="180" t="s">
        <v>174</v>
      </c>
      <c r="C142" s="180" t="s">
        <v>14</v>
      </c>
      <c r="D142" s="180" t="s">
        <v>14</v>
      </c>
      <c r="E142" s="180" t="s">
        <v>96</v>
      </c>
      <c r="F142" s="58">
        <v>80000</v>
      </c>
      <c r="G142" s="58">
        <v>20000</v>
      </c>
      <c r="H142" s="58">
        <v>70000</v>
      </c>
      <c r="I142" s="58">
        <v>190000</v>
      </c>
      <c r="J142" s="185">
        <f t="shared" si="9"/>
        <v>360000</v>
      </c>
    </row>
    <row r="143" spans="1:11" s="5" customFormat="1" x14ac:dyDescent="0.25">
      <c r="A143" s="179">
        <v>4</v>
      </c>
      <c r="B143" s="180" t="s">
        <v>129</v>
      </c>
      <c r="C143" s="180" t="s">
        <v>14</v>
      </c>
      <c r="D143" s="180" t="s">
        <v>14</v>
      </c>
      <c r="E143" s="180" t="s">
        <v>95</v>
      </c>
      <c r="F143" s="58">
        <v>15000</v>
      </c>
      <c r="G143" s="58">
        <v>22500</v>
      </c>
      <c r="H143" s="187"/>
      <c r="I143" s="187">
        <v>32000</v>
      </c>
      <c r="J143" s="185">
        <f t="shared" si="9"/>
        <v>69500</v>
      </c>
    </row>
    <row r="144" spans="1:11" s="5" customFormat="1" x14ac:dyDescent="0.25">
      <c r="A144" s="179">
        <v>5</v>
      </c>
      <c r="B144" s="180" t="s">
        <v>146</v>
      </c>
      <c r="C144" s="180" t="s">
        <v>14</v>
      </c>
      <c r="D144" s="180" t="s">
        <v>14</v>
      </c>
      <c r="E144" s="180" t="s">
        <v>95</v>
      </c>
      <c r="F144" s="58">
        <v>60000</v>
      </c>
      <c r="G144" s="58">
        <v>113000</v>
      </c>
      <c r="H144" s="187">
        <v>71000</v>
      </c>
      <c r="I144" s="187">
        <v>324000</v>
      </c>
      <c r="J144" s="185">
        <f t="shared" si="9"/>
        <v>568000</v>
      </c>
    </row>
    <row r="145" spans="1:10" s="5" customFormat="1" x14ac:dyDescent="0.25">
      <c r="A145" s="179">
        <v>6</v>
      </c>
      <c r="B145" s="180" t="s">
        <v>179</v>
      </c>
      <c r="C145" s="180" t="s">
        <v>14</v>
      </c>
      <c r="D145" s="180" t="s">
        <v>14</v>
      </c>
      <c r="E145" s="180" t="s">
        <v>75</v>
      </c>
      <c r="F145" s="58">
        <v>35000</v>
      </c>
      <c r="G145" s="58"/>
      <c r="H145" s="187"/>
      <c r="I145" s="187"/>
      <c r="J145" s="185">
        <f t="shared" si="9"/>
        <v>35000</v>
      </c>
    </row>
    <row r="146" spans="1:10" s="5" customFormat="1" x14ac:dyDescent="0.25">
      <c r="A146" s="179">
        <v>7</v>
      </c>
      <c r="B146" s="180" t="s">
        <v>123</v>
      </c>
      <c r="C146" s="180" t="s">
        <v>14</v>
      </c>
      <c r="D146" s="180" t="s">
        <v>14</v>
      </c>
      <c r="E146" s="180" t="s">
        <v>96</v>
      </c>
      <c r="F146" s="58">
        <v>200000</v>
      </c>
      <c r="G146" s="58"/>
      <c r="H146" s="187"/>
      <c r="I146" s="187"/>
      <c r="J146" s="185">
        <f t="shared" si="9"/>
        <v>200000</v>
      </c>
    </row>
    <row r="147" spans="1:10" s="5" customFormat="1" x14ac:dyDescent="0.25">
      <c r="A147" s="179">
        <v>8</v>
      </c>
      <c r="B147" s="180" t="s">
        <v>124</v>
      </c>
      <c r="C147" s="180" t="s">
        <v>14</v>
      </c>
      <c r="D147" s="180" t="s">
        <v>14</v>
      </c>
      <c r="E147" s="180" t="s">
        <v>95</v>
      </c>
      <c r="F147" s="58"/>
      <c r="G147" s="58">
        <v>120000</v>
      </c>
      <c r="H147" s="187"/>
      <c r="I147" s="187">
        <v>65000</v>
      </c>
      <c r="J147" s="185">
        <f t="shared" si="9"/>
        <v>185000</v>
      </c>
    </row>
    <row r="148" spans="1:10" s="5" customFormat="1" x14ac:dyDescent="0.25">
      <c r="A148" s="179">
        <v>9</v>
      </c>
      <c r="B148" s="180" t="s">
        <v>134</v>
      </c>
      <c r="C148" s="180" t="s">
        <v>14</v>
      </c>
      <c r="D148" s="180" t="s">
        <v>14</v>
      </c>
      <c r="E148" s="180" t="s">
        <v>75</v>
      </c>
      <c r="F148" s="58"/>
      <c r="G148" s="58">
        <v>50000</v>
      </c>
      <c r="H148" s="187"/>
      <c r="I148" s="187"/>
      <c r="J148" s="185">
        <f t="shared" si="9"/>
        <v>50000</v>
      </c>
    </row>
    <row r="149" spans="1:10" s="5" customFormat="1" x14ac:dyDescent="0.25">
      <c r="A149" s="179">
        <v>10</v>
      </c>
      <c r="B149" s="180" t="s">
        <v>120</v>
      </c>
      <c r="C149" s="180" t="s">
        <v>14</v>
      </c>
      <c r="D149" s="180" t="s">
        <v>14</v>
      </c>
      <c r="E149" s="180" t="s">
        <v>96</v>
      </c>
      <c r="F149" s="58"/>
      <c r="G149" s="58">
        <v>21000</v>
      </c>
      <c r="H149" s="187"/>
      <c r="I149" s="187"/>
      <c r="J149" s="185">
        <f t="shared" si="9"/>
        <v>21000</v>
      </c>
    </row>
    <row r="150" spans="1:10" s="123" customFormat="1" x14ac:dyDescent="0.25">
      <c r="A150" s="179">
        <v>11</v>
      </c>
      <c r="B150" s="180" t="s">
        <v>188</v>
      </c>
      <c r="C150" s="180" t="s">
        <v>14</v>
      </c>
      <c r="D150" s="180" t="s">
        <v>14</v>
      </c>
      <c r="E150" s="180" t="s">
        <v>75</v>
      </c>
      <c r="F150" s="58"/>
      <c r="G150" s="58">
        <v>20000</v>
      </c>
      <c r="H150" s="187"/>
      <c r="I150" s="187"/>
      <c r="J150" s="185">
        <f t="shared" si="9"/>
        <v>20000</v>
      </c>
    </row>
    <row r="151" spans="1:10" s="123" customFormat="1" x14ac:dyDescent="0.25">
      <c r="A151" s="179">
        <v>12</v>
      </c>
      <c r="B151" s="180" t="s">
        <v>495</v>
      </c>
      <c r="C151" s="180" t="s">
        <v>14</v>
      </c>
      <c r="D151" s="180" t="s">
        <v>14</v>
      </c>
      <c r="E151" s="180" t="s">
        <v>96</v>
      </c>
      <c r="F151" s="58"/>
      <c r="G151" s="58"/>
      <c r="H151" s="187">
        <v>10000</v>
      </c>
      <c r="I151" s="187"/>
      <c r="J151" s="185">
        <f t="shared" si="9"/>
        <v>10000</v>
      </c>
    </row>
    <row r="152" spans="1:10" s="123" customFormat="1" x14ac:dyDescent="0.25">
      <c r="A152" s="179">
        <v>13</v>
      </c>
      <c r="B152" s="180" t="s">
        <v>319</v>
      </c>
      <c r="C152" s="180" t="s">
        <v>14</v>
      </c>
      <c r="D152" s="180" t="s">
        <v>14</v>
      </c>
      <c r="E152" s="180" t="s">
        <v>96</v>
      </c>
      <c r="F152" s="58"/>
      <c r="G152" s="58"/>
      <c r="H152" s="187">
        <v>58500</v>
      </c>
      <c r="I152" s="187">
        <v>100000</v>
      </c>
      <c r="J152" s="185">
        <f t="shared" si="9"/>
        <v>158500</v>
      </c>
    </row>
    <row r="153" spans="1:10" s="123" customFormat="1" x14ac:dyDescent="0.25">
      <c r="A153" s="179">
        <v>14</v>
      </c>
      <c r="B153" s="180" t="s">
        <v>101</v>
      </c>
      <c r="C153" s="180" t="s">
        <v>16</v>
      </c>
      <c r="D153" s="180" t="s">
        <v>14</v>
      </c>
      <c r="E153" s="180" t="s">
        <v>96</v>
      </c>
      <c r="F153" s="58"/>
      <c r="G153" s="58"/>
      <c r="H153" s="187"/>
      <c r="I153" s="187">
        <v>155000</v>
      </c>
      <c r="J153" s="185">
        <f t="shared" si="9"/>
        <v>155000</v>
      </c>
    </row>
    <row r="154" spans="1:10" s="123" customFormat="1" x14ac:dyDescent="0.25">
      <c r="A154" s="179">
        <v>15</v>
      </c>
      <c r="B154" s="180" t="s">
        <v>732</v>
      </c>
      <c r="C154" s="180" t="s">
        <v>14</v>
      </c>
      <c r="D154" s="180" t="s">
        <v>14</v>
      </c>
      <c r="E154" s="180" t="s">
        <v>95</v>
      </c>
      <c r="F154" s="58"/>
      <c r="G154" s="58"/>
      <c r="H154" s="187"/>
      <c r="I154" s="187">
        <v>120000</v>
      </c>
      <c r="J154" s="185">
        <f t="shared" si="9"/>
        <v>120000</v>
      </c>
    </row>
    <row r="155" spans="1:10" s="123" customFormat="1" x14ac:dyDescent="0.25">
      <c r="A155" s="179">
        <v>16</v>
      </c>
      <c r="B155" s="180" t="s">
        <v>200</v>
      </c>
      <c r="C155" s="180" t="s">
        <v>14</v>
      </c>
      <c r="D155" s="180" t="s">
        <v>14</v>
      </c>
      <c r="E155" s="180" t="s">
        <v>75</v>
      </c>
      <c r="F155" s="58"/>
      <c r="G155" s="58"/>
      <c r="H155" s="187"/>
      <c r="I155" s="187">
        <v>25000</v>
      </c>
      <c r="J155" s="185">
        <f t="shared" si="9"/>
        <v>25000</v>
      </c>
    </row>
    <row r="156" spans="1:10" s="123" customFormat="1" x14ac:dyDescent="0.25">
      <c r="A156" s="179">
        <v>17</v>
      </c>
      <c r="B156" s="180" t="s">
        <v>104</v>
      </c>
      <c r="C156" s="180" t="s">
        <v>16</v>
      </c>
      <c r="D156" s="180" t="s">
        <v>14</v>
      </c>
      <c r="E156" s="180" t="s">
        <v>96</v>
      </c>
      <c r="F156" s="58"/>
      <c r="G156" s="58"/>
      <c r="H156" s="187"/>
      <c r="I156" s="187">
        <v>23500</v>
      </c>
      <c r="J156" s="185">
        <f t="shared" si="9"/>
        <v>23500</v>
      </c>
    </row>
    <row r="157" spans="1:10" s="123" customFormat="1" x14ac:dyDescent="0.25">
      <c r="A157" s="179">
        <v>18</v>
      </c>
      <c r="B157" s="180" t="s">
        <v>749</v>
      </c>
      <c r="C157" s="180" t="s">
        <v>14</v>
      </c>
      <c r="D157" s="180" t="s">
        <v>14</v>
      </c>
      <c r="E157" s="180" t="s">
        <v>75</v>
      </c>
      <c r="F157" s="58"/>
      <c r="G157" s="58"/>
      <c r="H157" s="187"/>
      <c r="I157" s="187">
        <v>50000</v>
      </c>
      <c r="J157" s="185">
        <f t="shared" si="9"/>
        <v>50000</v>
      </c>
    </row>
    <row r="158" spans="1:10" s="123" customFormat="1" ht="15.75" thickBot="1" x14ac:dyDescent="0.3">
      <c r="A158" s="179">
        <v>19</v>
      </c>
      <c r="B158" s="180" t="s">
        <v>751</v>
      </c>
      <c r="C158" s="180" t="s">
        <v>14</v>
      </c>
      <c r="D158" s="180" t="s">
        <v>14</v>
      </c>
      <c r="E158" s="180" t="s">
        <v>75</v>
      </c>
      <c r="F158" s="58"/>
      <c r="G158" s="58"/>
      <c r="H158" s="187"/>
      <c r="I158" s="187">
        <v>25000</v>
      </c>
      <c r="J158" s="185">
        <f t="shared" si="9"/>
        <v>25000</v>
      </c>
    </row>
    <row r="159" spans="1:10" x14ac:dyDescent="0.25">
      <c r="A159" s="317" t="s">
        <v>3</v>
      </c>
      <c r="B159" s="318"/>
      <c r="C159" s="318"/>
      <c r="D159" s="318"/>
      <c r="E159" s="319"/>
      <c r="F159" s="196">
        <f>SUM(F140:F158)</f>
        <v>473000</v>
      </c>
      <c r="G159" s="196">
        <f>SUM(G140:G158)</f>
        <v>366500</v>
      </c>
      <c r="H159" s="196">
        <f>SUM(H140:H158)</f>
        <v>209500</v>
      </c>
      <c r="I159" s="196">
        <f>SUM(I140:I158)</f>
        <v>1149500</v>
      </c>
      <c r="J159" s="181">
        <f>SUM(J140:J158)</f>
        <v>2198500</v>
      </c>
    </row>
    <row r="160" spans="1:10" s="123" customFormat="1" x14ac:dyDescent="0.25">
      <c r="A160" s="336" t="s">
        <v>54</v>
      </c>
      <c r="B160" s="336"/>
      <c r="C160" s="336"/>
      <c r="D160" s="336"/>
      <c r="E160" s="336"/>
      <c r="F160" s="336"/>
      <c r="G160" s="336"/>
      <c r="H160" s="336"/>
      <c r="I160" s="336"/>
      <c r="J160" s="336"/>
    </row>
    <row r="161" spans="1:10" s="123" customFormat="1" x14ac:dyDescent="0.25">
      <c r="A161" s="179">
        <v>1</v>
      </c>
      <c r="B161" s="197" t="s">
        <v>169</v>
      </c>
      <c r="C161" s="197" t="s">
        <v>53</v>
      </c>
      <c r="D161" s="197" t="s">
        <v>53</v>
      </c>
      <c r="E161" s="197" t="s">
        <v>75</v>
      </c>
      <c r="F161" s="58">
        <v>5000</v>
      </c>
      <c r="G161" s="58"/>
      <c r="H161" s="58"/>
      <c r="I161" s="58"/>
      <c r="J161" s="58">
        <f>SUM(F161:I161)</f>
        <v>5000</v>
      </c>
    </row>
    <row r="162" spans="1:10" s="123" customFormat="1" x14ac:dyDescent="0.25">
      <c r="A162" s="184">
        <v>2</v>
      </c>
      <c r="B162" s="197" t="s">
        <v>115</v>
      </c>
      <c r="C162" s="197" t="s">
        <v>12</v>
      </c>
      <c r="D162" s="197" t="s">
        <v>12</v>
      </c>
      <c r="E162" s="197" t="s">
        <v>75</v>
      </c>
      <c r="F162" s="58">
        <v>20000</v>
      </c>
      <c r="G162" s="58"/>
      <c r="H162" s="58"/>
      <c r="I162" s="58"/>
      <c r="J162" s="58">
        <f>SUM(F162:I162)</f>
        <v>20000</v>
      </c>
    </row>
    <row r="163" spans="1:10" s="123" customFormat="1" x14ac:dyDescent="0.25">
      <c r="A163" s="179">
        <v>3</v>
      </c>
      <c r="B163" s="197" t="s">
        <v>175</v>
      </c>
      <c r="C163" s="197" t="s">
        <v>143</v>
      </c>
      <c r="D163" s="197" t="s">
        <v>53</v>
      </c>
      <c r="E163" s="197" t="s">
        <v>96</v>
      </c>
      <c r="F163" s="58">
        <v>3000</v>
      </c>
      <c r="G163" s="58">
        <v>7000</v>
      </c>
      <c r="H163" s="58"/>
      <c r="I163" s="58">
        <v>12000</v>
      </c>
      <c r="J163" s="58">
        <f t="shared" ref="J163:J168" si="10">SUM(F163:I163)</f>
        <v>22000</v>
      </c>
    </row>
    <row r="164" spans="1:10" s="123" customFormat="1" x14ac:dyDescent="0.25">
      <c r="A164" s="184">
        <v>4</v>
      </c>
      <c r="B164" s="197" t="s">
        <v>147</v>
      </c>
      <c r="C164" s="197" t="s">
        <v>53</v>
      </c>
      <c r="D164" s="197" t="s">
        <v>53</v>
      </c>
      <c r="E164" s="197" t="s">
        <v>95</v>
      </c>
      <c r="F164" s="58">
        <v>40500</v>
      </c>
      <c r="G164" s="58">
        <v>40500</v>
      </c>
      <c r="H164" s="58">
        <v>40500</v>
      </c>
      <c r="I164" s="58">
        <v>40500</v>
      </c>
      <c r="J164" s="58">
        <f t="shared" si="10"/>
        <v>162000</v>
      </c>
    </row>
    <row r="165" spans="1:10" s="123" customFormat="1" x14ac:dyDescent="0.25">
      <c r="A165" s="179">
        <v>5</v>
      </c>
      <c r="B165" s="197" t="s">
        <v>186</v>
      </c>
      <c r="C165" s="197" t="s">
        <v>12</v>
      </c>
      <c r="D165" s="197" t="s">
        <v>12</v>
      </c>
      <c r="E165" s="197" t="s">
        <v>75</v>
      </c>
      <c r="F165" s="58"/>
      <c r="G165" s="58">
        <v>10000</v>
      </c>
      <c r="H165" s="58"/>
      <c r="I165" s="58"/>
      <c r="J165" s="58">
        <f t="shared" si="10"/>
        <v>10000</v>
      </c>
    </row>
    <row r="166" spans="1:10" s="123" customFormat="1" x14ac:dyDescent="0.25">
      <c r="A166" s="184">
        <v>6</v>
      </c>
      <c r="B166" s="197" t="s">
        <v>733</v>
      </c>
      <c r="C166" s="197" t="s">
        <v>6</v>
      </c>
      <c r="D166" s="197" t="s">
        <v>12</v>
      </c>
      <c r="E166" s="197" t="s">
        <v>96</v>
      </c>
      <c r="F166" s="58"/>
      <c r="G166" s="58"/>
      <c r="H166" s="58"/>
      <c r="I166" s="58">
        <v>10000</v>
      </c>
      <c r="J166" s="58">
        <f t="shared" si="10"/>
        <v>10000</v>
      </c>
    </row>
    <row r="167" spans="1:10" s="123" customFormat="1" x14ac:dyDescent="0.25">
      <c r="A167" s="179">
        <v>7</v>
      </c>
      <c r="B167" s="197" t="s">
        <v>679</v>
      </c>
      <c r="C167" s="197" t="s">
        <v>12</v>
      </c>
      <c r="D167" s="197" t="s">
        <v>12</v>
      </c>
      <c r="E167" s="197" t="s">
        <v>75</v>
      </c>
      <c r="F167" s="58"/>
      <c r="G167" s="58"/>
      <c r="H167" s="58"/>
      <c r="I167" s="58">
        <v>5000</v>
      </c>
      <c r="J167" s="58">
        <f t="shared" si="10"/>
        <v>5000</v>
      </c>
    </row>
    <row r="168" spans="1:10" s="123" customFormat="1" ht="15.75" thickBot="1" x14ac:dyDescent="0.3">
      <c r="A168" s="184">
        <v>8</v>
      </c>
      <c r="B168" s="197" t="s">
        <v>547</v>
      </c>
      <c r="C168" s="197" t="s">
        <v>53</v>
      </c>
      <c r="D168" s="197" t="s">
        <v>53</v>
      </c>
      <c r="E168" s="197" t="s">
        <v>75</v>
      </c>
      <c r="F168" s="58"/>
      <c r="G168" s="58"/>
      <c r="H168" s="58"/>
      <c r="I168" s="58">
        <v>75000</v>
      </c>
      <c r="J168" s="58">
        <f t="shared" si="10"/>
        <v>75000</v>
      </c>
    </row>
    <row r="169" spans="1:10" s="123" customFormat="1" x14ac:dyDescent="0.25">
      <c r="A169" s="338" t="s">
        <v>8</v>
      </c>
      <c r="B169" s="339"/>
      <c r="C169" s="339"/>
      <c r="D169" s="339"/>
      <c r="E169" s="340"/>
      <c r="F169" s="198">
        <f>SUM(F161:F168)</f>
        <v>68500</v>
      </c>
      <c r="G169" s="198">
        <f>SUM(G161:G168)</f>
        <v>57500</v>
      </c>
      <c r="H169" s="198">
        <f>SUM(H161:H168)</f>
        <v>40500</v>
      </c>
      <c r="I169" s="198">
        <f>SUM(I161:I168)</f>
        <v>142500</v>
      </c>
      <c r="J169" s="198">
        <f>SUM(F169:I169)</f>
        <v>309000</v>
      </c>
    </row>
    <row r="170" spans="1:10" s="123" customFormat="1" x14ac:dyDescent="0.25">
      <c r="A170" s="336" t="s">
        <v>10</v>
      </c>
      <c r="B170" s="336"/>
      <c r="C170" s="336"/>
      <c r="D170" s="336"/>
      <c r="E170" s="336"/>
      <c r="F170" s="336"/>
      <c r="G170" s="336"/>
      <c r="H170" s="336"/>
      <c r="I170" s="336"/>
      <c r="J170" s="336"/>
    </row>
    <row r="171" spans="1:10" s="123" customFormat="1" ht="15.75" thickBot="1" x14ac:dyDescent="0.3">
      <c r="A171" s="184">
        <v>1</v>
      </c>
      <c r="B171" s="180" t="s">
        <v>151</v>
      </c>
      <c r="C171" s="180" t="s">
        <v>6</v>
      </c>
      <c r="D171" s="180" t="s">
        <v>143</v>
      </c>
      <c r="E171" s="122" t="s">
        <v>95</v>
      </c>
      <c r="F171" s="188">
        <v>50000</v>
      </c>
      <c r="G171" s="188">
        <v>50000</v>
      </c>
      <c r="H171" s="188">
        <v>50000</v>
      </c>
      <c r="I171" s="188">
        <v>50000</v>
      </c>
      <c r="J171" s="186">
        <f t="shared" ref="J171:J172" si="11">SUM(F171:I171)</f>
        <v>200000</v>
      </c>
    </row>
    <row r="172" spans="1:10" s="123" customFormat="1" x14ac:dyDescent="0.25">
      <c r="A172" s="338" t="s">
        <v>8</v>
      </c>
      <c r="B172" s="339"/>
      <c r="C172" s="339"/>
      <c r="D172" s="339"/>
      <c r="E172" s="340"/>
      <c r="F172" s="198">
        <f>SUM(F171:F171)</f>
        <v>50000</v>
      </c>
      <c r="G172" s="198">
        <f>SUM(G171:G171)</f>
        <v>50000</v>
      </c>
      <c r="H172" s="198">
        <f>SUM(H171:H171)</f>
        <v>50000</v>
      </c>
      <c r="I172" s="198">
        <f>SUM(I171:I171)</f>
        <v>50000</v>
      </c>
      <c r="J172" s="198">
        <f t="shared" si="11"/>
        <v>200000</v>
      </c>
    </row>
    <row r="173" spans="1:10" s="123" customFormat="1" x14ac:dyDescent="0.25">
      <c r="A173" s="336" t="s">
        <v>77</v>
      </c>
      <c r="B173" s="336"/>
      <c r="C173" s="336"/>
      <c r="D173" s="336"/>
      <c r="E173" s="336"/>
      <c r="F173" s="336"/>
      <c r="G173" s="336"/>
      <c r="H173" s="336"/>
      <c r="I173" s="336"/>
      <c r="J173" s="336"/>
    </row>
    <row r="174" spans="1:10" s="123" customFormat="1" x14ac:dyDescent="0.25">
      <c r="A174" s="179">
        <v>1</v>
      </c>
      <c r="B174" s="180" t="s">
        <v>160</v>
      </c>
      <c r="C174" s="180" t="s">
        <v>9</v>
      </c>
      <c r="D174" s="180" t="s">
        <v>9</v>
      </c>
      <c r="E174" s="122" t="s">
        <v>96</v>
      </c>
      <c r="F174" s="186">
        <v>65000</v>
      </c>
      <c r="G174" s="186"/>
      <c r="H174" s="186"/>
      <c r="I174" s="186">
        <v>35000</v>
      </c>
      <c r="J174" s="186">
        <f>SUM(F174:I174)</f>
        <v>100000</v>
      </c>
    </row>
    <row r="175" spans="1:10" s="123" customFormat="1" x14ac:dyDescent="0.25">
      <c r="A175" s="179">
        <v>2</v>
      </c>
      <c r="B175" s="180" t="s">
        <v>155</v>
      </c>
      <c r="C175" s="180" t="s">
        <v>144</v>
      </c>
      <c r="D175" s="180" t="s">
        <v>144</v>
      </c>
      <c r="E175" s="180" t="s">
        <v>95</v>
      </c>
      <c r="F175" s="186">
        <v>25000</v>
      </c>
      <c r="G175" s="186"/>
      <c r="H175" s="186"/>
      <c r="I175" s="186"/>
      <c r="J175" s="186">
        <f t="shared" ref="J175:J185" si="12">SUM(F175:I175)</f>
        <v>25000</v>
      </c>
    </row>
    <row r="176" spans="1:10" s="123" customFormat="1" x14ac:dyDescent="0.25">
      <c r="A176" s="179">
        <v>3</v>
      </c>
      <c r="B176" s="180" t="s">
        <v>176</v>
      </c>
      <c r="C176" s="180" t="s">
        <v>144</v>
      </c>
      <c r="D176" s="180" t="s">
        <v>144</v>
      </c>
      <c r="E176" s="122" t="s">
        <v>75</v>
      </c>
      <c r="F176" s="199">
        <v>110000</v>
      </c>
      <c r="G176" s="199"/>
      <c r="H176" s="186"/>
      <c r="I176" s="186"/>
      <c r="J176" s="186">
        <f t="shared" si="12"/>
        <v>110000</v>
      </c>
    </row>
    <row r="177" spans="1:12" s="123" customFormat="1" x14ac:dyDescent="0.25">
      <c r="A177" s="179">
        <v>4</v>
      </c>
      <c r="B177" s="180" t="s">
        <v>187</v>
      </c>
      <c r="C177" s="180" t="s">
        <v>144</v>
      </c>
      <c r="D177" s="180" t="s">
        <v>144</v>
      </c>
      <c r="E177" s="122" t="s">
        <v>75</v>
      </c>
      <c r="F177" s="199"/>
      <c r="G177" s="199">
        <v>50000</v>
      </c>
      <c r="H177" s="186"/>
      <c r="I177" s="186"/>
      <c r="J177" s="186">
        <f t="shared" si="12"/>
        <v>50000</v>
      </c>
    </row>
    <row r="178" spans="1:12" s="123" customFormat="1" x14ac:dyDescent="0.25">
      <c r="A178" s="179">
        <v>5</v>
      </c>
      <c r="B178" s="180" t="s">
        <v>132</v>
      </c>
      <c r="C178" s="180" t="s">
        <v>144</v>
      </c>
      <c r="D178" s="180" t="s">
        <v>144</v>
      </c>
      <c r="E178" s="122" t="s">
        <v>75</v>
      </c>
      <c r="F178" s="199"/>
      <c r="G178" s="199">
        <v>10000</v>
      </c>
      <c r="H178" s="186"/>
      <c r="I178" s="186">
        <v>20000</v>
      </c>
      <c r="J178" s="186">
        <f t="shared" si="12"/>
        <v>30000</v>
      </c>
    </row>
    <row r="179" spans="1:12" s="123" customFormat="1" x14ac:dyDescent="0.25">
      <c r="A179" s="179">
        <v>6</v>
      </c>
      <c r="B179" s="180" t="s">
        <v>100</v>
      </c>
      <c r="C179" s="180" t="s">
        <v>5</v>
      </c>
      <c r="D179" s="180" t="s">
        <v>9</v>
      </c>
      <c r="E179" s="122" t="s">
        <v>96</v>
      </c>
      <c r="F179" s="199"/>
      <c r="G179" s="199"/>
      <c r="H179" s="186"/>
      <c r="I179" s="186">
        <v>37000</v>
      </c>
      <c r="J179" s="186">
        <f t="shared" si="12"/>
        <v>37000</v>
      </c>
    </row>
    <row r="180" spans="1:12" s="123" customFormat="1" x14ac:dyDescent="0.25">
      <c r="A180" s="179">
        <v>7</v>
      </c>
      <c r="B180" s="180" t="s">
        <v>133</v>
      </c>
      <c r="C180" s="180" t="s">
        <v>144</v>
      </c>
      <c r="D180" s="180" t="s">
        <v>144</v>
      </c>
      <c r="E180" s="122" t="s">
        <v>96</v>
      </c>
      <c r="F180" s="199"/>
      <c r="G180" s="199"/>
      <c r="H180" s="186"/>
      <c r="I180" s="186">
        <v>20000</v>
      </c>
      <c r="J180" s="186">
        <f t="shared" si="12"/>
        <v>20000</v>
      </c>
    </row>
    <row r="181" spans="1:12" s="123" customFormat="1" x14ac:dyDescent="0.25">
      <c r="A181" s="179">
        <v>8</v>
      </c>
      <c r="B181" s="180" t="s">
        <v>275</v>
      </c>
      <c r="C181" s="180" t="s">
        <v>144</v>
      </c>
      <c r="D181" s="180" t="s">
        <v>144</v>
      </c>
      <c r="E181" s="122" t="s">
        <v>95</v>
      </c>
      <c r="F181" s="199"/>
      <c r="G181" s="199"/>
      <c r="H181" s="186"/>
      <c r="I181" s="186">
        <v>100000</v>
      </c>
      <c r="J181" s="186">
        <f t="shared" si="12"/>
        <v>100000</v>
      </c>
    </row>
    <row r="182" spans="1:12" s="123" customFormat="1" x14ac:dyDescent="0.25">
      <c r="A182" s="179">
        <v>9</v>
      </c>
      <c r="B182" s="180" t="s">
        <v>741</v>
      </c>
      <c r="C182" s="180" t="s">
        <v>9</v>
      </c>
      <c r="D182" s="180" t="s">
        <v>9</v>
      </c>
      <c r="E182" s="122" t="s">
        <v>75</v>
      </c>
      <c r="F182" s="199"/>
      <c r="G182" s="199"/>
      <c r="H182" s="186"/>
      <c r="I182" s="186">
        <v>60000</v>
      </c>
      <c r="J182" s="186">
        <f t="shared" si="12"/>
        <v>60000</v>
      </c>
    </row>
    <row r="183" spans="1:12" s="123" customFormat="1" x14ac:dyDescent="0.25">
      <c r="A183" s="179">
        <v>10</v>
      </c>
      <c r="B183" s="180" t="s">
        <v>742</v>
      </c>
      <c r="C183" s="180" t="s">
        <v>16</v>
      </c>
      <c r="D183" s="180" t="s">
        <v>9</v>
      </c>
      <c r="E183" s="122" t="s">
        <v>96</v>
      </c>
      <c r="F183" s="199"/>
      <c r="G183" s="199"/>
      <c r="H183" s="186"/>
      <c r="I183" s="186">
        <v>150000</v>
      </c>
      <c r="J183" s="186">
        <f t="shared" si="12"/>
        <v>150000</v>
      </c>
    </row>
    <row r="184" spans="1:12" s="123" customFormat="1" x14ac:dyDescent="0.25">
      <c r="A184" s="179">
        <v>11</v>
      </c>
      <c r="B184" s="180" t="s">
        <v>745</v>
      </c>
      <c r="C184" s="180" t="s">
        <v>144</v>
      </c>
      <c r="D184" s="180" t="s">
        <v>144</v>
      </c>
      <c r="E184" s="122" t="s">
        <v>75</v>
      </c>
      <c r="F184" s="199"/>
      <c r="G184" s="199"/>
      <c r="H184" s="186"/>
      <c r="I184" s="186">
        <v>10000</v>
      </c>
      <c r="J184" s="186">
        <f t="shared" si="12"/>
        <v>10000</v>
      </c>
    </row>
    <row r="185" spans="1:12" s="123" customFormat="1" ht="15.75" thickBot="1" x14ac:dyDescent="0.3">
      <c r="A185" s="179">
        <v>12</v>
      </c>
      <c r="B185" s="180" t="s">
        <v>752</v>
      </c>
      <c r="C185" s="180" t="s">
        <v>16</v>
      </c>
      <c r="D185" s="180" t="s">
        <v>144</v>
      </c>
      <c r="E185" s="122" t="s">
        <v>95</v>
      </c>
      <c r="F185" s="199"/>
      <c r="G185" s="199"/>
      <c r="H185" s="186"/>
      <c r="I185" s="186">
        <v>100000</v>
      </c>
      <c r="J185" s="186">
        <f t="shared" si="12"/>
        <v>100000</v>
      </c>
    </row>
    <row r="186" spans="1:12" s="123" customFormat="1" ht="15.75" thickBot="1" x14ac:dyDescent="0.3">
      <c r="A186" s="317" t="s">
        <v>3</v>
      </c>
      <c r="B186" s="318"/>
      <c r="C186" s="318"/>
      <c r="D186" s="318"/>
      <c r="E186" s="319"/>
      <c r="F186" s="196">
        <f>SUM(F174:F185)</f>
        <v>200000</v>
      </c>
      <c r="G186" s="196">
        <f>SUM(G174:G185)</f>
        <v>60000</v>
      </c>
      <c r="H186" s="196">
        <f>SUM(H174:H185)</f>
        <v>0</v>
      </c>
      <c r="I186" s="196">
        <f>SUM(I174:I185)</f>
        <v>532000</v>
      </c>
      <c r="J186" s="198">
        <f>SUM(F186:I186)</f>
        <v>792000</v>
      </c>
    </row>
    <row r="187" spans="1:12" ht="15.75" thickTop="1" x14ac:dyDescent="0.25">
      <c r="A187" s="320" t="s">
        <v>19</v>
      </c>
      <c r="B187" s="321"/>
      <c r="C187" s="321"/>
      <c r="D187" s="321"/>
      <c r="E187" s="322"/>
      <c r="F187" s="72">
        <f>F186+F172+F169+F159+F138+F106+F102+F99+F92</f>
        <v>963500</v>
      </c>
      <c r="G187" s="72">
        <f>G186+G172+G169+G159+G138+G106+G102+G99+G92</f>
        <v>858500</v>
      </c>
      <c r="H187" s="72">
        <f>H186+H172+H169+H159+H138+H106+H102+H99+H92</f>
        <v>552500</v>
      </c>
      <c r="I187" s="72">
        <f>I186+I172+I169+I159+I138+I106+I102+I99+I92</f>
        <v>2370000</v>
      </c>
      <c r="J187" s="74">
        <f>SUM(F187:I187)</f>
        <v>4744500</v>
      </c>
    </row>
    <row r="188" spans="1:12" x14ac:dyDescent="0.25">
      <c r="A188" s="323" t="s">
        <v>47</v>
      </c>
      <c r="B188" s="323"/>
      <c r="C188" s="323"/>
      <c r="D188" s="323"/>
      <c r="E188" s="323"/>
      <c r="F188" s="323"/>
      <c r="G188" s="323"/>
      <c r="H188" s="323"/>
      <c r="I188" s="323"/>
      <c r="J188" s="323"/>
    </row>
    <row r="189" spans="1:12" x14ac:dyDescent="0.25">
      <c r="A189" s="69">
        <v>1</v>
      </c>
      <c r="B189" s="29" t="s">
        <v>159</v>
      </c>
      <c r="C189" s="29" t="s">
        <v>16</v>
      </c>
      <c r="D189" s="29" t="s">
        <v>145</v>
      </c>
      <c r="E189" s="29" t="s">
        <v>96</v>
      </c>
      <c r="F189" s="112">
        <v>40000</v>
      </c>
      <c r="G189" s="112">
        <v>200000</v>
      </c>
      <c r="H189" s="112"/>
      <c r="I189" s="112"/>
      <c r="J189" s="113">
        <f>SUM(F189:I189)</f>
        <v>240000</v>
      </c>
      <c r="L189" s="68"/>
    </row>
    <row r="190" spans="1:12" s="123" customFormat="1" x14ac:dyDescent="0.25">
      <c r="A190" s="140">
        <v>2</v>
      </c>
      <c r="B190" s="29" t="s">
        <v>170</v>
      </c>
      <c r="C190" s="29" t="s">
        <v>5</v>
      </c>
      <c r="D190" s="29" t="s">
        <v>153</v>
      </c>
      <c r="E190" s="29" t="s">
        <v>96</v>
      </c>
      <c r="F190" s="112"/>
      <c r="G190" s="112"/>
      <c r="H190" s="112">
        <v>15000</v>
      </c>
      <c r="I190" s="112"/>
      <c r="J190" s="113">
        <f t="shared" ref="J190:J191" si="13">SUM(F190:I190)</f>
        <v>15000</v>
      </c>
      <c r="L190" s="68"/>
    </row>
    <row r="191" spans="1:12" s="123" customFormat="1" ht="15.75" thickBot="1" x14ac:dyDescent="0.3">
      <c r="A191" s="69">
        <v>3</v>
      </c>
      <c r="B191" s="29" t="s">
        <v>101</v>
      </c>
      <c r="C191" s="29" t="s">
        <v>16</v>
      </c>
      <c r="D191" s="29" t="s">
        <v>145</v>
      </c>
      <c r="E191" s="29" t="s">
        <v>96</v>
      </c>
      <c r="F191" s="112"/>
      <c r="G191" s="112"/>
      <c r="H191" s="112"/>
      <c r="I191" s="112">
        <v>30000</v>
      </c>
      <c r="J191" s="113">
        <f t="shared" si="13"/>
        <v>30000</v>
      </c>
      <c r="L191" s="68"/>
    </row>
    <row r="192" spans="1:12" ht="15.75" thickBot="1" x14ac:dyDescent="0.3">
      <c r="A192" s="326" t="s">
        <v>3</v>
      </c>
      <c r="B192" s="327"/>
      <c r="C192" s="327"/>
      <c r="D192" s="327"/>
      <c r="E192" s="328"/>
      <c r="F192" s="67">
        <f>SUM(F189:F191)</f>
        <v>40000</v>
      </c>
      <c r="G192" s="67">
        <f>SUM(G189:G191)</f>
        <v>200000</v>
      </c>
      <c r="H192" s="67">
        <f>SUM(H189:H191)</f>
        <v>15000</v>
      </c>
      <c r="I192" s="67">
        <f>SUM(I189:I191)</f>
        <v>30000</v>
      </c>
      <c r="J192" s="70">
        <f>SUM(F192:I192)</f>
        <v>285000</v>
      </c>
    </row>
    <row r="193" spans="1:11" ht="16.5" thickTop="1" thickBot="1" x14ac:dyDescent="0.3">
      <c r="A193" s="329" t="s">
        <v>19</v>
      </c>
      <c r="B193" s="330"/>
      <c r="C193" s="330"/>
      <c r="D193" s="330"/>
      <c r="E193" s="331"/>
      <c r="F193" s="71">
        <f>F192</f>
        <v>40000</v>
      </c>
      <c r="G193" s="71">
        <f>G192</f>
        <v>200000</v>
      </c>
      <c r="H193" s="71">
        <f>H192</f>
        <v>15000</v>
      </c>
      <c r="I193" s="71">
        <f t="shared" ref="I193" si="14">I192</f>
        <v>30000</v>
      </c>
      <c r="J193" s="73">
        <f>SUM(F193:I193)</f>
        <v>285000</v>
      </c>
    </row>
    <row r="194" spans="1:11" ht="16.5" thickTop="1" thickBot="1" x14ac:dyDescent="0.3">
      <c r="A194" s="332" t="s">
        <v>48</v>
      </c>
      <c r="B194" s="333"/>
      <c r="C194" s="333"/>
      <c r="D194" s="333"/>
      <c r="E194" s="334"/>
      <c r="F194" s="66">
        <f>F187+F81+F193</f>
        <v>2126500</v>
      </c>
      <c r="G194" s="66">
        <f>G187+G81+G193</f>
        <v>1719500</v>
      </c>
      <c r="H194" s="66">
        <f>H187+H81+H193</f>
        <v>1184000</v>
      </c>
      <c r="I194" s="66">
        <f>I187+I81+I193</f>
        <v>5929950</v>
      </c>
      <c r="J194" s="75">
        <f>SUM(F194:I194)</f>
        <v>10959950</v>
      </c>
    </row>
    <row r="195" spans="1:11" ht="15.75" thickTop="1" x14ac:dyDescent="0.25">
      <c r="A195" s="5"/>
      <c r="B195" s="5"/>
      <c r="D195" s="5"/>
      <c r="E195" s="5"/>
      <c r="F195" s="5"/>
      <c r="G195" s="5"/>
      <c r="H195" s="5"/>
      <c r="I195" s="5"/>
      <c r="J195" s="5"/>
    </row>
    <row r="196" spans="1:11" ht="15.75" x14ac:dyDescent="0.25">
      <c r="A196" s="335" t="s">
        <v>167</v>
      </c>
      <c r="B196" s="335"/>
      <c r="C196" s="335"/>
      <c r="D196" s="335"/>
      <c r="E196" s="76"/>
      <c r="F196" s="59"/>
      <c r="G196" s="79">
        <f>G197+G198+G199</f>
        <v>10959950</v>
      </c>
      <c r="H196" s="230" t="s">
        <v>168</v>
      </c>
      <c r="I196" s="230"/>
      <c r="J196" s="230"/>
      <c r="K196" s="5"/>
    </row>
    <row r="197" spans="1:11" x14ac:dyDescent="0.25">
      <c r="A197" s="324" t="s">
        <v>49</v>
      </c>
      <c r="B197" s="324"/>
      <c r="C197" s="324"/>
      <c r="D197" s="324"/>
      <c r="E197" s="324"/>
      <c r="F197" s="324"/>
      <c r="G197" s="18">
        <f>J81</f>
        <v>5930450</v>
      </c>
      <c r="H197" s="5"/>
      <c r="I197" s="5"/>
      <c r="J197" s="5"/>
      <c r="K197" s="5"/>
    </row>
    <row r="198" spans="1:11" x14ac:dyDescent="0.25">
      <c r="A198" s="324" t="s">
        <v>50</v>
      </c>
      <c r="B198" s="324"/>
      <c r="C198" s="324"/>
      <c r="D198" s="324"/>
      <c r="E198" s="324"/>
      <c r="F198" s="324"/>
      <c r="G198" s="19">
        <f>J187</f>
        <v>4744500</v>
      </c>
      <c r="H198" s="230"/>
      <c r="I198" s="230"/>
      <c r="J198" s="230"/>
      <c r="K198" s="230"/>
    </row>
    <row r="199" spans="1:11" x14ac:dyDescent="0.25">
      <c r="A199" s="324" t="s">
        <v>51</v>
      </c>
      <c r="B199" s="324"/>
      <c r="C199" s="324"/>
      <c r="D199" s="324"/>
      <c r="E199" s="324"/>
      <c r="F199" s="324"/>
      <c r="G199" s="19">
        <f>J192</f>
        <v>285000</v>
      </c>
      <c r="H199" s="5"/>
      <c r="I199" s="5"/>
      <c r="J199" s="5"/>
      <c r="K199" s="5"/>
    </row>
    <row r="200" spans="1:11" ht="15.75" x14ac:dyDescent="0.25">
      <c r="A200" s="325"/>
      <c r="B200" s="325"/>
      <c r="C200" s="325"/>
      <c r="D200" s="325"/>
      <c r="E200" s="325"/>
      <c r="F200" s="325"/>
      <c r="G200" s="20"/>
      <c r="H200" s="238" t="s">
        <v>80</v>
      </c>
      <c r="I200" s="238"/>
      <c r="J200" s="238"/>
      <c r="K200" s="5"/>
    </row>
    <row r="201" spans="1:11" x14ac:dyDescent="0.25">
      <c r="A201" s="5"/>
      <c r="B201" s="5"/>
      <c r="D201" s="5"/>
      <c r="E201" s="5"/>
      <c r="F201" s="5"/>
      <c r="G201" s="5"/>
      <c r="H201" s="316" t="s">
        <v>73</v>
      </c>
      <c r="I201" s="316"/>
      <c r="J201" s="316"/>
      <c r="K201" s="5"/>
    </row>
    <row r="202" spans="1:11" x14ac:dyDescent="0.25">
      <c r="A202" s="5"/>
      <c r="B202" s="5"/>
      <c r="D202" s="5"/>
      <c r="E202" s="5"/>
      <c r="F202" s="68"/>
      <c r="G202" s="5"/>
      <c r="H202" s="5"/>
      <c r="I202" s="80"/>
      <c r="J202" s="59"/>
    </row>
    <row r="203" spans="1:11" x14ac:dyDescent="0.25">
      <c r="F203" s="68"/>
    </row>
  </sheetData>
  <mergeCells count="55">
    <mergeCell ref="A169:E169"/>
    <mergeCell ref="A170:J170"/>
    <mergeCell ref="A172:E172"/>
    <mergeCell ref="A173:J173"/>
    <mergeCell ref="A186:E186"/>
    <mergeCell ref="A103:J103"/>
    <mergeCell ref="A106:E106"/>
    <mergeCell ref="A138:E138"/>
    <mergeCell ref="A139:J139"/>
    <mergeCell ref="A72:D72"/>
    <mergeCell ref="A102:E102"/>
    <mergeCell ref="A92:E92"/>
    <mergeCell ref="A93:J93"/>
    <mergeCell ref="A99:E99"/>
    <mergeCell ref="A81:E81"/>
    <mergeCell ref="A82:J82"/>
    <mergeCell ref="A100:J100"/>
    <mergeCell ref="A107:J107"/>
    <mergeCell ref="A63:J63"/>
    <mergeCell ref="A80:D80"/>
    <mergeCell ref="A1:J2"/>
    <mergeCell ref="A3:A4"/>
    <mergeCell ref="B3:B4"/>
    <mergeCell ref="F3:I3"/>
    <mergeCell ref="J3:J5"/>
    <mergeCell ref="A5:E5"/>
    <mergeCell ref="C3:C4"/>
    <mergeCell ref="D3:D4"/>
    <mergeCell ref="E3:E4"/>
    <mergeCell ref="A73:J73"/>
    <mergeCell ref="A78:J78"/>
    <mergeCell ref="A77:D77"/>
    <mergeCell ref="A33:E33"/>
    <mergeCell ref="A62:E62"/>
    <mergeCell ref="A34:J34"/>
    <mergeCell ref="A45:E45"/>
    <mergeCell ref="A46:J46"/>
    <mergeCell ref="A57:E57"/>
    <mergeCell ref="A58:J58"/>
    <mergeCell ref="H196:J196"/>
    <mergeCell ref="H201:J201"/>
    <mergeCell ref="A159:E159"/>
    <mergeCell ref="A187:E187"/>
    <mergeCell ref="A188:J188"/>
    <mergeCell ref="A197:F197"/>
    <mergeCell ref="A198:F198"/>
    <mergeCell ref="A199:F199"/>
    <mergeCell ref="A200:F200"/>
    <mergeCell ref="H198:K198"/>
    <mergeCell ref="H200:J200"/>
    <mergeCell ref="A192:E192"/>
    <mergeCell ref="A193:E193"/>
    <mergeCell ref="A194:E194"/>
    <mergeCell ref="A196:D196"/>
    <mergeCell ref="A160:J160"/>
  </mergeCells>
  <pageMargins left="0.94488188976377963" right="0.9055118110236221" top="1.1417322834645669" bottom="0.74803149606299213" header="0.31496062992125984" footer="0.31496062992125984"/>
  <pageSetup paperSize="9" scale="9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topLeftCell="A26" workbookViewId="0">
      <selection activeCell="L41" sqref="L41"/>
    </sheetView>
  </sheetViews>
  <sheetFormatPr defaultRowHeight="15" x14ac:dyDescent="0.25"/>
  <cols>
    <col min="1" max="1" width="5" customWidth="1"/>
    <col min="2" max="2" width="17.28515625" customWidth="1"/>
    <col min="3" max="3" width="13.28515625" customWidth="1"/>
    <col min="4" max="4" width="12.85546875" customWidth="1"/>
    <col min="5" max="5" width="12" customWidth="1"/>
    <col min="6" max="6" width="13" customWidth="1"/>
    <col min="7" max="7" width="11.42578125" customWidth="1"/>
    <col min="8" max="8" width="13.7109375" customWidth="1"/>
    <col min="9" max="9" width="10.5703125" customWidth="1"/>
    <col min="11" max="11" width="14.28515625" customWidth="1"/>
    <col min="12" max="12" width="18" customWidth="1"/>
    <col min="13" max="13" width="13.42578125" customWidth="1"/>
    <col min="14" max="14" width="13" customWidth="1"/>
    <col min="15" max="15" width="11.42578125" customWidth="1"/>
    <col min="16" max="16" width="13.28515625" customWidth="1"/>
  </cols>
  <sheetData>
    <row r="1" spans="1:16" ht="15" customHeight="1" x14ac:dyDescent="0.25">
      <c r="A1" s="363" t="s">
        <v>717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</row>
    <row r="2" spans="1:16" ht="15.75" customHeight="1" thickBot="1" x14ac:dyDescent="0.3">
      <c r="A2" s="364"/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</row>
    <row r="3" spans="1:16" ht="16.5" thickTop="1" x14ac:dyDescent="0.25">
      <c r="A3" s="365" t="s">
        <v>0</v>
      </c>
      <c r="B3" s="365" t="s">
        <v>718</v>
      </c>
      <c r="C3" s="365" t="s">
        <v>61</v>
      </c>
      <c r="D3" s="365" t="s">
        <v>62</v>
      </c>
      <c r="E3" s="365" t="s">
        <v>719</v>
      </c>
      <c r="F3" s="366" t="s">
        <v>110</v>
      </c>
      <c r="G3" s="366" t="s">
        <v>57</v>
      </c>
      <c r="H3" s="367" t="s">
        <v>3</v>
      </c>
      <c r="I3" s="365" t="s">
        <v>63</v>
      </c>
      <c r="J3" s="365" t="s">
        <v>64</v>
      </c>
      <c r="K3" s="366" t="s">
        <v>720</v>
      </c>
      <c r="L3" s="365" t="s">
        <v>721</v>
      </c>
      <c r="M3" s="365" t="s">
        <v>722</v>
      </c>
      <c r="N3" s="365" t="s">
        <v>723</v>
      </c>
      <c r="O3" s="365" t="s">
        <v>724</v>
      </c>
      <c r="P3" s="365" t="s">
        <v>725</v>
      </c>
    </row>
    <row r="4" spans="1:16" ht="16.5" thickBot="1" x14ac:dyDescent="0.3">
      <c r="A4" s="368"/>
      <c r="B4" s="368"/>
      <c r="C4" s="368"/>
      <c r="D4" s="368"/>
      <c r="E4" s="368"/>
      <c r="F4" s="369"/>
      <c r="G4" s="369"/>
      <c r="H4" s="370" t="s">
        <v>726</v>
      </c>
      <c r="I4" s="368"/>
      <c r="J4" s="368"/>
      <c r="K4" s="369"/>
      <c r="L4" s="368"/>
      <c r="M4" s="368"/>
      <c r="N4" s="368"/>
      <c r="O4" s="368"/>
      <c r="P4" s="368"/>
    </row>
    <row r="5" spans="1:16" ht="15.75" thickTop="1" x14ac:dyDescent="0.25">
      <c r="A5" s="371">
        <v>1</v>
      </c>
      <c r="B5" s="372">
        <v>44927</v>
      </c>
      <c r="C5" s="373">
        <v>352000</v>
      </c>
      <c r="D5" s="374">
        <v>2769300</v>
      </c>
      <c r="E5" s="373"/>
      <c r="F5" s="373"/>
      <c r="G5" s="373"/>
      <c r="H5" s="373">
        <f t="shared" ref="H5:H11" si="0">SUM(C5:G5)</f>
        <v>3121300</v>
      </c>
      <c r="I5" s="373"/>
      <c r="J5" s="373"/>
      <c r="K5" s="373">
        <v>279300</v>
      </c>
      <c r="L5" s="48">
        <f t="shared" ref="L5:L11" si="1">SUM(H5:J5)</f>
        <v>3121300</v>
      </c>
      <c r="M5" s="106">
        <v>1024500</v>
      </c>
      <c r="N5" s="106">
        <v>2096800</v>
      </c>
      <c r="O5" s="106"/>
      <c r="P5" s="375"/>
    </row>
    <row r="6" spans="1:16" x14ac:dyDescent="0.25">
      <c r="A6" s="376">
        <v>2</v>
      </c>
      <c r="B6" s="372">
        <v>44928</v>
      </c>
      <c r="C6" s="377">
        <v>2110400</v>
      </c>
      <c r="D6" s="378">
        <v>4524300</v>
      </c>
      <c r="E6" s="377">
        <v>220000</v>
      </c>
      <c r="F6" s="373">
        <v>1750300</v>
      </c>
      <c r="G6" s="373">
        <v>1780000</v>
      </c>
      <c r="H6" s="373">
        <f t="shared" si="0"/>
        <v>10385000</v>
      </c>
      <c r="I6" s="377"/>
      <c r="J6" s="377"/>
      <c r="K6" s="373">
        <v>648000</v>
      </c>
      <c r="L6" s="48">
        <f t="shared" si="1"/>
        <v>10385000</v>
      </c>
      <c r="M6" s="51">
        <v>56000</v>
      </c>
      <c r="N6" s="51">
        <v>10329000</v>
      </c>
      <c r="O6" s="51"/>
      <c r="P6" s="51"/>
    </row>
    <row r="7" spans="1:16" x14ac:dyDescent="0.25">
      <c r="A7" s="376">
        <v>3</v>
      </c>
      <c r="B7" s="372">
        <v>44929</v>
      </c>
      <c r="C7" s="377">
        <v>3251000</v>
      </c>
      <c r="D7" s="378">
        <v>2731700</v>
      </c>
      <c r="E7" s="377"/>
      <c r="F7" s="373"/>
      <c r="G7" s="373">
        <v>2000000</v>
      </c>
      <c r="H7" s="373">
        <f t="shared" si="0"/>
        <v>7982700</v>
      </c>
      <c r="I7" s="377"/>
      <c r="J7" s="377"/>
      <c r="K7" s="373">
        <v>567700</v>
      </c>
      <c r="L7" s="48">
        <f t="shared" si="1"/>
        <v>7982700</v>
      </c>
      <c r="M7" s="51">
        <v>1987600</v>
      </c>
      <c r="N7" s="51">
        <v>4921000</v>
      </c>
      <c r="O7" s="51"/>
      <c r="P7" s="48">
        <v>1074100</v>
      </c>
    </row>
    <row r="8" spans="1:16" x14ac:dyDescent="0.25">
      <c r="A8" s="376">
        <v>4</v>
      </c>
      <c r="B8" s="372">
        <v>44930</v>
      </c>
      <c r="C8" s="377">
        <v>2557700</v>
      </c>
      <c r="D8" s="377">
        <v>4799100</v>
      </c>
      <c r="E8" s="377"/>
      <c r="F8" s="373">
        <v>1800900</v>
      </c>
      <c r="G8" s="373"/>
      <c r="H8" s="373">
        <f t="shared" si="0"/>
        <v>9157700</v>
      </c>
      <c r="I8" s="27"/>
      <c r="J8" s="377"/>
      <c r="K8" s="373">
        <v>702519</v>
      </c>
      <c r="L8" s="48">
        <f t="shared" si="1"/>
        <v>9157700</v>
      </c>
      <c r="M8" s="106">
        <v>4323400</v>
      </c>
      <c r="N8" s="106">
        <v>2312000</v>
      </c>
      <c r="O8" s="106"/>
      <c r="P8" s="51">
        <v>2522300</v>
      </c>
    </row>
    <row r="9" spans="1:16" x14ac:dyDescent="0.25">
      <c r="A9" s="376">
        <v>5</v>
      </c>
      <c r="B9" s="372">
        <v>44931</v>
      </c>
      <c r="C9" s="377">
        <v>5154300</v>
      </c>
      <c r="D9" s="377">
        <v>2897900</v>
      </c>
      <c r="E9" s="377">
        <v>1155000</v>
      </c>
      <c r="F9" s="373"/>
      <c r="G9" s="373"/>
      <c r="H9" s="373">
        <f t="shared" si="0"/>
        <v>9207200</v>
      </c>
      <c r="I9" s="377"/>
      <c r="J9" s="377"/>
      <c r="K9" s="373">
        <v>852200</v>
      </c>
      <c r="L9" s="48">
        <f t="shared" si="1"/>
        <v>9207200</v>
      </c>
      <c r="M9" s="51"/>
      <c r="N9" s="51"/>
      <c r="O9" s="106"/>
      <c r="P9" s="51">
        <v>9207200</v>
      </c>
    </row>
    <row r="10" spans="1:16" x14ac:dyDescent="0.25">
      <c r="A10" s="376">
        <v>6</v>
      </c>
      <c r="B10" s="372">
        <v>44932</v>
      </c>
      <c r="C10" s="377">
        <v>6334800</v>
      </c>
      <c r="D10" s="377">
        <v>3773300</v>
      </c>
      <c r="E10" s="377"/>
      <c r="F10" s="373">
        <v>1750300</v>
      </c>
      <c r="G10" s="373"/>
      <c r="H10" s="373">
        <f t="shared" si="0"/>
        <v>11858400</v>
      </c>
      <c r="I10" s="377"/>
      <c r="J10" s="377"/>
      <c r="K10" s="373">
        <v>860946</v>
      </c>
      <c r="L10" s="48">
        <f t="shared" si="1"/>
        <v>11858400</v>
      </c>
      <c r="M10" s="51">
        <v>9233100</v>
      </c>
      <c r="N10" s="51">
        <v>2625300</v>
      </c>
      <c r="O10" s="51"/>
      <c r="P10" s="51"/>
    </row>
    <row r="11" spans="1:16" ht="15.75" thickBot="1" x14ac:dyDescent="0.3">
      <c r="A11" s="379">
        <v>7</v>
      </c>
      <c r="B11" s="372">
        <v>44933</v>
      </c>
      <c r="C11" s="380">
        <v>9009000</v>
      </c>
      <c r="D11" s="380">
        <v>5160200</v>
      </c>
      <c r="E11" s="380">
        <v>1026000</v>
      </c>
      <c r="F11" s="380"/>
      <c r="G11" s="380"/>
      <c r="H11" s="373">
        <f t="shared" si="0"/>
        <v>15195200</v>
      </c>
      <c r="I11" s="380"/>
      <c r="J11" s="380"/>
      <c r="K11" s="374">
        <v>1397200</v>
      </c>
      <c r="L11" s="48">
        <f t="shared" si="1"/>
        <v>15195200</v>
      </c>
      <c r="M11" s="381">
        <v>3987500</v>
      </c>
      <c r="N11" s="380">
        <v>3889200</v>
      </c>
      <c r="O11" s="380"/>
      <c r="P11" s="374">
        <v>7318500</v>
      </c>
    </row>
    <row r="12" spans="1:16" ht="15.75" thickBot="1" x14ac:dyDescent="0.3">
      <c r="A12" s="382" t="s">
        <v>727</v>
      </c>
      <c r="B12" s="383"/>
      <c r="C12" s="384">
        <f>SUM(C5:C11)</f>
        <v>28769200</v>
      </c>
      <c r="D12" s="384">
        <f t="shared" ref="D12:P12" si="2">SUM(D5:D11)</f>
        <v>26655800</v>
      </c>
      <c r="E12" s="384">
        <f t="shared" si="2"/>
        <v>2401000</v>
      </c>
      <c r="F12" s="384">
        <f t="shared" si="2"/>
        <v>5301500</v>
      </c>
      <c r="G12" s="384">
        <f t="shared" si="2"/>
        <v>3780000</v>
      </c>
      <c r="H12" s="385">
        <f>SUM(H5:H11)</f>
        <v>66907500</v>
      </c>
      <c r="I12" s="384">
        <f t="shared" si="2"/>
        <v>0</v>
      </c>
      <c r="J12" s="384">
        <f t="shared" si="2"/>
        <v>0</v>
      </c>
      <c r="K12" s="384">
        <f>SUM(K5:K11)</f>
        <v>5307865</v>
      </c>
      <c r="L12" s="385">
        <f t="shared" si="2"/>
        <v>66907500</v>
      </c>
      <c r="M12" s="386">
        <f t="shared" si="2"/>
        <v>20612100</v>
      </c>
      <c r="N12" s="384">
        <f t="shared" si="2"/>
        <v>26173300</v>
      </c>
      <c r="O12" s="384">
        <f t="shared" si="2"/>
        <v>0</v>
      </c>
      <c r="P12" s="384">
        <f t="shared" si="2"/>
        <v>20122100</v>
      </c>
    </row>
    <row r="13" spans="1:16" x14ac:dyDescent="0.25">
      <c r="A13" s="376">
        <v>1</v>
      </c>
      <c r="B13" s="372">
        <v>44569</v>
      </c>
      <c r="C13" s="377">
        <v>9411100</v>
      </c>
      <c r="D13" s="377">
        <v>3267100</v>
      </c>
      <c r="E13" s="377"/>
      <c r="F13" s="373"/>
      <c r="G13" s="373"/>
      <c r="H13" s="373">
        <f>SUM(C13:G13)</f>
        <v>12678200</v>
      </c>
      <c r="I13" s="387"/>
      <c r="J13" s="373"/>
      <c r="K13" s="373">
        <v>1181110</v>
      </c>
      <c r="L13" s="373">
        <f>SUM(H13:J13)</f>
        <v>12678200</v>
      </c>
      <c r="M13" s="106">
        <v>4062500</v>
      </c>
      <c r="N13" s="51">
        <v>59800</v>
      </c>
      <c r="O13" s="51">
        <v>517500</v>
      </c>
      <c r="P13" s="106">
        <v>8038400</v>
      </c>
    </row>
    <row r="14" spans="1:16" x14ac:dyDescent="0.25">
      <c r="A14" s="376">
        <v>2</v>
      </c>
      <c r="B14" s="372">
        <v>44570</v>
      </c>
      <c r="C14" s="377">
        <v>3855900</v>
      </c>
      <c r="D14" s="377">
        <v>4329800</v>
      </c>
      <c r="E14" s="377"/>
      <c r="F14" s="373"/>
      <c r="G14" s="388">
        <v>2200000</v>
      </c>
      <c r="H14" s="373">
        <f t="shared" ref="H14:H27" si="3">SUM(C14:G14)</f>
        <v>10385700</v>
      </c>
      <c r="I14" s="377">
        <v>87000</v>
      </c>
      <c r="J14" s="373"/>
      <c r="K14" s="377">
        <v>813200</v>
      </c>
      <c r="L14" s="373">
        <f t="shared" ref="L14:L19" si="4">SUM(H14:J14)</f>
        <v>10472700</v>
      </c>
      <c r="M14" s="51">
        <v>2218000</v>
      </c>
      <c r="N14" s="51"/>
      <c r="O14" s="51">
        <v>3677700</v>
      </c>
      <c r="P14" s="51">
        <v>4490000</v>
      </c>
    </row>
    <row r="15" spans="1:16" x14ac:dyDescent="0.25">
      <c r="A15" s="376">
        <v>3</v>
      </c>
      <c r="B15" s="372">
        <v>44571</v>
      </c>
      <c r="C15" s="389">
        <v>11333200</v>
      </c>
      <c r="D15" s="389">
        <v>3020700</v>
      </c>
      <c r="E15" s="389">
        <v>1310000</v>
      </c>
      <c r="F15" s="389"/>
      <c r="G15" s="389">
        <v>1500000</v>
      </c>
      <c r="H15" s="373">
        <f t="shared" si="3"/>
        <v>17163900</v>
      </c>
      <c r="I15" s="377">
        <v>220500</v>
      </c>
      <c r="J15" s="373">
        <v>150000</v>
      </c>
      <c r="K15" s="373">
        <v>1443600</v>
      </c>
      <c r="L15" s="373">
        <f t="shared" si="4"/>
        <v>17534400</v>
      </c>
      <c r="M15" s="51">
        <v>4341600</v>
      </c>
      <c r="N15" s="51">
        <v>7270000</v>
      </c>
      <c r="O15" s="106">
        <v>156300</v>
      </c>
      <c r="P15" s="106">
        <v>5396000</v>
      </c>
    </row>
    <row r="16" spans="1:16" x14ac:dyDescent="0.25">
      <c r="A16" s="376">
        <v>4</v>
      </c>
      <c r="B16" s="372">
        <v>44572</v>
      </c>
      <c r="C16" s="387">
        <v>4674300</v>
      </c>
      <c r="D16" s="387">
        <v>3281900</v>
      </c>
      <c r="E16" s="377">
        <v>2975000</v>
      </c>
      <c r="F16" s="373"/>
      <c r="G16" s="373"/>
      <c r="H16" s="373">
        <f>SUM(C16:G16)</f>
        <v>10931200</v>
      </c>
      <c r="I16" s="377">
        <v>88700</v>
      </c>
      <c r="J16" s="49"/>
      <c r="K16" s="49">
        <v>1031200</v>
      </c>
      <c r="L16" s="373">
        <f t="shared" si="4"/>
        <v>11019900</v>
      </c>
      <c r="M16" s="51">
        <v>5615800</v>
      </c>
      <c r="N16" s="51"/>
      <c r="O16" s="51">
        <v>2385400</v>
      </c>
      <c r="P16" s="106">
        <v>2930000</v>
      </c>
    </row>
    <row r="17" spans="1:16" x14ac:dyDescent="0.25">
      <c r="A17" s="376">
        <v>5</v>
      </c>
      <c r="B17" s="372">
        <v>44573</v>
      </c>
      <c r="C17" s="390">
        <v>7830000</v>
      </c>
      <c r="D17" s="390">
        <v>3916700</v>
      </c>
      <c r="E17" s="390"/>
      <c r="F17" s="390">
        <v>1800900</v>
      </c>
      <c r="G17" s="377"/>
      <c r="H17" s="373">
        <f t="shared" si="3"/>
        <v>13547600</v>
      </c>
      <c r="I17" s="377">
        <v>63000</v>
      </c>
      <c r="J17" s="388"/>
      <c r="K17" s="106">
        <v>1077600</v>
      </c>
      <c r="L17" s="373">
        <f t="shared" si="4"/>
        <v>13610600</v>
      </c>
      <c r="M17" s="106">
        <v>4749200</v>
      </c>
      <c r="N17" s="51">
        <v>2220900</v>
      </c>
      <c r="O17" s="51">
        <v>6577500</v>
      </c>
      <c r="P17" s="106"/>
    </row>
    <row r="18" spans="1:16" x14ac:dyDescent="0.25">
      <c r="A18" s="376">
        <v>6</v>
      </c>
      <c r="B18" s="372">
        <v>44574</v>
      </c>
      <c r="C18" s="377">
        <v>5784900</v>
      </c>
      <c r="D18" s="377">
        <v>3826900</v>
      </c>
      <c r="E18" s="377"/>
      <c r="F18" s="377"/>
      <c r="G18" s="377"/>
      <c r="H18" s="373">
        <f t="shared" si="3"/>
        <v>9611800</v>
      </c>
      <c r="I18" s="377"/>
      <c r="J18" s="388"/>
      <c r="K18" s="106">
        <v>892800</v>
      </c>
      <c r="L18" s="373">
        <f t="shared" si="4"/>
        <v>9611800</v>
      </c>
      <c r="M18" s="51">
        <v>4429300</v>
      </c>
      <c r="N18" s="51">
        <v>5182500</v>
      </c>
      <c r="O18" s="51"/>
      <c r="P18" s="106"/>
    </row>
    <row r="19" spans="1:16" ht="15.75" thickBot="1" x14ac:dyDescent="0.3">
      <c r="A19" s="376">
        <v>7</v>
      </c>
      <c r="B19" s="372">
        <v>44575</v>
      </c>
      <c r="C19" s="373">
        <v>2559500</v>
      </c>
      <c r="D19" s="373">
        <v>2090100</v>
      </c>
      <c r="E19" s="373">
        <v>275000</v>
      </c>
      <c r="F19" s="373">
        <v>1750300</v>
      </c>
      <c r="G19" s="373"/>
      <c r="H19" s="373">
        <f>SUM(C19:G19)</f>
        <v>6674900</v>
      </c>
      <c r="I19" s="373"/>
      <c r="J19" s="373"/>
      <c r="K19" s="373">
        <v>463900</v>
      </c>
      <c r="L19" s="373">
        <f t="shared" si="4"/>
        <v>6674900</v>
      </c>
      <c r="M19" s="49">
        <v>2264200</v>
      </c>
      <c r="N19" s="49">
        <v>4410700</v>
      </c>
      <c r="O19" s="49"/>
      <c r="P19" s="49"/>
    </row>
    <row r="20" spans="1:16" ht="15.75" thickBot="1" x14ac:dyDescent="0.3">
      <c r="A20" s="382" t="s">
        <v>727</v>
      </c>
      <c r="B20" s="383"/>
      <c r="C20" s="384">
        <f t="shared" ref="C20:P20" si="5">SUM(C13:C19)</f>
        <v>45448900</v>
      </c>
      <c r="D20" s="384">
        <f t="shared" si="5"/>
        <v>23733200</v>
      </c>
      <c r="E20" s="384">
        <f t="shared" si="5"/>
        <v>4560000</v>
      </c>
      <c r="F20" s="384">
        <f t="shared" si="5"/>
        <v>3551200</v>
      </c>
      <c r="G20" s="384">
        <f t="shared" si="5"/>
        <v>3700000</v>
      </c>
      <c r="H20" s="385">
        <f t="shared" si="5"/>
        <v>80993300</v>
      </c>
      <c r="I20" s="384">
        <f t="shared" si="5"/>
        <v>459200</v>
      </c>
      <c r="J20" s="384">
        <f t="shared" si="5"/>
        <v>150000</v>
      </c>
      <c r="K20" s="384">
        <f t="shared" si="5"/>
        <v>6903410</v>
      </c>
      <c r="L20" s="385">
        <f t="shared" si="5"/>
        <v>81602500</v>
      </c>
      <c r="M20" s="384">
        <f t="shared" si="5"/>
        <v>27680600</v>
      </c>
      <c r="N20" s="384">
        <f t="shared" si="5"/>
        <v>19143900</v>
      </c>
      <c r="O20" s="384">
        <f t="shared" si="5"/>
        <v>13314400</v>
      </c>
      <c r="P20" s="384">
        <f t="shared" si="5"/>
        <v>20854400</v>
      </c>
    </row>
    <row r="21" spans="1:16" x14ac:dyDescent="0.25">
      <c r="A21" s="371">
        <v>1</v>
      </c>
      <c r="B21" s="372">
        <v>44576</v>
      </c>
      <c r="C21" s="373">
        <v>1413800</v>
      </c>
      <c r="D21" s="373">
        <v>1748000</v>
      </c>
      <c r="E21" s="373">
        <v>1877500</v>
      </c>
      <c r="F21" s="373"/>
      <c r="G21" s="373"/>
      <c r="H21" s="373">
        <f>SUM(C21:G21)</f>
        <v>5039300</v>
      </c>
      <c r="I21" s="373"/>
      <c r="J21" s="373"/>
      <c r="K21" s="373">
        <v>472800</v>
      </c>
      <c r="L21" s="373">
        <f>SUM(H21:J21)</f>
        <v>5039300</v>
      </c>
      <c r="M21" s="49">
        <v>1032700</v>
      </c>
      <c r="N21" s="49">
        <v>4006600</v>
      </c>
      <c r="O21" s="49"/>
      <c r="P21" s="49"/>
    </row>
    <row r="22" spans="1:16" x14ac:dyDescent="0.25">
      <c r="A22" s="376">
        <v>2</v>
      </c>
      <c r="B22" s="372">
        <v>44577</v>
      </c>
      <c r="C22" s="377">
        <v>1552900</v>
      </c>
      <c r="D22" s="377">
        <v>5152700</v>
      </c>
      <c r="E22" s="377">
        <v>1980000</v>
      </c>
      <c r="F22" s="377">
        <v>1800900</v>
      </c>
      <c r="G22" s="377"/>
      <c r="H22" s="373">
        <f t="shared" si="3"/>
        <v>10486500</v>
      </c>
      <c r="I22" s="373">
        <v>170500</v>
      </c>
      <c r="J22" s="373"/>
      <c r="K22" s="373">
        <v>834000</v>
      </c>
      <c r="L22" s="373">
        <f t="shared" ref="L22:L27" si="6">SUM(H22:J22)</f>
        <v>10657000</v>
      </c>
      <c r="M22" s="49"/>
      <c r="N22" s="49">
        <v>7172200</v>
      </c>
      <c r="O22" s="27">
        <v>3314300</v>
      </c>
      <c r="P22" s="49"/>
    </row>
    <row r="23" spans="1:16" x14ac:dyDescent="0.25">
      <c r="A23" s="371">
        <v>3</v>
      </c>
      <c r="B23" s="372">
        <v>44578</v>
      </c>
      <c r="C23" s="377">
        <v>2955900</v>
      </c>
      <c r="D23" s="377">
        <v>6995700</v>
      </c>
      <c r="E23" s="377">
        <v>165000</v>
      </c>
      <c r="F23" s="373"/>
      <c r="G23" s="373">
        <v>2200000</v>
      </c>
      <c r="H23" s="373">
        <f>SUM(C23:G23)</f>
        <v>12316600</v>
      </c>
      <c r="I23" s="377"/>
      <c r="J23" s="377"/>
      <c r="K23" s="373">
        <v>936480</v>
      </c>
      <c r="L23" s="373">
        <f t="shared" si="6"/>
        <v>12316600</v>
      </c>
      <c r="M23" s="51">
        <v>4502500</v>
      </c>
      <c r="N23" s="27">
        <v>6496300</v>
      </c>
      <c r="O23" s="27">
        <v>1317800</v>
      </c>
      <c r="P23" s="49"/>
    </row>
    <row r="24" spans="1:16" x14ac:dyDescent="0.25">
      <c r="A24" s="376">
        <v>4</v>
      </c>
      <c r="B24" s="372">
        <v>44579</v>
      </c>
      <c r="C24" s="377">
        <v>6913600</v>
      </c>
      <c r="D24" s="377">
        <v>7482100</v>
      </c>
      <c r="E24" s="377">
        <v>310000</v>
      </c>
      <c r="F24" s="373">
        <v>1750300</v>
      </c>
      <c r="G24" s="373"/>
      <c r="H24" s="373">
        <f>SUM(C24:G24)</f>
        <v>16456000</v>
      </c>
      <c r="I24" s="377">
        <v>540000</v>
      </c>
      <c r="J24" s="377"/>
      <c r="K24" s="373">
        <v>1383774</v>
      </c>
      <c r="L24" s="373">
        <f t="shared" si="6"/>
        <v>16996000</v>
      </c>
      <c r="M24" s="51"/>
      <c r="N24" s="51">
        <v>6706400</v>
      </c>
      <c r="O24" s="27">
        <v>5294600</v>
      </c>
      <c r="P24" s="27">
        <v>4455000</v>
      </c>
    </row>
    <row r="25" spans="1:16" x14ac:dyDescent="0.25">
      <c r="A25" s="371">
        <v>5</v>
      </c>
      <c r="B25" s="372">
        <v>44580</v>
      </c>
      <c r="C25" s="377">
        <v>940700</v>
      </c>
      <c r="D25" s="377">
        <v>3005600</v>
      </c>
      <c r="E25" s="377">
        <v>330000</v>
      </c>
      <c r="F25" s="373">
        <v>4142300</v>
      </c>
      <c r="G25" s="373">
        <v>2200000</v>
      </c>
      <c r="H25" s="373">
        <f>SUM(C25:G25)</f>
        <v>10618600</v>
      </c>
      <c r="I25" s="377"/>
      <c r="J25" s="377">
        <v>9500</v>
      </c>
      <c r="K25" s="373">
        <v>403600</v>
      </c>
      <c r="L25" s="373">
        <f>SUM(H25:J25)</f>
        <v>10628100</v>
      </c>
      <c r="M25" s="391">
        <v>2774000</v>
      </c>
      <c r="N25" s="391"/>
      <c r="O25" s="391">
        <v>3721300</v>
      </c>
      <c r="P25" s="391">
        <v>4123300</v>
      </c>
    </row>
    <row r="26" spans="1:16" x14ac:dyDescent="0.25">
      <c r="A26" s="376">
        <v>6</v>
      </c>
      <c r="B26" s="372">
        <v>44581</v>
      </c>
      <c r="C26" s="377">
        <v>7447500</v>
      </c>
      <c r="D26" s="377">
        <v>5604200</v>
      </c>
      <c r="E26" s="377"/>
      <c r="F26" s="373"/>
      <c r="G26" s="373"/>
      <c r="H26" s="373">
        <f t="shared" si="3"/>
        <v>13051700</v>
      </c>
      <c r="I26" s="377">
        <v>448000</v>
      </c>
      <c r="J26" s="377"/>
      <c r="K26" s="373">
        <v>1232700</v>
      </c>
      <c r="L26" s="373">
        <f t="shared" si="6"/>
        <v>13499700</v>
      </c>
      <c r="M26" s="49">
        <v>2016200</v>
      </c>
      <c r="N26" s="49"/>
      <c r="O26" s="49">
        <v>10683000</v>
      </c>
      <c r="P26" s="49">
        <v>352500</v>
      </c>
    </row>
    <row r="27" spans="1:16" ht="15.75" thickBot="1" x14ac:dyDescent="0.3">
      <c r="A27" s="371">
        <v>7</v>
      </c>
      <c r="B27" s="372">
        <v>44582</v>
      </c>
      <c r="C27" s="49">
        <v>1524500</v>
      </c>
      <c r="D27" s="49">
        <v>4420800</v>
      </c>
      <c r="E27" s="49">
        <v>922500</v>
      </c>
      <c r="F27" s="49"/>
      <c r="G27" s="391"/>
      <c r="H27" s="373">
        <f t="shared" si="3"/>
        <v>6867800</v>
      </c>
      <c r="I27" s="373">
        <v>232000</v>
      </c>
      <c r="J27" s="392">
        <v>326000</v>
      </c>
      <c r="K27" s="373">
        <v>649800</v>
      </c>
      <c r="L27" s="373">
        <f t="shared" si="6"/>
        <v>7425800</v>
      </c>
      <c r="M27" s="49">
        <v>2292000</v>
      </c>
      <c r="N27" s="49">
        <v>1937500</v>
      </c>
      <c r="O27" s="49">
        <v>2638300</v>
      </c>
      <c r="P27" s="49"/>
    </row>
    <row r="28" spans="1:16" ht="15.75" thickBot="1" x14ac:dyDescent="0.3">
      <c r="A28" s="382" t="s">
        <v>727</v>
      </c>
      <c r="B28" s="383"/>
      <c r="C28" s="384">
        <f t="shared" ref="C28:P28" si="7">SUM(C21:C27)</f>
        <v>22748900</v>
      </c>
      <c r="D28" s="384">
        <f t="shared" si="7"/>
        <v>34409100</v>
      </c>
      <c r="E28" s="384">
        <f t="shared" si="7"/>
        <v>5585000</v>
      </c>
      <c r="F28" s="384">
        <f t="shared" si="7"/>
        <v>7693500</v>
      </c>
      <c r="G28" s="384">
        <f t="shared" si="7"/>
        <v>4400000</v>
      </c>
      <c r="H28" s="385">
        <f t="shared" si="7"/>
        <v>74836500</v>
      </c>
      <c r="I28" s="384">
        <f t="shared" si="7"/>
        <v>1390500</v>
      </c>
      <c r="J28" s="384">
        <f t="shared" si="7"/>
        <v>335500</v>
      </c>
      <c r="K28" s="384">
        <f t="shared" si="7"/>
        <v>5913154</v>
      </c>
      <c r="L28" s="385">
        <f t="shared" si="7"/>
        <v>76562500</v>
      </c>
      <c r="M28" s="393">
        <f t="shared" si="7"/>
        <v>12617400</v>
      </c>
      <c r="N28" s="393">
        <f t="shared" si="7"/>
        <v>26319000</v>
      </c>
      <c r="O28" s="393">
        <f t="shared" si="7"/>
        <v>26969300</v>
      </c>
      <c r="P28" s="393">
        <f t="shared" si="7"/>
        <v>8930800</v>
      </c>
    </row>
    <row r="29" spans="1:16" x14ac:dyDescent="0.25">
      <c r="A29" s="394">
        <v>1</v>
      </c>
      <c r="B29" s="372">
        <v>44583</v>
      </c>
      <c r="C29" s="373">
        <v>6101300</v>
      </c>
      <c r="D29" s="373">
        <v>3989600</v>
      </c>
      <c r="E29" s="373"/>
      <c r="F29" s="373"/>
      <c r="G29" s="373"/>
      <c r="H29" s="391">
        <f t="shared" ref="H29:H38" si="8">SUM(C29:G29)</f>
        <v>10090900</v>
      </c>
      <c r="I29" s="373">
        <v>122000</v>
      </c>
      <c r="J29" s="373"/>
      <c r="K29" s="373">
        <v>937900</v>
      </c>
      <c r="L29" s="373">
        <f t="shared" ref="L29:L37" si="9">SUM(H29:J29)</f>
        <v>10212900</v>
      </c>
      <c r="M29" s="49"/>
      <c r="N29" s="49">
        <v>4787500</v>
      </c>
      <c r="O29" s="49">
        <v>4679400</v>
      </c>
      <c r="P29" s="49">
        <v>624000</v>
      </c>
    </row>
    <row r="30" spans="1:16" x14ac:dyDescent="0.25">
      <c r="A30" s="376">
        <v>2</v>
      </c>
      <c r="B30" s="372">
        <v>44584</v>
      </c>
      <c r="C30" s="377">
        <v>2907000</v>
      </c>
      <c r="D30" s="387">
        <v>9981700</v>
      </c>
      <c r="E30" s="377">
        <v>275000</v>
      </c>
      <c r="F30" s="377"/>
      <c r="G30" s="377"/>
      <c r="H30" s="391">
        <f t="shared" si="8"/>
        <v>13163700</v>
      </c>
      <c r="I30" s="373"/>
      <c r="J30" s="373">
        <v>300000</v>
      </c>
      <c r="K30" s="373">
        <v>1252700</v>
      </c>
      <c r="L30" s="373">
        <f t="shared" si="9"/>
        <v>13463700</v>
      </c>
      <c r="M30" s="51"/>
      <c r="N30" s="51">
        <v>6104000</v>
      </c>
      <c r="O30" s="51">
        <v>3561700</v>
      </c>
      <c r="P30" s="106">
        <v>3498000</v>
      </c>
    </row>
    <row r="31" spans="1:16" x14ac:dyDescent="0.25">
      <c r="A31" s="371">
        <v>3</v>
      </c>
      <c r="B31" s="372">
        <v>44585</v>
      </c>
      <c r="C31" s="387">
        <v>11391800</v>
      </c>
      <c r="D31" s="377">
        <v>2412900</v>
      </c>
      <c r="E31" s="373"/>
      <c r="F31" s="373">
        <v>1423700</v>
      </c>
      <c r="G31" s="373"/>
      <c r="H31" s="391">
        <f t="shared" si="8"/>
        <v>15228400</v>
      </c>
      <c r="I31" s="373"/>
      <c r="J31" s="373">
        <v>8500</v>
      </c>
      <c r="K31" s="373">
        <v>1280900</v>
      </c>
      <c r="L31" s="373">
        <f t="shared" si="9"/>
        <v>15236900</v>
      </c>
      <c r="M31" s="49">
        <v>7527800</v>
      </c>
      <c r="N31" s="27">
        <v>3173300</v>
      </c>
      <c r="O31" s="27">
        <v>1972000</v>
      </c>
      <c r="P31" s="49">
        <v>2555300</v>
      </c>
    </row>
    <row r="32" spans="1:16" x14ac:dyDescent="0.25">
      <c r="A32" s="376">
        <v>4</v>
      </c>
      <c r="B32" s="372">
        <v>44586</v>
      </c>
      <c r="C32" s="377">
        <v>15154200</v>
      </c>
      <c r="D32" s="377">
        <v>5225800</v>
      </c>
      <c r="E32" s="377">
        <v>320000</v>
      </c>
      <c r="F32" s="373"/>
      <c r="G32" s="373"/>
      <c r="H32" s="391">
        <f>SUM(C32:G32)</f>
        <v>20700000</v>
      </c>
      <c r="I32" s="373">
        <v>293000</v>
      </c>
      <c r="J32" s="373"/>
      <c r="K32" s="373">
        <v>1860000</v>
      </c>
      <c r="L32" s="373">
        <f t="shared" si="9"/>
        <v>20993000</v>
      </c>
      <c r="M32" s="27">
        <v>5585900</v>
      </c>
      <c r="N32" s="395">
        <v>1798400</v>
      </c>
      <c r="O32" s="395">
        <v>7745000</v>
      </c>
      <c r="P32" s="49">
        <v>5570700</v>
      </c>
    </row>
    <row r="33" spans="1:16" x14ac:dyDescent="0.25">
      <c r="A33" s="371">
        <v>5</v>
      </c>
      <c r="B33" s="372">
        <v>44587</v>
      </c>
      <c r="C33" s="377">
        <v>10257100</v>
      </c>
      <c r="D33" s="377">
        <v>5437800</v>
      </c>
      <c r="E33" s="387">
        <v>1850000</v>
      </c>
      <c r="F33" s="388"/>
      <c r="G33" s="388">
        <v>2200000</v>
      </c>
      <c r="H33" s="391">
        <f t="shared" si="8"/>
        <v>19744900</v>
      </c>
      <c r="I33" s="373">
        <v>296500</v>
      </c>
      <c r="J33" s="373"/>
      <c r="K33" s="373">
        <v>1624400</v>
      </c>
      <c r="L33" s="373">
        <f t="shared" si="9"/>
        <v>20041400</v>
      </c>
      <c r="M33" s="396"/>
      <c r="N33" s="27"/>
      <c r="O33" s="27">
        <v>6855100</v>
      </c>
      <c r="P33" s="49">
        <v>12889800</v>
      </c>
    </row>
    <row r="34" spans="1:16" x14ac:dyDescent="0.25">
      <c r="A34" s="376">
        <v>6</v>
      </c>
      <c r="B34" s="372">
        <v>44588</v>
      </c>
      <c r="C34" s="377">
        <v>2412500</v>
      </c>
      <c r="D34" s="377">
        <v>4672600</v>
      </c>
      <c r="E34" s="387">
        <v>1882500</v>
      </c>
      <c r="F34" s="388"/>
      <c r="G34" s="388"/>
      <c r="H34" s="391">
        <f t="shared" si="8"/>
        <v>8967600</v>
      </c>
      <c r="I34" s="373"/>
      <c r="J34" s="373"/>
      <c r="K34" s="373">
        <v>853600</v>
      </c>
      <c r="L34" s="373">
        <f t="shared" si="9"/>
        <v>8967600</v>
      </c>
      <c r="M34" s="27">
        <v>3113200</v>
      </c>
      <c r="N34" s="27"/>
      <c r="O34" s="27">
        <v>4461900</v>
      </c>
      <c r="P34" s="49">
        <v>1392500</v>
      </c>
    </row>
    <row r="35" spans="1:16" x14ac:dyDescent="0.25">
      <c r="A35" s="371">
        <v>7</v>
      </c>
      <c r="B35" s="372">
        <v>44589</v>
      </c>
      <c r="C35" s="377">
        <v>7080900</v>
      </c>
      <c r="D35" s="377">
        <v>301300</v>
      </c>
      <c r="E35" s="388">
        <v>462500</v>
      </c>
      <c r="F35" s="388"/>
      <c r="G35" s="388"/>
      <c r="H35" s="391">
        <f>SUM(C35:G35)</f>
        <v>7844700</v>
      </c>
      <c r="I35" s="373"/>
      <c r="J35" s="373"/>
      <c r="K35" s="373">
        <v>729700</v>
      </c>
      <c r="L35" s="373">
        <f t="shared" si="9"/>
        <v>7844700</v>
      </c>
      <c r="M35" s="27"/>
      <c r="N35" s="27"/>
      <c r="O35" s="27">
        <v>3192200</v>
      </c>
      <c r="P35" s="49">
        <v>4652500</v>
      </c>
    </row>
    <row r="36" spans="1:16" x14ac:dyDescent="0.25">
      <c r="A36" s="376">
        <v>8</v>
      </c>
      <c r="B36" s="372">
        <v>44590</v>
      </c>
      <c r="C36" s="377">
        <v>11005800</v>
      </c>
      <c r="D36" s="377">
        <v>4431100</v>
      </c>
      <c r="E36" s="377">
        <v>220000</v>
      </c>
      <c r="F36" s="373">
        <v>1803200</v>
      </c>
      <c r="G36" s="388">
        <v>2200000</v>
      </c>
      <c r="H36" s="391">
        <f t="shared" si="8"/>
        <v>19660100</v>
      </c>
      <c r="I36" s="373"/>
      <c r="J36" s="373"/>
      <c r="K36" s="373">
        <v>1473600</v>
      </c>
      <c r="L36" s="373">
        <f t="shared" si="9"/>
        <v>19660100</v>
      </c>
      <c r="M36" s="27"/>
      <c r="N36" s="27"/>
      <c r="O36" s="27">
        <v>16138000</v>
      </c>
      <c r="P36" s="49">
        <v>3522100</v>
      </c>
    </row>
    <row r="37" spans="1:16" x14ac:dyDescent="0.25">
      <c r="A37" s="371">
        <v>9</v>
      </c>
      <c r="B37" s="372">
        <v>44591</v>
      </c>
      <c r="C37" s="377">
        <v>5707500</v>
      </c>
      <c r="D37" s="377">
        <v>7212000</v>
      </c>
      <c r="E37" s="377">
        <v>1685000</v>
      </c>
      <c r="F37" s="373"/>
      <c r="G37" s="388"/>
      <c r="H37" s="391">
        <f t="shared" si="8"/>
        <v>14604500</v>
      </c>
      <c r="I37" s="373"/>
      <c r="J37" s="373"/>
      <c r="K37" s="373">
        <v>1364500</v>
      </c>
      <c r="L37" s="373">
        <f t="shared" si="9"/>
        <v>14604500</v>
      </c>
      <c r="M37" s="27"/>
      <c r="N37" s="27">
        <v>4800000</v>
      </c>
      <c r="O37" s="27">
        <v>2404500</v>
      </c>
      <c r="P37" s="49">
        <v>7400000</v>
      </c>
    </row>
    <row r="38" spans="1:16" ht="15.75" thickBot="1" x14ac:dyDescent="0.3">
      <c r="A38" s="376">
        <v>10</v>
      </c>
      <c r="B38" s="372">
        <v>44592</v>
      </c>
      <c r="C38" s="377">
        <v>1649200</v>
      </c>
      <c r="D38" s="377">
        <v>3188800</v>
      </c>
      <c r="E38" s="377"/>
      <c r="F38" s="373">
        <v>1504200</v>
      </c>
      <c r="G38" s="388"/>
      <c r="H38" s="391">
        <f t="shared" si="8"/>
        <v>6342200</v>
      </c>
      <c r="I38" s="373"/>
      <c r="J38" s="373"/>
      <c r="K38" s="373">
        <v>465200</v>
      </c>
      <c r="L38" s="373">
        <f>SUM(H38:J38)</f>
        <v>6342200</v>
      </c>
      <c r="M38" s="27"/>
      <c r="N38" s="27"/>
      <c r="O38" s="27">
        <v>2019400</v>
      </c>
      <c r="P38" s="49">
        <v>4322800</v>
      </c>
    </row>
    <row r="39" spans="1:16" ht="15.75" thickBot="1" x14ac:dyDescent="0.3">
      <c r="A39" s="397" t="s">
        <v>727</v>
      </c>
      <c r="B39" s="398"/>
      <c r="C39" s="399">
        <f t="shared" ref="C39:K39" si="10">SUM(C29:C38)</f>
        <v>73667300</v>
      </c>
      <c r="D39" s="399">
        <f t="shared" si="10"/>
        <v>46853600</v>
      </c>
      <c r="E39" s="399">
        <f t="shared" si="10"/>
        <v>6695000</v>
      </c>
      <c r="F39" s="399">
        <f t="shared" si="10"/>
        <v>4731100</v>
      </c>
      <c r="G39" s="399">
        <f t="shared" si="10"/>
        <v>4400000</v>
      </c>
      <c r="H39" s="400">
        <f t="shared" si="10"/>
        <v>136347000</v>
      </c>
      <c r="I39" s="399">
        <f t="shared" si="10"/>
        <v>711500</v>
      </c>
      <c r="J39" s="399">
        <f t="shared" si="10"/>
        <v>308500</v>
      </c>
      <c r="K39" s="399">
        <f t="shared" si="10"/>
        <v>11842500</v>
      </c>
      <c r="L39" s="401">
        <f>C39+D39+E39+I39+J39+G39</f>
        <v>132635900</v>
      </c>
      <c r="M39" s="399">
        <f t="shared" ref="M39:P39" si="11">SUM(M29:M38)</f>
        <v>16226900</v>
      </c>
      <c r="N39" s="399">
        <f t="shared" si="11"/>
        <v>20663200</v>
      </c>
      <c r="O39" s="399">
        <f t="shared" si="11"/>
        <v>53029200</v>
      </c>
      <c r="P39" s="399">
        <f t="shared" si="11"/>
        <v>46427700</v>
      </c>
    </row>
    <row r="40" spans="1:16" ht="16.5" thickTop="1" thickBot="1" x14ac:dyDescent="0.3">
      <c r="A40" s="402" t="s">
        <v>15</v>
      </c>
      <c r="B40" s="403"/>
      <c r="C40" s="404">
        <f>C39+C28+C20+C12</f>
        <v>170634300</v>
      </c>
      <c r="D40" s="404">
        <f>D39+D28+D20+D12</f>
        <v>131651700</v>
      </c>
      <c r="E40" s="404">
        <f>E39+E28+E20+E12</f>
        <v>19241000</v>
      </c>
      <c r="F40" s="404">
        <f>F39+F28+F20+F12</f>
        <v>21277300</v>
      </c>
      <c r="G40" s="404">
        <f>G39+G28+G20+G12</f>
        <v>16280000</v>
      </c>
      <c r="H40" s="405">
        <f>SUM(C40:G40)</f>
        <v>359084300</v>
      </c>
      <c r="I40" s="404">
        <f>I39+I28+I20+I12</f>
        <v>2561200</v>
      </c>
      <c r="J40" s="404">
        <f>J39+J28+J20+J12</f>
        <v>794000</v>
      </c>
      <c r="K40" s="404">
        <f>K39+K28+K20+K12</f>
        <v>29966929</v>
      </c>
      <c r="L40" s="405">
        <f>H40+I40+J40</f>
        <v>362439500</v>
      </c>
      <c r="M40" s="404">
        <f>M39+M28+M20+M12</f>
        <v>77137000</v>
      </c>
      <c r="N40" s="404">
        <f>N39+N28+N20+N12</f>
        <v>92299400</v>
      </c>
      <c r="O40" s="404">
        <f>O39+O28+O20+O12</f>
        <v>93312900</v>
      </c>
      <c r="P40" s="404">
        <f>P39+P28+P20+P12</f>
        <v>96335000</v>
      </c>
    </row>
  </sheetData>
  <mergeCells count="21">
    <mergeCell ref="A12:B12"/>
    <mergeCell ref="A20:B20"/>
    <mergeCell ref="A28:B28"/>
    <mergeCell ref="A39:B39"/>
    <mergeCell ref="A40:B40"/>
    <mergeCell ref="K3:K4"/>
    <mergeCell ref="L3:L4"/>
    <mergeCell ref="M3:M4"/>
    <mergeCell ref="N3:N4"/>
    <mergeCell ref="O3:O4"/>
    <mergeCell ref="P3:P4"/>
    <mergeCell ref="A1:P2"/>
    <mergeCell ref="A3:A4"/>
    <mergeCell ref="B3:B4"/>
    <mergeCell ref="C3:C4"/>
    <mergeCell ref="D3:D4"/>
    <mergeCell ref="E3:E4"/>
    <mergeCell ref="F3:F4"/>
    <mergeCell ref="G3:G4"/>
    <mergeCell ref="I3:I4"/>
    <mergeCell ref="J3:J4"/>
  </mergeCells>
  <pageMargins left="0.59055118110236227" right="0.51181102362204722" top="0.55118110236220474" bottom="0.55118110236220474" header="0.31496062992125984" footer="0.31496062992125984"/>
  <pageSetup paperSize="9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Wil 1</vt:lpstr>
      <vt:lpstr>Wil 2</vt:lpstr>
      <vt:lpstr>MP</vt:lpstr>
      <vt:lpstr>Nener</vt:lpstr>
      <vt:lpstr>Tabulasi Harian</vt:lpstr>
      <vt:lpstr>MP!Print_Area</vt:lpstr>
      <vt:lpstr>Nener!Print_Area</vt:lpstr>
      <vt:lpstr>'Wil 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Windows 7</cp:lastModifiedBy>
  <cp:lastPrinted>2021-02-03T06:18:03Z</cp:lastPrinted>
  <dcterms:created xsi:type="dcterms:W3CDTF">2016-07-16T03:12:59Z</dcterms:created>
  <dcterms:modified xsi:type="dcterms:W3CDTF">2023-02-01T04:01:15Z</dcterms:modified>
</cp:coreProperties>
</file>