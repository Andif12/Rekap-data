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\Arkanzha Naufal Virendra\04. File Lap. Keuangan 2022\03. Lap. Akhir Bulan\Lap. Ke Pak Direktur Keuangan\12. Lap. Akhir Bulan Per Desember 2022\"/>
    </mc:Choice>
  </mc:AlternateContent>
  <xr:revisionPtr revIDLastSave="0" documentId="13_ncr:1_{9EE7C8AC-36B0-4809-A3FB-F281A30A0A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PD 2022" sheetId="1" r:id="rId1"/>
    <sheet name="Sheet5" sheetId="5" r:id="rId2"/>
  </sheets>
  <definedNames>
    <definedName name="_xlnm.Print_Area" localSheetId="0">'RPD 2022'!$A$1:$V$95</definedName>
    <definedName name="_xlnm.Print_Titles" localSheetId="0">'RPD 2022'!$4:$5</definedName>
  </definedNames>
  <calcPr calcId="181029"/>
</workbook>
</file>

<file path=xl/calcChain.xml><?xml version="1.0" encoding="utf-8"?>
<calcChain xmlns="http://schemas.openxmlformats.org/spreadsheetml/2006/main">
  <c r="C99" i="1" l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3" i="1"/>
  <c r="T72" i="1"/>
  <c r="T71" i="1"/>
  <c r="T70" i="1"/>
  <c r="T69" i="1"/>
  <c r="T68" i="1"/>
  <c r="T67" i="1"/>
  <c r="T66" i="1"/>
  <c r="T65" i="1"/>
  <c r="T64" i="1"/>
  <c r="T63" i="1"/>
  <c r="T58" i="1"/>
  <c r="T57" i="1"/>
  <c r="T56" i="1"/>
  <c r="T55" i="1"/>
  <c r="T54" i="1"/>
  <c r="T50" i="1"/>
  <c r="T49" i="1"/>
  <c r="T48" i="1"/>
  <c r="T47" i="1"/>
  <c r="T43" i="1"/>
  <c r="T42" i="1"/>
  <c r="T41" i="1"/>
  <c r="T40" i="1"/>
  <c r="T36" i="1"/>
  <c r="T35" i="1"/>
  <c r="T34" i="1"/>
  <c r="T33" i="1"/>
  <c r="T32" i="1"/>
  <c r="T31" i="1"/>
  <c r="T30" i="1"/>
  <c r="T29" i="1"/>
  <c r="T25" i="1"/>
  <c r="T24" i="1"/>
  <c r="T23" i="1"/>
  <c r="T22" i="1"/>
  <c r="T21" i="1"/>
  <c r="T20" i="1"/>
  <c r="T19" i="1"/>
  <c r="T18" i="1"/>
  <c r="T14" i="1"/>
  <c r="T13" i="1"/>
  <c r="T12" i="1"/>
  <c r="T11" i="1"/>
  <c r="T10" i="1"/>
  <c r="T9" i="1"/>
  <c r="T8" i="1"/>
  <c r="R15" i="1"/>
  <c r="S8" i="1"/>
  <c r="V8" i="1" s="1"/>
  <c r="S56" i="1"/>
  <c r="V56" i="1" s="1"/>
  <c r="S48" i="1"/>
  <c r="V48" i="1" s="1"/>
  <c r="S42" i="1"/>
  <c r="V42" i="1" s="1"/>
  <c r="S30" i="1"/>
  <c r="V30" i="1" s="1"/>
  <c r="S20" i="1"/>
  <c r="V20" i="1" s="1"/>
  <c r="C105" i="1"/>
  <c r="S24" i="1"/>
  <c r="V24" i="1" s="1"/>
  <c r="T15" i="1" l="1"/>
  <c r="T26" i="1"/>
  <c r="U24" i="1"/>
  <c r="C111" i="1" l="1"/>
  <c r="C117" i="1"/>
  <c r="U8" i="1" l="1"/>
  <c r="S21" i="1"/>
  <c r="V21" i="1" s="1"/>
  <c r="U21" i="1" l="1"/>
  <c r="S68" i="1"/>
  <c r="V68" i="1" s="1"/>
  <c r="S9" i="1"/>
  <c r="V9" i="1" s="1"/>
  <c r="S41" i="1"/>
  <c r="V41" i="1" s="1"/>
  <c r="S18" i="1"/>
  <c r="V18" i="1" s="1"/>
  <c r="S29" i="1"/>
  <c r="V29" i="1" s="1"/>
  <c r="C123" i="1"/>
  <c r="S91" i="1"/>
  <c r="V91" i="1" s="1"/>
  <c r="S90" i="1"/>
  <c r="V90" i="1" s="1"/>
  <c r="S89" i="1"/>
  <c r="V89" i="1" s="1"/>
  <c r="S88" i="1"/>
  <c r="V88" i="1" s="1"/>
  <c r="S87" i="1"/>
  <c r="V87" i="1" s="1"/>
  <c r="S86" i="1"/>
  <c r="V86" i="1" s="1"/>
  <c r="S85" i="1"/>
  <c r="V85" i="1" s="1"/>
  <c r="S84" i="1"/>
  <c r="V84" i="1" s="1"/>
  <c r="S83" i="1"/>
  <c r="V83" i="1" s="1"/>
  <c r="S82" i="1"/>
  <c r="V82" i="1" s="1"/>
  <c r="S81" i="1"/>
  <c r="V81" i="1" s="1"/>
  <c r="S80" i="1"/>
  <c r="V80" i="1" s="1"/>
  <c r="S79" i="1"/>
  <c r="V79" i="1" s="1"/>
  <c r="S78" i="1"/>
  <c r="V78" i="1" s="1"/>
  <c r="S77" i="1"/>
  <c r="V77" i="1" s="1"/>
  <c r="S73" i="1"/>
  <c r="V73" i="1" s="1"/>
  <c r="S72" i="1"/>
  <c r="V72" i="1" s="1"/>
  <c r="S71" i="1"/>
  <c r="V71" i="1" s="1"/>
  <c r="S70" i="1"/>
  <c r="V70" i="1" s="1"/>
  <c r="S69" i="1"/>
  <c r="V69" i="1" s="1"/>
  <c r="S67" i="1"/>
  <c r="V67" i="1" s="1"/>
  <c r="S66" i="1"/>
  <c r="V66" i="1" s="1"/>
  <c r="S65" i="1"/>
  <c r="V65" i="1" s="1"/>
  <c r="S64" i="1"/>
  <c r="V64" i="1" s="1"/>
  <c r="S63" i="1"/>
  <c r="V63" i="1" s="1"/>
  <c r="S58" i="1"/>
  <c r="V58" i="1" s="1"/>
  <c r="S57" i="1"/>
  <c r="V57" i="1" s="1"/>
  <c r="S55" i="1"/>
  <c r="V55" i="1" s="1"/>
  <c r="S54" i="1"/>
  <c r="V54" i="1" s="1"/>
  <c r="S50" i="1"/>
  <c r="V50" i="1" s="1"/>
  <c r="S49" i="1"/>
  <c r="V49" i="1" s="1"/>
  <c r="S47" i="1"/>
  <c r="V47" i="1" s="1"/>
  <c r="S43" i="1"/>
  <c r="V43" i="1" s="1"/>
  <c r="S40" i="1"/>
  <c r="V40" i="1" s="1"/>
  <c r="S36" i="1"/>
  <c r="V36" i="1" s="1"/>
  <c r="S35" i="1"/>
  <c r="V35" i="1" s="1"/>
  <c r="S34" i="1"/>
  <c r="V34" i="1" s="1"/>
  <c r="S33" i="1"/>
  <c r="V33" i="1" s="1"/>
  <c r="S32" i="1"/>
  <c r="V32" i="1" s="1"/>
  <c r="S31" i="1"/>
  <c r="V31" i="1" s="1"/>
  <c r="S25" i="1"/>
  <c r="V25" i="1" s="1"/>
  <c r="S23" i="1"/>
  <c r="V23" i="1" s="1"/>
  <c r="S22" i="1"/>
  <c r="V22" i="1" s="1"/>
  <c r="S19" i="1"/>
  <c r="V19" i="1" s="1"/>
  <c r="S14" i="1"/>
  <c r="V14" i="1" s="1"/>
  <c r="S13" i="1"/>
  <c r="V13" i="1" s="1"/>
  <c r="S12" i="1"/>
  <c r="V12" i="1" s="1"/>
  <c r="S11" i="1"/>
  <c r="V11" i="1" s="1"/>
  <c r="S10" i="1"/>
  <c r="V10" i="1" s="1"/>
  <c r="V15" i="1" l="1"/>
  <c r="V92" i="1"/>
  <c r="U67" i="1"/>
  <c r="U68" i="1"/>
  <c r="S74" i="1"/>
  <c r="M92" i="1" l="1"/>
  <c r="C129" i="1"/>
  <c r="C135" i="1" l="1"/>
  <c r="C141" i="1" l="1"/>
  <c r="C147" i="1"/>
  <c r="C153" i="1"/>
  <c r="C159" i="1"/>
  <c r="G74" i="1" l="1"/>
  <c r="R59" i="1"/>
  <c r="Q59" i="1"/>
  <c r="P59" i="1"/>
  <c r="O59" i="1"/>
  <c r="N59" i="1"/>
  <c r="M59" i="1"/>
  <c r="L59" i="1"/>
  <c r="K59" i="1"/>
  <c r="J59" i="1"/>
  <c r="I59" i="1"/>
  <c r="H59" i="1"/>
  <c r="G59" i="1"/>
  <c r="R26" i="1"/>
  <c r="R92" i="1"/>
  <c r="R74" i="1"/>
  <c r="R51" i="1"/>
  <c r="R44" i="1"/>
  <c r="R37" i="1"/>
  <c r="Q92" i="1"/>
  <c r="U57" i="1" l="1"/>
  <c r="R38" i="1"/>
  <c r="R60" i="1"/>
  <c r="T59" i="1"/>
  <c r="V59" i="1"/>
  <c r="U56" i="1"/>
  <c r="S59" i="1"/>
  <c r="U55" i="1"/>
  <c r="U54" i="1"/>
  <c r="U58" i="1"/>
  <c r="Q26" i="1"/>
  <c r="Q15" i="1"/>
  <c r="Q74" i="1"/>
  <c r="Q51" i="1"/>
  <c r="Q44" i="1"/>
  <c r="Q37" i="1"/>
  <c r="P92" i="1"/>
  <c r="P74" i="1"/>
  <c r="P51" i="1"/>
  <c r="P44" i="1"/>
  <c r="P37" i="1"/>
  <c r="P26" i="1"/>
  <c r="P15" i="1"/>
  <c r="O15" i="1"/>
  <c r="P60" i="1" l="1"/>
  <c r="P38" i="1"/>
  <c r="Q60" i="1"/>
  <c r="Q38" i="1"/>
  <c r="U59" i="1"/>
  <c r="R93" i="1"/>
  <c r="C101" i="1" s="1"/>
  <c r="S15" i="1"/>
  <c r="P93" i="1" l="1"/>
  <c r="C113" i="1" s="1"/>
  <c r="Q93" i="1"/>
  <c r="C107" i="1" s="1"/>
  <c r="O92" i="1"/>
  <c r="O74" i="1"/>
  <c r="O51" i="1"/>
  <c r="O44" i="1"/>
  <c r="O37" i="1"/>
  <c r="O26" i="1"/>
  <c r="N26" i="1"/>
  <c r="N15" i="1"/>
  <c r="N92" i="1"/>
  <c r="N74" i="1"/>
  <c r="N51" i="1"/>
  <c r="N44" i="1"/>
  <c r="N37" i="1"/>
  <c r="M74" i="1"/>
  <c r="M51" i="1"/>
  <c r="M44" i="1"/>
  <c r="M37" i="1"/>
  <c r="M26" i="1"/>
  <c r="M15" i="1"/>
  <c r="O38" i="1" l="1"/>
  <c r="M60" i="1"/>
  <c r="N60" i="1"/>
  <c r="O60" i="1"/>
  <c r="N38" i="1"/>
  <c r="M38" i="1"/>
  <c r="L92" i="1"/>
  <c r="L74" i="1"/>
  <c r="L51" i="1"/>
  <c r="L44" i="1"/>
  <c r="L37" i="1"/>
  <c r="L26" i="1"/>
  <c r="L15" i="1"/>
  <c r="L60" i="1" l="1"/>
  <c r="L38" i="1"/>
  <c r="M93" i="1"/>
  <c r="C131" i="1" s="1"/>
  <c r="O93" i="1"/>
  <c r="C119" i="1" s="1"/>
  <c r="N93" i="1"/>
  <c r="C125" i="1" s="1"/>
  <c r="L93" i="1" l="1"/>
  <c r="C137" i="1" s="1"/>
  <c r="K92" i="1"/>
  <c r="K74" i="1"/>
  <c r="K51" i="1"/>
  <c r="K44" i="1"/>
  <c r="K37" i="1"/>
  <c r="K26" i="1"/>
  <c r="K15" i="1"/>
  <c r="K38" i="1" l="1"/>
  <c r="K60" i="1"/>
  <c r="K93" i="1" l="1"/>
  <c r="C143" i="1" s="1"/>
  <c r="J37" i="1"/>
  <c r="J26" i="1"/>
  <c r="J15" i="1"/>
  <c r="J38" i="1" l="1"/>
  <c r="J44" i="1"/>
  <c r="J51" i="1"/>
  <c r="J74" i="1"/>
  <c r="J92" i="1"/>
  <c r="J60" i="1" l="1"/>
  <c r="J93" i="1" s="1"/>
  <c r="C149" i="1" s="1"/>
  <c r="I92" i="1"/>
  <c r="I74" i="1"/>
  <c r="I51" i="1"/>
  <c r="I44" i="1"/>
  <c r="I37" i="1"/>
  <c r="I26" i="1"/>
  <c r="I15" i="1"/>
  <c r="I38" i="1" l="1"/>
  <c r="I60" i="1"/>
  <c r="H92" i="1"/>
  <c r="T92" i="1"/>
  <c r="I93" i="1" l="1"/>
  <c r="C155" i="1" s="1"/>
  <c r="G92" i="1" l="1"/>
  <c r="H74" i="1" l="1"/>
  <c r="T74" i="1"/>
  <c r="G51" i="1"/>
  <c r="C165" i="1"/>
  <c r="H51" i="1"/>
  <c r="H44" i="1"/>
  <c r="H37" i="1"/>
  <c r="H26" i="1"/>
  <c r="H15" i="1"/>
  <c r="H60" i="1" l="1"/>
  <c r="H38" i="1"/>
  <c r="S92" i="1"/>
  <c r="U74" i="1"/>
  <c r="H93" i="1" l="1"/>
  <c r="C161" i="1" s="1"/>
  <c r="U66" i="1"/>
  <c r="U69" i="1"/>
  <c r="U72" i="1"/>
  <c r="U19" i="1"/>
  <c r="V74" i="1" l="1"/>
  <c r="S37" i="1"/>
  <c r="T37" i="1"/>
  <c r="U20" i="1"/>
  <c r="U22" i="1"/>
  <c r="U71" i="1"/>
  <c r="U70" i="1"/>
  <c r="U10" i="1"/>
  <c r="G44" i="1"/>
  <c r="G60" i="1" s="1"/>
  <c r="S44" i="1"/>
  <c r="S26" i="1"/>
  <c r="G37" i="1"/>
  <c r="G15" i="1"/>
  <c r="G26" i="1"/>
  <c r="S38" i="1" l="1"/>
  <c r="G38" i="1"/>
  <c r="U37" i="1"/>
  <c r="S51" i="1"/>
  <c r="S60" i="1" s="1"/>
  <c r="U65" i="1"/>
  <c r="S93" i="1" l="1"/>
  <c r="G93" i="1"/>
  <c r="C167" i="1" s="1"/>
  <c r="T38" i="1" l="1"/>
  <c r="U38" i="1" s="1"/>
  <c r="T44" i="1"/>
  <c r="T51" i="1"/>
  <c r="U64" i="1"/>
  <c r="T60" i="1" l="1"/>
  <c r="U60" i="1" s="1"/>
  <c r="U63" i="1"/>
  <c r="U86" i="1"/>
  <c r="T93" i="1" l="1"/>
  <c r="U85" i="1"/>
  <c r="U84" i="1" l="1"/>
  <c r="V37" i="1" l="1"/>
  <c r="U92" i="1"/>
  <c r="U77" i="1"/>
  <c r="U78" i="1"/>
  <c r="V26" i="1" l="1"/>
  <c r="U9" i="1"/>
  <c r="U11" i="1"/>
  <c r="U14" i="1" l="1"/>
  <c r="U12" i="1"/>
  <c r="U41" i="1"/>
  <c r="U43" i="1"/>
  <c r="U49" i="1"/>
  <c r="U50" i="1"/>
  <c r="U80" i="1"/>
  <c r="U82" i="1"/>
  <c r="U88" i="1"/>
  <c r="U90" i="1"/>
  <c r="U40" i="1"/>
  <c r="U42" i="1"/>
  <c r="U48" i="1"/>
  <c r="U79" i="1"/>
  <c r="U81" i="1"/>
  <c r="U83" i="1"/>
  <c r="U87" i="1"/>
  <c r="U89" i="1"/>
  <c r="U91" i="1"/>
  <c r="U73" i="1"/>
  <c r="U47" i="1"/>
  <c r="U29" i="1"/>
  <c r="U36" i="1"/>
  <c r="U35" i="1"/>
  <c r="U34" i="1"/>
  <c r="U33" i="1"/>
  <c r="U32" i="1"/>
  <c r="U31" i="1"/>
  <c r="U30" i="1"/>
  <c r="V44" i="1"/>
  <c r="U26" i="1"/>
  <c r="U18" i="1"/>
  <c r="U25" i="1"/>
  <c r="U23" i="1"/>
  <c r="V51" i="1"/>
  <c r="V60" i="1" l="1"/>
  <c r="U44" i="1"/>
  <c r="U51" i="1"/>
  <c r="U13" i="1"/>
  <c r="U15" i="1"/>
  <c r="V38" i="1"/>
  <c r="V93" i="1" l="1"/>
  <c r="U93" i="1"/>
</calcChain>
</file>

<file path=xl/sharedStrings.xml><?xml version="1.0" encoding="utf-8"?>
<sst xmlns="http://schemas.openxmlformats.org/spreadsheetml/2006/main" count="172" uniqueCount="126">
  <si>
    <t>No</t>
  </si>
  <si>
    <t>Pemasaran Daerah</t>
  </si>
  <si>
    <t>Wilayah</t>
  </si>
  <si>
    <t>Fasilitas</t>
  </si>
  <si>
    <t>Target</t>
  </si>
  <si>
    <t>TOTAL</t>
  </si>
  <si>
    <t>RATA RATA</t>
  </si>
  <si>
    <t>Sulawesi Barat</t>
  </si>
  <si>
    <t>Mobil 1 Unit</t>
  </si>
  <si>
    <t xml:space="preserve">Anggota </t>
  </si>
  <si>
    <t>: Valdi Arnada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</si>
  <si>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</si>
  <si>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</si>
  <si>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</si>
  <si>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</si>
  <si>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</si>
  <si>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</si>
  <si>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</si>
  <si>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</si>
  <si>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: Arifin</t>
  </si>
  <si>
    <t>Toli Toli</t>
  </si>
  <si>
    <t>Gorontalo</t>
  </si>
  <si>
    <t>Palu</t>
  </si>
  <si>
    <t>Poso</t>
  </si>
  <si>
    <t>Morowali</t>
  </si>
  <si>
    <t>: Fachruddin</t>
  </si>
  <si>
    <t>Luwu Raya</t>
  </si>
  <si>
    <t>: Abd Malik S</t>
  </si>
  <si>
    <t>Luwu Utara</t>
  </si>
  <si>
    <t>Luwu Timur</t>
  </si>
  <si>
    <t>Luwu</t>
  </si>
  <si>
    <t>Palopo</t>
  </si>
  <si>
    <t>: Ahmad Muhammad</t>
  </si>
  <si>
    <t>Sulawesi Tenggara</t>
  </si>
  <si>
    <t>: Munandar</t>
  </si>
  <si>
    <t>Kolaka Utara</t>
  </si>
  <si>
    <t>Kolaka Kota</t>
  </si>
  <si>
    <t xml:space="preserve">  Zaenul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</si>
  <si>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</si>
  <si>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</si>
  <si>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</si>
  <si>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</si>
  <si>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</si>
  <si>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</si>
  <si>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</si>
  <si>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</si>
  <si>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</si>
  <si>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</si>
  <si>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</si>
  <si>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</si>
  <si>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</si>
  <si>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</si>
  <si>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</si>
  <si>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Jeneponto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</si>
  <si>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</si>
  <si>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</si>
  <si>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</si>
  <si>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</si>
  <si>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</si>
  <si>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</si>
  <si>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</si>
  <si>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</si>
  <si>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</si>
  <si>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</si>
  <si>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</si>
  <si>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</si>
  <si>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</si>
  <si>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</si>
  <si>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</si>
  <si>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</si>
  <si>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</si>
  <si>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</si>
  <si>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</si>
  <si>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</si>
  <si>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</si>
  <si>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</si>
  <si>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</si>
  <si>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REALISASI PEMASARAN DAERAH</t>
  </si>
  <si>
    <t>Asist. Korwil</t>
  </si>
  <si>
    <t>: Wahyudi</t>
  </si>
  <si>
    <t>: Sam Nugraha Kinas</t>
  </si>
  <si>
    <t>Januari</t>
  </si>
  <si>
    <t>: Riswandi</t>
  </si>
  <si>
    <t>: Wawan Gunawan</t>
  </si>
  <si>
    <t>Jumlah</t>
  </si>
  <si>
    <t>Cash Back</t>
  </si>
  <si>
    <t>Pontianak, Kalbar</t>
  </si>
  <si>
    <t>Batu Licin, Kalsel</t>
  </si>
  <si>
    <t xml:space="preserve"> </t>
  </si>
  <si>
    <t>: Putra Jaya Sasmita</t>
  </si>
  <si>
    <t>: Syahrul Usman</t>
  </si>
  <si>
    <t>Sulawesi Tengah</t>
  </si>
  <si>
    <t>: Syahrun Nuzul K</t>
  </si>
  <si>
    <t xml:space="preserve">  Hardiansyah</t>
  </si>
  <si>
    <t>Parigi (Intens)</t>
  </si>
  <si>
    <t>Lingadan (Intens)</t>
  </si>
  <si>
    <t>Sinay, Parigi (Intens)</t>
  </si>
  <si>
    <t>Jalang'E (Petak 7, 8 9)</t>
  </si>
  <si>
    <t>Februari</t>
  </si>
  <si>
    <t>Tambak Intensif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</si>
  <si>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</si>
  <si>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</si>
  <si>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</si>
  <si>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</si>
  <si>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</si>
  <si>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</si>
  <si>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</si>
  <si>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</si>
  <si>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</si>
  <si>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</si>
  <si>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Penjualan per 01 s/d 31 Januari 2022</t>
  </si>
  <si>
    <t>Penjualan per 01 s/d 28 Februari 2022</t>
  </si>
  <si>
    <t>Penjualan per 01 s/d 31 Maret 2022</t>
  </si>
  <si>
    <t>Donggulu (Intens)</t>
  </si>
  <si>
    <t>Penjualan per 01 s/d 30 April 2022</t>
  </si>
  <si>
    <t>Penjualan per 01 s/d 31 Mei 2022</t>
  </si>
  <si>
    <t>Penjualan per 01 s/d 30 Juni 2022</t>
  </si>
  <si>
    <t>Penjualan per 01 s/d 31 Juli 2022</t>
  </si>
  <si>
    <t>Penjualan per 01 s/d 31 Agustus 2022</t>
  </si>
  <si>
    <t>Dampal (Intens)</t>
  </si>
  <si>
    <t>Buol</t>
  </si>
  <si>
    <t>Penjualan per 01 s/d 30 September 2022</t>
  </si>
  <si>
    <t>Penjualan per 01 s/d 31 Oktober 2022</t>
  </si>
  <si>
    <t>Penjualan per 01 s/d 30 November 2022</t>
  </si>
  <si>
    <t>BULAN DESEMBER 2022</t>
  </si>
  <si>
    <t>Penjualan per 01 s/d 31 Desember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</si>
</sst>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 vertical="center"/>
    </xf>
    <xf numFmtId="0" fontId="4" fillId="0" borderId="20" xfId="3" applyFont="1" applyBorder="1"/>
    <xf numFmtId="41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5" fillId="0" borderId="0" xfId="2" applyNumberFormat="1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2" borderId="15" xfId="0" applyFont="1" applyFill="1" applyBorder="1"/>
    <xf numFmtId="10" fontId="5" fillId="2" borderId="15" xfId="2" applyNumberFormat="1" applyFont="1" applyFill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21" xfId="0" applyFont="1" applyFill="1" applyBorder="1"/>
    <xf numFmtId="10" fontId="5" fillId="2" borderId="21" xfId="2" applyNumberFormat="1" applyFont="1" applyFill="1" applyBorder="1"/>
    <xf numFmtId="164" fontId="5" fillId="0" borderId="20" xfId="1" applyFont="1" applyBorder="1"/>
    <xf numFmtId="41" fontId="5" fillId="2" borderId="21" xfId="0" applyNumberFormat="1" applyFont="1" applyFill="1" applyBorder="1"/>
    <xf numFmtId="165" fontId="5" fillId="2" borderId="21" xfId="0" applyNumberFormat="1" applyFont="1" applyFill="1" applyBorder="1"/>
    <xf numFmtId="41" fontId="5" fillId="0" borderId="20" xfId="1" applyNumberFormat="1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41" fontId="5" fillId="0" borderId="26" xfId="1" applyNumberFormat="1" applyFont="1" applyBorder="1"/>
    <xf numFmtId="41" fontId="5" fillId="0" borderId="14" xfId="1" applyNumberFormat="1" applyFont="1" applyBorder="1"/>
    <xf numFmtId="164" fontId="5" fillId="0" borderId="26" xfId="1" applyFont="1" applyBorder="1"/>
    <xf numFmtId="164" fontId="5" fillId="0" borderId="14" xfId="1" applyFont="1" applyBorder="1"/>
    <xf numFmtId="0" fontId="7" fillId="0" borderId="19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4" fillId="0" borderId="17" xfId="0" applyFont="1" applyBorder="1"/>
    <xf numFmtId="0" fontId="8" fillId="0" borderId="0" xfId="0" applyFont="1" applyAlignment="1">
      <alignment horizontal="center" vertical="center"/>
    </xf>
    <xf numFmtId="0" fontId="4" fillId="0" borderId="11" xfId="0" applyFont="1" applyBorder="1"/>
    <xf numFmtId="0" fontId="5" fillId="0" borderId="18" xfId="3" applyFont="1" applyBorder="1"/>
    <xf numFmtId="0" fontId="5" fillId="0" borderId="6" xfId="3" applyFont="1" applyBorder="1"/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41" fontId="4" fillId="3" borderId="31" xfId="1" applyNumberFormat="1" applyFont="1" applyFill="1" applyBorder="1"/>
    <xf numFmtId="41" fontId="4" fillId="3" borderId="32" xfId="0" applyNumberFormat="1" applyFont="1" applyFill="1" applyBorder="1"/>
    <xf numFmtId="10" fontId="4" fillId="3" borderId="32" xfId="2" applyNumberFormat="1" applyFont="1" applyFill="1" applyBorder="1"/>
    <xf numFmtId="165" fontId="4" fillId="3" borderId="32" xfId="0" applyNumberFormat="1" applyFont="1" applyFill="1" applyBorder="1"/>
    <xf numFmtId="0" fontId="8" fillId="0" borderId="0" xfId="0" applyFont="1"/>
    <xf numFmtId="164" fontId="4" fillId="3" borderId="31" xfId="1" applyFont="1" applyFill="1" applyBorder="1"/>
    <xf numFmtId="164" fontId="4" fillId="3" borderId="32" xfId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/>
    <xf numFmtId="41" fontId="4" fillId="4" borderId="33" xfId="0" applyNumberFormat="1" applyFont="1" applyFill="1" applyBorder="1"/>
    <xf numFmtId="164" fontId="5" fillId="0" borderId="0" xfId="0" applyNumberFormat="1" applyFont="1"/>
    <xf numFmtId="164" fontId="5" fillId="0" borderId="12" xfId="0" applyNumberFormat="1" applyFont="1" applyBorder="1"/>
    <xf numFmtId="164" fontId="5" fillId="0" borderId="18" xfId="0" applyNumberFormat="1" applyFont="1" applyBorder="1"/>
    <xf numFmtId="164" fontId="4" fillId="3" borderId="29" xfId="0" applyNumberFormat="1" applyFont="1" applyFill="1" applyBorder="1"/>
    <xf numFmtId="164" fontId="5" fillId="0" borderId="24" xfId="0" applyNumberFormat="1" applyFont="1" applyBorder="1"/>
    <xf numFmtId="164" fontId="5" fillId="0" borderId="6" xfId="0" applyNumberFormat="1" applyFont="1" applyBorder="1"/>
    <xf numFmtId="164" fontId="4" fillId="3" borderId="30" xfId="0" applyNumberFormat="1" applyFont="1" applyFill="1" applyBorder="1"/>
    <xf numFmtId="164" fontId="4" fillId="4" borderId="30" xfId="0" applyNumberFormat="1" applyFont="1" applyFill="1" applyBorder="1"/>
    <xf numFmtId="164" fontId="0" fillId="0" borderId="0" xfId="0" applyNumberFormat="1"/>
    <xf numFmtId="164" fontId="5" fillId="0" borderId="35" xfId="0" applyNumberFormat="1" applyFont="1" applyBorder="1"/>
    <xf numFmtId="0" fontId="11" fillId="0" borderId="0" xfId="0" applyFont="1"/>
    <xf numFmtId="164" fontId="4" fillId="0" borderId="0" xfId="0" applyNumberFormat="1" applyFont="1"/>
    <xf numFmtId="164" fontId="11" fillId="0" borderId="36" xfId="0" applyNumberFormat="1" applyFont="1" applyBorder="1"/>
    <xf numFmtId="0" fontId="4" fillId="4" borderId="28" xfId="0" applyFont="1" applyFill="1" applyBorder="1"/>
    <xf numFmtId="164" fontId="4" fillId="4" borderId="29" xfId="0" applyNumberFormat="1" applyFont="1" applyFill="1" applyBorder="1"/>
    <xf numFmtId="0" fontId="4" fillId="4" borderId="29" xfId="0" applyFont="1" applyFill="1" applyBorder="1"/>
    <xf numFmtId="164" fontId="4" fillId="4" borderId="31" xfId="0" applyNumberFormat="1" applyFont="1" applyFill="1" applyBorder="1"/>
    <xf numFmtId="0" fontId="4" fillId="0" borderId="17" xfId="3" applyFont="1" applyBorder="1"/>
    <xf numFmtId="41" fontId="4" fillId="4" borderId="34" xfId="0" applyNumberFormat="1" applyFont="1" applyFill="1" applyBorder="1"/>
    <xf numFmtId="10" fontId="4" fillId="3" borderId="33" xfId="2" applyNumberFormat="1" applyFont="1" applyFill="1" applyBorder="1"/>
    <xf numFmtId="164" fontId="4" fillId="4" borderId="33" xfId="0" applyNumberFormat="1" applyFont="1" applyFill="1" applyBorder="1"/>
    <xf numFmtId="164" fontId="4" fillId="3" borderId="28" xfId="1" applyFont="1" applyFill="1" applyBorder="1"/>
    <xf numFmtId="41" fontId="4" fillId="4" borderId="27" xfId="0" applyNumberFormat="1" applyFont="1" applyFill="1" applyBorder="1"/>
    <xf numFmtId="10" fontId="4" fillId="4" borderId="32" xfId="2" applyNumberFormat="1" applyFont="1" applyFill="1" applyBorder="1"/>
    <xf numFmtId="164" fontId="4" fillId="3" borderId="33" xfId="1" applyFont="1" applyFill="1" applyBorder="1"/>
    <xf numFmtId="0" fontId="4" fillId="4" borderId="39" xfId="0" applyFont="1" applyFill="1" applyBorder="1" applyAlignment="1">
      <alignment horizontal="center" vertical="center"/>
    </xf>
    <xf numFmtId="41" fontId="4" fillId="3" borderId="34" xfId="0" applyNumberFormat="1" applyFont="1" applyFill="1" applyBorder="1"/>
    <xf numFmtId="41" fontId="4" fillId="3" borderId="31" xfId="0" applyNumberFormat="1" applyFont="1" applyFill="1" applyBorder="1"/>
    <xf numFmtId="0" fontId="12" fillId="0" borderId="0" xfId="0" applyFont="1"/>
    <xf numFmtId="10" fontId="10" fillId="0" borderId="0" xfId="2" applyNumberFormat="1" applyFont="1" applyAlignment="1">
      <alignment horizontal="right"/>
    </xf>
    <xf numFmtId="164" fontId="4" fillId="4" borderId="27" xfId="0" applyNumberFormat="1" applyFont="1" applyFill="1" applyBorder="1"/>
    <xf numFmtId="0" fontId="0" fillId="0" borderId="17" xfId="0" applyBorder="1"/>
    <xf numFmtId="0" fontId="4" fillId="4" borderId="41" xfId="0" applyFont="1" applyFill="1" applyBorder="1" applyAlignment="1">
      <alignment horizontal="center" vertical="center"/>
    </xf>
    <xf numFmtId="164" fontId="5" fillId="0" borderId="19" xfId="1" applyFont="1" applyBorder="1"/>
    <xf numFmtId="41" fontId="5" fillId="0" borderId="19" xfId="1" applyNumberFormat="1" applyFont="1" applyBorder="1"/>
    <xf numFmtId="41" fontId="5" fillId="0" borderId="13" xfId="1" applyNumberFormat="1" applyFont="1" applyBorder="1"/>
    <xf numFmtId="164" fontId="5" fillId="0" borderId="25" xfId="1" applyFont="1" applyBorder="1"/>
    <xf numFmtId="164" fontId="5" fillId="0" borderId="13" xfId="1" applyFont="1" applyBorder="1"/>
    <xf numFmtId="41" fontId="5" fillId="0" borderId="25" xfId="1" applyNumberFormat="1" applyFont="1" applyBorder="1"/>
    <xf numFmtId="164" fontId="4" fillId="3" borderId="30" xfId="1" applyFont="1" applyFill="1" applyBorder="1"/>
    <xf numFmtId="0" fontId="5" fillId="0" borderId="42" xfId="0" applyFont="1" applyBorder="1"/>
    <xf numFmtId="164" fontId="5" fillId="0" borderId="18" xfId="1" applyFont="1" applyBorder="1"/>
    <xf numFmtId="164" fontId="5" fillId="0" borderId="24" xfId="1" applyFont="1" applyBorder="1"/>
    <xf numFmtId="164" fontId="5" fillId="0" borderId="12" xfId="1" applyFont="1" applyBorder="1"/>
    <xf numFmtId="41" fontId="5" fillId="0" borderId="24" xfId="1" applyNumberFormat="1" applyFont="1" applyBorder="1"/>
    <xf numFmtId="164" fontId="5" fillId="0" borderId="6" xfId="1" applyFont="1" applyBorder="1"/>
    <xf numFmtId="41" fontId="4" fillId="3" borderId="30" xfId="1" applyNumberFormat="1" applyFont="1" applyFill="1" applyBorder="1"/>
    <xf numFmtId="41" fontId="4" fillId="3" borderId="30" xfId="0" applyNumberFormat="1" applyFont="1" applyFill="1" applyBorder="1"/>
    <xf numFmtId="0" fontId="5" fillId="0" borderId="43" xfId="0" applyFont="1" applyBorder="1"/>
    <xf numFmtId="164" fontId="5" fillId="0" borderId="17" xfId="1" applyFont="1" applyBorder="1"/>
    <xf numFmtId="41" fontId="5" fillId="0" borderId="17" xfId="1" applyNumberFormat="1" applyFont="1" applyBorder="1"/>
    <xf numFmtId="41" fontId="5" fillId="0" borderId="11" xfId="1" applyNumberFormat="1" applyFont="1" applyBorder="1"/>
    <xf numFmtId="164" fontId="5" fillId="0" borderId="23" xfId="1" applyFont="1" applyBorder="1"/>
    <xf numFmtId="164" fontId="5" fillId="0" borderId="11" xfId="1" applyFont="1" applyBorder="1"/>
    <xf numFmtId="41" fontId="5" fillId="0" borderId="23" xfId="1" applyNumberFormat="1" applyFont="1" applyBorder="1"/>
    <xf numFmtId="164" fontId="5" fillId="0" borderId="5" xfId="1" applyFont="1" applyBorder="1"/>
    <xf numFmtId="164" fontId="7" fillId="0" borderId="20" xfId="1" applyFont="1" applyBorder="1"/>
    <xf numFmtId="0" fontId="5" fillId="0" borderId="6" xfId="0" applyFont="1" applyBorder="1"/>
    <xf numFmtId="0" fontId="5" fillId="2" borderId="44" xfId="0" applyFont="1" applyFill="1" applyBorder="1"/>
    <xf numFmtId="164" fontId="5" fillId="2" borderId="44" xfId="0" applyNumberFormat="1" applyFont="1" applyFill="1" applyBorder="1" applyAlignment="1">
      <alignment horizontal="center"/>
    </xf>
    <xf numFmtId="164" fontId="5" fillId="2" borderId="4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164" fontId="5" fillId="2" borderId="47" xfId="0" applyNumberFormat="1" applyFont="1" applyFill="1" applyBorder="1" applyAlignment="1">
      <alignment horizontal="center"/>
    </xf>
    <xf numFmtId="164" fontId="5" fillId="2" borderId="45" xfId="0" applyNumberFormat="1" applyFont="1" applyFill="1" applyBorder="1" applyAlignment="1">
      <alignment horizontal="center"/>
    </xf>
    <xf numFmtId="41" fontId="5" fillId="2" borderId="44" xfId="0" applyNumberFormat="1" applyFont="1" applyFill="1" applyBorder="1"/>
    <xf numFmtId="164" fontId="5" fillId="2" borderId="15" xfId="0" applyNumberFormat="1" applyFont="1" applyFill="1" applyBorder="1" applyAlignment="1">
      <alignment horizontal="center"/>
    </xf>
    <xf numFmtId="164" fontId="5" fillId="2" borderId="48" xfId="0" applyNumberFormat="1" applyFont="1" applyFill="1" applyBorder="1" applyAlignment="1">
      <alignment horizontal="center"/>
    </xf>
    <xf numFmtId="165" fontId="5" fillId="2" borderId="21" xfId="1" applyNumberFormat="1" applyFont="1" applyFill="1" applyBorder="1"/>
    <xf numFmtId="165" fontId="5" fillId="2" borderId="47" xfId="1" applyNumberFormat="1" applyFont="1" applyFill="1" applyBorder="1"/>
    <xf numFmtId="165" fontId="5" fillId="2" borderId="26" xfId="1" applyNumberFormat="1" applyFont="1" applyFill="1" applyBorder="1"/>
    <xf numFmtId="165" fontId="5" fillId="2" borderId="45" xfId="1" applyNumberFormat="1" applyFont="1" applyFill="1" applyBorder="1"/>
    <xf numFmtId="41" fontId="4" fillId="2" borderId="32" xfId="0" applyNumberFormat="1" applyFont="1" applyFill="1" applyBorder="1"/>
    <xf numFmtId="0" fontId="5" fillId="2" borderId="49" xfId="0" applyFont="1" applyFill="1" applyBorder="1"/>
    <xf numFmtId="165" fontId="5" fillId="2" borderId="15" xfId="1" applyNumberFormat="1" applyFont="1" applyFill="1" applyBorder="1"/>
    <xf numFmtId="10" fontId="10" fillId="0" borderId="0" xfId="2" applyNumberFormat="1" applyFont="1" applyAlignment="1">
      <alignment horizontal="right"/>
    </xf>
    <xf numFmtId="10" fontId="4" fillId="2" borderId="3" xfId="2" applyNumberFormat="1" applyFont="1" applyFill="1" applyBorder="1" applyAlignment="1">
      <alignment horizontal="center" vertical="center"/>
    </xf>
    <xf numFmtId="10" fontId="4" fillId="2" borderId="9" xfId="2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</cellXfs>
  <cellStyles count="5">
    <cellStyle name="Comma [0]" xfId="1" builtinId="6"/>
    <cellStyle name="Comma [0] 3" xfId="4" xr:uid="{00000000-0005-0000-0000-000001000000}"/>
    <cellStyle name="Normal" xfId="0" builtinId="0"/>
    <cellStyle name="Normal 3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W170"/>
  <sheetViews>
    <sheetView tabSelected="1" zoomScale="60" zoomScaleNormal="60" workbookViewId="0">
      <pane ySplit="5" topLeftCell="A6" activePane="bottomLeft" state="frozen"/>
      <selection pane="bottomLeft" activeCell="A2" sqref="A2:V2"/>
    </sheetView>
  </sheetViews>
  <sheetFormatPr defaultRowHeight="15" x14ac:dyDescent="0.25"/>
  <cols>
    <col min="1" max="1" width="5" style="1" customWidth="1"/>
    <col min="2" max="2" width="13.125" customWidth="1"/>
    <col min="3" max="3" width="20.75" style="65" customWidth="1"/>
    <col min="4" max="4" width="3.75" customWidth="1"/>
    <col min="5" max="5" width="27.75" customWidth="1"/>
    <col min="6" max="6" width="16.25" hidden="1" customWidth="1"/>
    <col min="7" max="7" width="15.25" customWidth="1"/>
    <col min="8" max="8" width="15.125" customWidth="1"/>
    <col min="9" max="11" width="15" bestFit="1" customWidth="1"/>
    <col min="12" max="12" width="15" customWidth="1"/>
    <col min="13" max="13" width="15.625" customWidth="1"/>
    <col min="14" max="14" width="15.75" customWidth="1"/>
    <col min="15" max="19" width="15.625" customWidth="1"/>
    <col min="20" max="20" width="17.375" customWidth="1"/>
    <col min="21" max="21" width="13.625" style="4" customWidth="1"/>
    <col min="22" max="22" width="15" bestFit="1" customWidth="1"/>
  </cols>
  <sheetData>
    <row r="1" spans="1:22" ht="18" x14ac:dyDescent="0.25">
      <c r="A1" s="135" t="s">
        <v>77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8.75" thickBot="1" x14ac:dyDescent="0.3">
      <c r="A2" s="134" t="s">
        <v>124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2" ht="7.5" customHeight="1" thickTop="1" thickBot="1" x14ac:dyDescent="0.3">
      <c r="A3" s="5"/>
      <c r="B3" s="6"/>
      <c r="C3" s="5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2" s="39" customFormat="1" ht="15.75" thickBot="1" x14ac:dyDescent="0.3">
      <c r="A4" s="136" t="s">
        <v>0</v>
      </c>
      <c r="B4" s="136" t="s">
        <v>1</v>
      </c>
      <c r="C4" s="138"/>
      <c r="D4" s="136" t="s">
        <v>2</v>
      </c>
      <c r="E4" s="138"/>
      <c r="F4" s="140" t="s">
        <v>3</v>
      </c>
      <c r="G4" s="146" t="s">
        <v>70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8"/>
      <c r="S4" s="142" t="s">
        <v>5</v>
      </c>
      <c r="T4" s="142" t="s">
        <v>4</v>
      </c>
      <c r="U4" s="132" t="s">
        <v>71</v>
      </c>
      <c r="V4" s="144" t="s">
        <v>6</v>
      </c>
    </row>
    <row r="5" spans="1:22" s="39" customFormat="1" ht="15.75" thickBot="1" x14ac:dyDescent="0.3">
      <c r="A5" s="137"/>
      <c r="B5" s="137"/>
      <c r="C5" s="139"/>
      <c r="D5" s="137"/>
      <c r="E5" s="139"/>
      <c r="F5" s="141"/>
      <c r="G5" s="82" t="s">
        <v>81</v>
      </c>
      <c r="H5" s="82" t="s">
        <v>98</v>
      </c>
      <c r="I5" s="82" t="s">
        <v>100</v>
      </c>
      <c r="J5" s="82" t="s">
        <v>101</v>
      </c>
      <c r="K5" s="82" t="s">
        <v>102</v>
      </c>
      <c r="L5" s="82" t="s">
        <v>103</v>
      </c>
      <c r="M5" s="82" t="s">
        <v>104</v>
      </c>
      <c r="N5" s="82" t="s">
        <v>105</v>
      </c>
      <c r="O5" s="82" t="s">
        <v>106</v>
      </c>
      <c r="P5" s="89" t="s">
        <v>107</v>
      </c>
      <c r="Q5" s="89" t="s">
        <v>108</v>
      </c>
      <c r="R5" s="89" t="s">
        <v>109</v>
      </c>
      <c r="S5" s="143"/>
      <c r="T5" s="143"/>
      <c r="U5" s="133"/>
      <c r="V5" s="145"/>
    </row>
    <row r="6" spans="1:22" x14ac:dyDescent="0.25">
      <c r="A6" s="8"/>
      <c r="B6" s="9"/>
      <c r="C6" s="58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97"/>
      <c r="Q6" s="11"/>
      <c r="R6" s="105"/>
      <c r="S6" s="13"/>
      <c r="T6" s="13"/>
      <c r="U6" s="14"/>
      <c r="V6" s="13"/>
    </row>
    <row r="7" spans="1:22" x14ac:dyDescent="0.25">
      <c r="A7" s="15">
        <v>1</v>
      </c>
      <c r="B7" s="16" t="s">
        <v>78</v>
      </c>
      <c r="C7" s="59" t="s">
        <v>18</v>
      </c>
      <c r="D7" s="38" t="s">
        <v>7</v>
      </c>
      <c r="E7" s="17"/>
      <c r="F7" s="18" t="s">
        <v>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8"/>
      <c r="R7" s="16"/>
      <c r="S7" s="20"/>
      <c r="T7" s="20"/>
      <c r="U7" s="21"/>
      <c r="V7" s="20"/>
    </row>
    <row r="8" spans="1:22" x14ac:dyDescent="0.25">
      <c r="A8" s="15"/>
      <c r="B8" s="16" t="s">
        <v>9</v>
      </c>
      <c r="C8" s="59" t="s">
        <v>10</v>
      </c>
      <c r="D8" s="16"/>
      <c r="E8" s="17" t="s">
        <v>11</v>
      </c>
      <c r="F8" s="18" t="s">
        <v>12</v>
      </c>
      <c r="G8" s="22">
        <v>2160000</v>
      </c>
      <c r="H8" s="22">
        <v>1195000</v>
      </c>
      <c r="I8" s="22">
        <v>4260000</v>
      </c>
      <c r="J8" s="22">
        <v>1405000</v>
      </c>
      <c r="K8" s="22">
        <v>3197000</v>
      </c>
      <c r="L8" s="22">
        <v>2996500</v>
      </c>
      <c r="M8" s="22">
        <v>3750000</v>
      </c>
      <c r="N8" s="22">
        <v>5330000</v>
      </c>
      <c r="O8" s="22">
        <v>4710000</v>
      </c>
      <c r="P8" s="22">
        <v>1700000</v>
      </c>
      <c r="Q8" s="90">
        <v>5310000</v>
      </c>
      <c r="R8" s="106">
        <v>4135000</v>
      </c>
      <c r="S8" s="23">
        <f>SUM(G8:R8)</f>
        <v>40148500</v>
      </c>
      <c r="T8" s="126">
        <f>((((2164800+2271500+1540000+1782000+2909500+2579500+1292500+5582500)+2821500)+4345000)+363825)+1212750</f>
        <v>28865375</v>
      </c>
      <c r="U8" s="21">
        <f>S8/T8</f>
        <v>1.3908878717148141</v>
      </c>
      <c r="V8" s="24">
        <f>S8/12</f>
        <v>3345708.3333333335</v>
      </c>
    </row>
    <row r="9" spans="1:22" x14ac:dyDescent="0.25">
      <c r="A9" s="15"/>
      <c r="B9" s="16"/>
      <c r="C9" s="59" t="s">
        <v>82</v>
      </c>
      <c r="D9" s="16"/>
      <c r="E9" s="17" t="s">
        <v>13</v>
      </c>
      <c r="F9" s="18"/>
      <c r="G9" s="22">
        <v>9194500</v>
      </c>
      <c r="H9" s="22">
        <v>9684500</v>
      </c>
      <c r="I9" s="22">
        <v>7818000</v>
      </c>
      <c r="J9" s="22">
        <v>9035500</v>
      </c>
      <c r="K9" s="22">
        <v>7314000</v>
      </c>
      <c r="L9" s="22">
        <v>5621500</v>
      </c>
      <c r="M9" s="22">
        <v>6099500</v>
      </c>
      <c r="N9" s="22">
        <v>6068500</v>
      </c>
      <c r="O9" s="22">
        <v>7783500</v>
      </c>
      <c r="P9" s="22">
        <v>4496000</v>
      </c>
      <c r="Q9" s="90">
        <v>10679000</v>
      </c>
      <c r="R9" s="106">
        <v>5854000</v>
      </c>
      <c r="S9" s="23">
        <f>SUM(G9:R9)</f>
        <v>89648500</v>
      </c>
      <c r="T9" s="124">
        <f>((((13620750+12606900+14687200+10990200+13439900+12511400+13816000+10063156)+10086000)+13261600)+21444885)+23100000</f>
        <v>169627991</v>
      </c>
      <c r="U9" s="21">
        <f>S9/T9</f>
        <v>0.52850062935662545</v>
      </c>
      <c r="V9" s="24">
        <f t="shared" ref="V9:V14" si="0">S9/12</f>
        <v>7470708.333333333</v>
      </c>
    </row>
    <row r="10" spans="1:22" x14ac:dyDescent="0.25">
      <c r="A10" s="15"/>
      <c r="B10" s="16"/>
      <c r="C10" s="59" t="s">
        <v>89</v>
      </c>
      <c r="D10" s="16" t="s">
        <v>88</v>
      </c>
      <c r="E10" s="17" t="s">
        <v>14</v>
      </c>
      <c r="F10" s="18"/>
      <c r="G10" s="22">
        <v>9430000</v>
      </c>
      <c r="H10" s="22">
        <v>9646000</v>
      </c>
      <c r="I10" s="22">
        <v>9709000</v>
      </c>
      <c r="J10" s="22">
        <v>10325000</v>
      </c>
      <c r="K10" s="22">
        <v>7480000</v>
      </c>
      <c r="L10" s="22">
        <v>9029500</v>
      </c>
      <c r="M10" s="22">
        <v>7138000</v>
      </c>
      <c r="N10" s="22">
        <v>7025000</v>
      </c>
      <c r="O10" s="22">
        <v>8670000</v>
      </c>
      <c r="P10" s="22">
        <v>9581900</v>
      </c>
      <c r="Q10" s="90">
        <v>9217000</v>
      </c>
      <c r="R10" s="106">
        <v>7098000</v>
      </c>
      <c r="S10" s="23">
        <f t="shared" ref="S10:S14" si="1">SUM(G10:R10)</f>
        <v>104349400</v>
      </c>
      <c r="T10" s="130">
        <f>((((10075900+10009500+12303500+14931500+10826500+13406800+10964250+9352750)+10514900)+12590600)+13629000)+13860000</f>
        <v>142465200</v>
      </c>
      <c r="U10" s="21">
        <f t="shared" ref="U10:U14" si="2">S10/T10</f>
        <v>0.73245536453814686</v>
      </c>
      <c r="V10" s="24">
        <f t="shared" si="0"/>
        <v>8695783.333333334</v>
      </c>
    </row>
    <row r="11" spans="1:22" x14ac:dyDescent="0.25">
      <c r="A11" s="15"/>
      <c r="B11" s="16"/>
      <c r="C11" s="59"/>
      <c r="D11" s="16"/>
      <c r="E11" s="17" t="s">
        <v>15</v>
      </c>
      <c r="F11" s="18"/>
      <c r="G11" s="22">
        <v>11520000</v>
      </c>
      <c r="H11" s="22">
        <v>7580000</v>
      </c>
      <c r="I11" s="22">
        <v>7628000</v>
      </c>
      <c r="J11" s="22">
        <v>6470000</v>
      </c>
      <c r="K11" s="22">
        <v>5753000</v>
      </c>
      <c r="L11" s="22">
        <v>5700000</v>
      </c>
      <c r="M11" s="22">
        <v>5345000</v>
      </c>
      <c r="N11" s="22">
        <v>6361000</v>
      </c>
      <c r="O11" s="22">
        <v>5451500</v>
      </c>
      <c r="P11" s="22">
        <v>3611000</v>
      </c>
      <c r="Q11" s="90">
        <v>5662000</v>
      </c>
      <c r="R11" s="106">
        <v>6750000</v>
      </c>
      <c r="S11" s="23">
        <f t="shared" si="1"/>
        <v>77831500</v>
      </c>
      <c r="T11" s="125">
        <f>((((10071950+10858000+11748000+9560100+10601800+9666000+9762500+9403900)+7989300)+11432850)+8820735)+8662500</f>
        <v>118577635</v>
      </c>
      <c r="U11" s="21">
        <f>S11/T11</f>
        <v>0.65637588403580494</v>
      </c>
      <c r="V11" s="24">
        <f t="shared" si="0"/>
        <v>6485958.333333333</v>
      </c>
    </row>
    <row r="12" spans="1:22" x14ac:dyDescent="0.25">
      <c r="A12" s="15"/>
      <c r="B12" s="16"/>
      <c r="C12" s="59"/>
      <c r="D12" s="16"/>
      <c r="E12" s="17" t="s">
        <v>16</v>
      </c>
      <c r="F12" s="18"/>
      <c r="G12" s="22">
        <v>18131500</v>
      </c>
      <c r="H12" s="22">
        <v>10652500</v>
      </c>
      <c r="I12" s="22">
        <v>13282000</v>
      </c>
      <c r="J12" s="22">
        <v>8880000</v>
      </c>
      <c r="K12" s="22">
        <v>8755000</v>
      </c>
      <c r="L12" s="22">
        <v>6426500</v>
      </c>
      <c r="M12" s="22">
        <v>7709000</v>
      </c>
      <c r="N12" s="22">
        <v>7615500</v>
      </c>
      <c r="O12" s="22">
        <v>6208000</v>
      </c>
      <c r="P12" s="22">
        <v>7743900</v>
      </c>
      <c r="Q12" s="90">
        <v>7179000</v>
      </c>
      <c r="R12" s="106">
        <v>8448000</v>
      </c>
      <c r="S12" s="23">
        <f t="shared" si="1"/>
        <v>111030900</v>
      </c>
      <c r="T12" s="124">
        <f>((((10620739+10432650+12877700+11565321+10948929+12184450+13169200+7535000)+12810050)+13678750)+11425535)+11533390</f>
        <v>138781714</v>
      </c>
      <c r="U12" s="21">
        <f t="shared" si="2"/>
        <v>0.80003983810143753</v>
      </c>
      <c r="V12" s="24">
        <f t="shared" si="0"/>
        <v>9252575</v>
      </c>
    </row>
    <row r="13" spans="1:22" x14ac:dyDescent="0.25">
      <c r="A13" s="15"/>
      <c r="B13" s="16"/>
      <c r="C13" s="59"/>
      <c r="D13" s="16"/>
      <c r="E13" s="17" t="s">
        <v>44</v>
      </c>
      <c r="F13" s="18"/>
      <c r="G13" s="33">
        <v>13035000</v>
      </c>
      <c r="H13" s="22">
        <v>10451690</v>
      </c>
      <c r="I13" s="22">
        <v>14905500</v>
      </c>
      <c r="J13" s="22">
        <v>7752500</v>
      </c>
      <c r="K13" s="22">
        <v>10532000</v>
      </c>
      <c r="L13" s="22">
        <v>11671000</v>
      </c>
      <c r="M13" s="22">
        <v>7272100</v>
      </c>
      <c r="N13" s="22">
        <v>10228500</v>
      </c>
      <c r="O13" s="22">
        <v>11308500</v>
      </c>
      <c r="P13" s="22">
        <v>8669000</v>
      </c>
      <c r="Q13" s="90">
        <v>9991000</v>
      </c>
      <c r="R13" s="106">
        <v>5911944</v>
      </c>
      <c r="S13" s="23">
        <f t="shared" si="1"/>
        <v>121728734</v>
      </c>
      <c r="T13" s="124">
        <f>((((12181750+10822300+13285118+10351475+11649518+11875900+10146400+9620600)+15865937)+15098650)+13744774)+13394260</f>
        <v>148036682</v>
      </c>
      <c r="U13" s="14">
        <f>S13/T13</f>
        <v>0.82228764084296346</v>
      </c>
      <c r="V13" s="24">
        <f t="shared" si="0"/>
        <v>10144061.166666666</v>
      </c>
    </row>
    <row r="14" spans="1:22" ht="15.75" thickBot="1" x14ac:dyDescent="0.3">
      <c r="A14" s="15"/>
      <c r="B14" s="16"/>
      <c r="C14" s="59"/>
      <c r="D14" s="16"/>
      <c r="E14" s="17" t="s">
        <v>17</v>
      </c>
      <c r="F14" s="18"/>
      <c r="G14" s="25">
        <v>1080000</v>
      </c>
      <c r="H14" s="25">
        <v>505000</v>
      </c>
      <c r="I14" s="25">
        <v>983000</v>
      </c>
      <c r="J14" s="25">
        <v>646000</v>
      </c>
      <c r="K14" s="25">
        <v>862000</v>
      </c>
      <c r="L14" s="25">
        <v>0</v>
      </c>
      <c r="M14" s="25">
        <v>1650000</v>
      </c>
      <c r="N14" s="25">
        <v>360000</v>
      </c>
      <c r="O14" s="25">
        <v>731000</v>
      </c>
      <c r="P14" s="25">
        <v>555000</v>
      </c>
      <c r="Q14" s="91">
        <v>3240000</v>
      </c>
      <c r="R14" s="107">
        <v>235000</v>
      </c>
      <c r="S14" s="23">
        <f t="shared" si="1"/>
        <v>10847000</v>
      </c>
      <c r="T14" s="127">
        <f>((((1210000+726000+674300+924000+566500+1749000+1430000+1490500)+1897500)+1941500)+1001385)+1155000</f>
        <v>14765685</v>
      </c>
      <c r="U14" s="21">
        <f t="shared" si="2"/>
        <v>0.73460865513520035</v>
      </c>
      <c r="V14" s="24">
        <f t="shared" si="0"/>
        <v>903916.66666666663</v>
      </c>
    </row>
    <row r="15" spans="1:22" s="51" customFormat="1" ht="15.75" thickBot="1" x14ac:dyDescent="0.3">
      <c r="A15" s="43"/>
      <c r="B15" s="44"/>
      <c r="C15" s="60"/>
      <c r="D15" s="44"/>
      <c r="E15" s="45"/>
      <c r="F15" s="46"/>
      <c r="G15" s="47">
        <f t="shared" ref="G15:I15" si="3">SUM(G8:G14)</f>
        <v>64551000</v>
      </c>
      <c r="H15" s="47">
        <f t="shared" si="3"/>
        <v>49714690</v>
      </c>
      <c r="I15" s="47">
        <f t="shared" si="3"/>
        <v>58585500</v>
      </c>
      <c r="J15" s="47">
        <f t="shared" ref="J15:N15" si="4">SUM(J8:J14)</f>
        <v>44514000</v>
      </c>
      <c r="K15" s="47">
        <f t="shared" si="4"/>
        <v>43893000</v>
      </c>
      <c r="L15" s="47">
        <f t="shared" si="4"/>
        <v>41445000</v>
      </c>
      <c r="M15" s="47">
        <f t="shared" si="4"/>
        <v>38963600</v>
      </c>
      <c r="N15" s="47">
        <f t="shared" si="4"/>
        <v>42988500</v>
      </c>
      <c r="O15" s="47">
        <f t="shared" ref="O15:T15" si="5">SUM(O8:O14)</f>
        <v>44862500</v>
      </c>
      <c r="P15" s="47">
        <f t="shared" si="5"/>
        <v>36356800</v>
      </c>
      <c r="Q15" s="103">
        <f t="shared" si="5"/>
        <v>51278000</v>
      </c>
      <c r="R15" s="47">
        <f>SUM(R8:R14)</f>
        <v>38431944</v>
      </c>
      <c r="S15" s="48">
        <f t="shared" si="5"/>
        <v>555584534</v>
      </c>
      <c r="T15" s="48">
        <f t="shared" si="5"/>
        <v>761120282</v>
      </c>
      <c r="U15" s="49">
        <f>S15/T15</f>
        <v>0.72995628567417414</v>
      </c>
      <c r="V15" s="50">
        <f>SUM(V8:V14)</f>
        <v>46298711.166666657</v>
      </c>
    </row>
    <row r="16" spans="1:22" x14ac:dyDescent="0.25">
      <c r="A16" s="8"/>
      <c r="B16" s="9"/>
      <c r="C16" s="58"/>
      <c r="D16" s="9"/>
      <c r="E16" s="1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92"/>
      <c r="R16" s="108"/>
      <c r="S16" s="13"/>
      <c r="T16" s="13"/>
      <c r="U16" s="14"/>
      <c r="V16" s="13"/>
    </row>
    <row r="17" spans="1:22" x14ac:dyDescent="0.25">
      <c r="A17" s="15">
        <v>2</v>
      </c>
      <c r="B17" s="16" t="s">
        <v>78</v>
      </c>
      <c r="C17" s="59" t="s">
        <v>25</v>
      </c>
      <c r="D17" s="38" t="s">
        <v>91</v>
      </c>
      <c r="E17" s="17"/>
      <c r="F17" s="18" t="s">
        <v>8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6"/>
      <c r="S17" s="20"/>
      <c r="T17" s="115"/>
      <c r="U17" s="21"/>
      <c r="V17" s="20"/>
    </row>
    <row r="18" spans="1:22" x14ac:dyDescent="0.25">
      <c r="A18" s="15"/>
      <c r="B18" s="16" t="s">
        <v>9</v>
      </c>
      <c r="C18" s="59" t="s">
        <v>19</v>
      </c>
      <c r="D18" s="16"/>
      <c r="E18" s="17" t="s">
        <v>72</v>
      </c>
      <c r="F18" s="18" t="s">
        <v>12</v>
      </c>
      <c r="G18" s="22">
        <v>16214000</v>
      </c>
      <c r="H18" s="22">
        <v>20915000</v>
      </c>
      <c r="I18" s="22">
        <v>15312500</v>
      </c>
      <c r="J18" s="22">
        <v>19524500</v>
      </c>
      <c r="K18" s="22">
        <v>16430000</v>
      </c>
      <c r="L18" s="22">
        <v>15185000</v>
      </c>
      <c r="M18" s="113">
        <v>7800000</v>
      </c>
      <c r="N18" s="22">
        <v>13403000</v>
      </c>
      <c r="O18" s="22">
        <v>12858000</v>
      </c>
      <c r="P18" s="98">
        <v>7285000</v>
      </c>
      <c r="Q18" s="90">
        <v>17235000</v>
      </c>
      <c r="R18" s="106">
        <v>16390000</v>
      </c>
      <c r="S18" s="23">
        <f>SUM(G18:R18)</f>
        <v>178552000</v>
      </c>
      <c r="T18" s="118">
        <f>((((20581900+19843450+17311124+17141300+13964500+13981090+13806224+15821300)+17563225)+19166112)+17867160)+16998830</f>
        <v>204046215</v>
      </c>
      <c r="U18" s="21">
        <f>S18/T18</f>
        <v>0.87505666302116902</v>
      </c>
      <c r="V18" s="24">
        <f t="shared" ref="V18:V25" si="6">S18/12</f>
        <v>14879333.333333334</v>
      </c>
    </row>
    <row r="19" spans="1:22" x14ac:dyDescent="0.25">
      <c r="A19" s="15"/>
      <c r="B19" s="16"/>
      <c r="C19" s="59" t="s">
        <v>92</v>
      </c>
      <c r="D19" s="16"/>
      <c r="E19" s="17" t="s">
        <v>73</v>
      </c>
      <c r="F19" s="18"/>
      <c r="G19" s="22">
        <v>14475000</v>
      </c>
      <c r="H19" s="22">
        <v>34685000</v>
      </c>
      <c r="I19" s="22">
        <v>28685000</v>
      </c>
      <c r="J19" s="22">
        <v>41265000</v>
      </c>
      <c r="K19" s="22">
        <v>34540000</v>
      </c>
      <c r="L19" s="22">
        <v>24650000</v>
      </c>
      <c r="M19" s="22">
        <v>23602000</v>
      </c>
      <c r="N19" s="22">
        <v>24040000</v>
      </c>
      <c r="O19" s="22">
        <v>39075000</v>
      </c>
      <c r="P19" s="98">
        <v>38330000</v>
      </c>
      <c r="Q19" s="90">
        <v>33115000</v>
      </c>
      <c r="R19" s="106">
        <v>25072500</v>
      </c>
      <c r="S19" s="23">
        <f t="shared" ref="S19:S25" si="7">SUM(G19:R19)</f>
        <v>361534500</v>
      </c>
      <c r="T19" s="118">
        <f>((((37652655+37130500+42407750+37746500+40947500+36873000+30271000+38951000)+38719450)+37038500)+39270000)+38270000</f>
        <v>455277855</v>
      </c>
      <c r="U19" s="21">
        <f>S19/T19</f>
        <v>0.79409638757852608</v>
      </c>
      <c r="V19" s="24">
        <f t="shared" si="6"/>
        <v>30127875</v>
      </c>
    </row>
    <row r="20" spans="1:22" x14ac:dyDescent="0.25">
      <c r="A20" s="15"/>
      <c r="B20" s="16"/>
      <c r="C20" s="59"/>
      <c r="D20" s="16"/>
      <c r="E20" s="17" t="s">
        <v>20</v>
      </c>
      <c r="F20" s="18" t="s">
        <v>12</v>
      </c>
      <c r="G20" s="22">
        <v>0</v>
      </c>
      <c r="H20" s="22">
        <v>0</v>
      </c>
      <c r="I20" s="22">
        <v>0</v>
      </c>
      <c r="J20" s="22">
        <v>195000</v>
      </c>
      <c r="K20" s="22">
        <v>550000</v>
      </c>
      <c r="L20" s="22">
        <v>100000</v>
      </c>
      <c r="M20" s="22">
        <v>1849000</v>
      </c>
      <c r="N20" s="22">
        <v>1250000</v>
      </c>
      <c r="O20" s="22">
        <v>0</v>
      </c>
      <c r="P20" s="98">
        <v>0</v>
      </c>
      <c r="Q20" s="90">
        <v>1140000</v>
      </c>
      <c r="R20" s="106">
        <v>480000</v>
      </c>
      <c r="S20" s="23">
        <f>SUM(G20:R20)</f>
        <v>5564000</v>
      </c>
      <c r="T20" s="118">
        <f>((((0+0+374000+0+0+0+0+0)+253000)+0)+0)+1155000</f>
        <v>1782000</v>
      </c>
      <c r="U20" s="21">
        <f>S20/T20</f>
        <v>3.1223344556677892</v>
      </c>
      <c r="V20" s="24">
        <f t="shared" si="6"/>
        <v>463666.66666666669</v>
      </c>
    </row>
    <row r="21" spans="1:22" x14ac:dyDescent="0.25">
      <c r="A21" s="15"/>
      <c r="B21" s="16"/>
      <c r="C21" s="59"/>
      <c r="D21" s="16"/>
      <c r="E21" s="17" t="s">
        <v>120</v>
      </c>
      <c r="F21" s="18"/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450000</v>
      </c>
      <c r="O21" s="22">
        <v>0</v>
      </c>
      <c r="P21" s="98">
        <v>0</v>
      </c>
      <c r="Q21" s="90">
        <v>0</v>
      </c>
      <c r="R21" s="106">
        <v>0</v>
      </c>
      <c r="S21" s="23">
        <f>SUM(G21:R21)</f>
        <v>450000</v>
      </c>
      <c r="T21" s="118">
        <f>((((0+0+0+0+0+0+0+0)+0)+0)+0)+0</f>
        <v>0</v>
      </c>
      <c r="U21" s="21" t="e">
        <f>S21/T21</f>
        <v>#DIV/0!</v>
      </c>
      <c r="V21" s="24">
        <f t="shared" si="6"/>
        <v>37500</v>
      </c>
    </row>
    <row r="22" spans="1:22" x14ac:dyDescent="0.25">
      <c r="A22" s="15"/>
      <c r="B22" s="16"/>
      <c r="C22" s="59"/>
      <c r="D22" s="16"/>
      <c r="E22" s="17" t="s">
        <v>21</v>
      </c>
      <c r="F22" s="18"/>
      <c r="G22" s="22">
        <v>43535000</v>
      </c>
      <c r="H22" s="22">
        <v>25805000</v>
      </c>
      <c r="I22" s="22">
        <v>43437500</v>
      </c>
      <c r="J22" s="22">
        <v>33245000</v>
      </c>
      <c r="K22" s="22">
        <v>34755000</v>
      </c>
      <c r="L22" s="22">
        <v>35852500</v>
      </c>
      <c r="M22" s="22">
        <v>40051190</v>
      </c>
      <c r="N22" s="22">
        <v>35845119</v>
      </c>
      <c r="O22" s="22">
        <v>37532999</v>
      </c>
      <c r="P22" s="98">
        <v>26503000</v>
      </c>
      <c r="Q22" s="90">
        <v>23252500</v>
      </c>
      <c r="R22" s="106">
        <v>32068000</v>
      </c>
      <c r="S22" s="23">
        <f t="shared" si="7"/>
        <v>411882808</v>
      </c>
      <c r="T22" s="118">
        <f>((((35486250+36082200+37857600+33979000+31839500+30508250+29900750+29633340)+38249750)+35525250)+30030000)+30030000</f>
        <v>399121890</v>
      </c>
      <c r="U22" s="21">
        <f>S22/T22</f>
        <v>1.0319724833934816</v>
      </c>
      <c r="V22" s="24">
        <f t="shared" si="6"/>
        <v>34323567.333333336</v>
      </c>
    </row>
    <row r="23" spans="1:22" x14ac:dyDescent="0.25">
      <c r="A23" s="15"/>
      <c r="B23" s="16"/>
      <c r="C23" s="59"/>
      <c r="D23" s="16"/>
      <c r="E23" s="17" t="s">
        <v>22</v>
      </c>
      <c r="F23" s="18"/>
      <c r="G23" s="22">
        <v>2660000</v>
      </c>
      <c r="H23" s="22">
        <v>2875000</v>
      </c>
      <c r="I23" s="22">
        <v>3110000</v>
      </c>
      <c r="J23" s="22">
        <v>2647500</v>
      </c>
      <c r="K23" s="22">
        <v>1805000</v>
      </c>
      <c r="L23" s="22">
        <v>1250000</v>
      </c>
      <c r="M23" s="22">
        <v>1320000</v>
      </c>
      <c r="N23" s="22">
        <v>1130000</v>
      </c>
      <c r="O23" s="22">
        <v>1640000</v>
      </c>
      <c r="P23" s="98">
        <v>410000</v>
      </c>
      <c r="Q23" s="90">
        <v>1400000</v>
      </c>
      <c r="R23" s="106">
        <v>960000</v>
      </c>
      <c r="S23" s="23">
        <f t="shared" si="7"/>
        <v>21207500</v>
      </c>
      <c r="T23" s="122">
        <f>((((429000+363000+110000+150000+440000+220000+159500+990000)+1809500)+605000)+250000)+250000</f>
        <v>5776000</v>
      </c>
      <c r="U23" s="21">
        <f t="shared" ref="U23:U25" si="8">S23/T23</f>
        <v>3.6716585872576175</v>
      </c>
      <c r="V23" s="24">
        <f t="shared" si="6"/>
        <v>1767291.6666666667</v>
      </c>
    </row>
    <row r="24" spans="1:22" x14ac:dyDescent="0.25">
      <c r="A24" s="26"/>
      <c r="B24" s="27"/>
      <c r="C24" s="61"/>
      <c r="D24" s="27"/>
      <c r="E24" s="28" t="s">
        <v>23</v>
      </c>
      <c r="F24" s="29"/>
      <c r="G24" s="32">
        <v>3420000</v>
      </c>
      <c r="H24" s="32">
        <v>5397500</v>
      </c>
      <c r="I24" s="32">
        <v>3705000</v>
      </c>
      <c r="J24" s="32">
        <v>2335000</v>
      </c>
      <c r="K24" s="32">
        <v>3520000</v>
      </c>
      <c r="L24" s="32">
        <v>4235000</v>
      </c>
      <c r="M24" s="32">
        <v>4210000</v>
      </c>
      <c r="N24" s="32">
        <v>4220000</v>
      </c>
      <c r="O24" s="32">
        <v>2300000</v>
      </c>
      <c r="P24" s="99">
        <v>7640000</v>
      </c>
      <c r="Q24" s="93">
        <v>1995000</v>
      </c>
      <c r="R24" s="109">
        <v>4190000</v>
      </c>
      <c r="S24" s="23">
        <f t="shared" ref="S24" si="9">SUM(G24:R24)</f>
        <v>47167500</v>
      </c>
      <c r="T24" s="119">
        <f>((((3600000+3924500+3679500+3480070+2666400+3737580+2706000+3278000)+4312000)+2667500)+2334255)+3083850</f>
        <v>39469655</v>
      </c>
      <c r="U24" s="21">
        <f t="shared" ref="U24" si="10">S24/T24</f>
        <v>1.1950319808977301</v>
      </c>
      <c r="V24" s="24">
        <f t="shared" si="6"/>
        <v>3930625</v>
      </c>
    </row>
    <row r="25" spans="1:22" ht="15.75" thickBot="1" x14ac:dyDescent="0.3">
      <c r="A25" s="26"/>
      <c r="B25" s="27"/>
      <c r="C25" s="61"/>
      <c r="D25" s="27"/>
      <c r="E25" s="28" t="s">
        <v>56</v>
      </c>
      <c r="F25" s="29"/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99">
        <v>0</v>
      </c>
      <c r="Q25" s="93">
        <v>370000</v>
      </c>
      <c r="R25" s="109">
        <v>0</v>
      </c>
      <c r="S25" s="23">
        <f t="shared" si="7"/>
        <v>370000</v>
      </c>
      <c r="T25" s="120">
        <f>((0+0+0+0+0)+0)+0</f>
        <v>0</v>
      </c>
      <c r="U25" s="21" t="e">
        <f t="shared" si="8"/>
        <v>#DIV/0!</v>
      </c>
      <c r="V25" s="24">
        <f t="shared" si="6"/>
        <v>30833.333333333332</v>
      </c>
    </row>
    <row r="26" spans="1:22" s="51" customFormat="1" ht="15.75" thickBot="1" x14ac:dyDescent="0.3">
      <c r="A26" s="43"/>
      <c r="B26" s="44"/>
      <c r="C26" s="60"/>
      <c r="D26" s="44"/>
      <c r="E26" s="45"/>
      <c r="F26" s="46"/>
      <c r="G26" s="78">
        <f t="shared" ref="G26:T26" si="11">SUM(G18:G25)</f>
        <v>80304000</v>
      </c>
      <c r="H26" s="78">
        <f t="shared" si="11"/>
        <v>89677500</v>
      </c>
      <c r="I26" s="78">
        <f t="shared" si="11"/>
        <v>94250000</v>
      </c>
      <c r="J26" s="78">
        <f t="shared" si="11"/>
        <v>99212000</v>
      </c>
      <c r="K26" s="78">
        <f t="shared" si="11"/>
        <v>91600000</v>
      </c>
      <c r="L26" s="78">
        <f t="shared" si="11"/>
        <v>81272500</v>
      </c>
      <c r="M26" s="78">
        <f t="shared" si="11"/>
        <v>78832190</v>
      </c>
      <c r="N26" s="78">
        <f t="shared" si="11"/>
        <v>80338119</v>
      </c>
      <c r="O26" s="78">
        <f t="shared" si="11"/>
        <v>93405999</v>
      </c>
      <c r="P26" s="52">
        <f t="shared" si="11"/>
        <v>80168000</v>
      </c>
      <c r="Q26" s="96">
        <f t="shared" si="11"/>
        <v>78507500</v>
      </c>
      <c r="R26" s="78">
        <f t="shared" si="11"/>
        <v>79160500</v>
      </c>
      <c r="S26" s="48">
        <f t="shared" si="11"/>
        <v>1026728308</v>
      </c>
      <c r="T26" s="128">
        <f t="shared" si="11"/>
        <v>1105473615</v>
      </c>
      <c r="U26" s="49">
        <f>S26/T26</f>
        <v>0.92876780962338934</v>
      </c>
      <c r="V26" s="48">
        <f>SUM(V18:V25)</f>
        <v>85560692.333333343</v>
      </c>
    </row>
    <row r="27" spans="1:22" x14ac:dyDescent="0.25">
      <c r="A27" s="8"/>
      <c r="B27" s="9"/>
      <c r="C27" s="58"/>
      <c r="D27" s="9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0"/>
      <c r="Q27" s="11"/>
      <c r="R27" s="9"/>
      <c r="S27" s="13"/>
      <c r="T27" s="13"/>
      <c r="U27" s="14"/>
      <c r="V27" s="13"/>
    </row>
    <row r="28" spans="1:22" x14ac:dyDescent="0.25">
      <c r="A28" s="15">
        <v>3</v>
      </c>
      <c r="B28" s="16" t="s">
        <v>78</v>
      </c>
      <c r="C28" s="59" t="s">
        <v>32</v>
      </c>
      <c r="D28" s="38" t="s">
        <v>33</v>
      </c>
      <c r="E28" s="17"/>
      <c r="F28" s="18" t="s">
        <v>8</v>
      </c>
      <c r="G28" s="19"/>
      <c r="H28" s="19"/>
      <c r="I28" s="19"/>
      <c r="J28" s="19"/>
      <c r="K28" s="19"/>
      <c r="L28" s="19"/>
      <c r="M28" s="19"/>
      <c r="N28" s="19"/>
      <c r="O28" s="19"/>
      <c r="P28" s="17"/>
      <c r="Q28" s="18"/>
      <c r="R28" s="16"/>
      <c r="S28" s="20"/>
      <c r="T28" s="115"/>
      <c r="U28" s="21"/>
      <c r="V28" s="20"/>
    </row>
    <row r="29" spans="1:22" x14ac:dyDescent="0.25">
      <c r="A29" s="15"/>
      <c r="B29" s="16" t="s">
        <v>9</v>
      </c>
      <c r="C29" s="59" t="s">
        <v>34</v>
      </c>
      <c r="D29" s="16"/>
      <c r="E29" s="17" t="s">
        <v>35</v>
      </c>
      <c r="F29" s="18" t="s">
        <v>12</v>
      </c>
      <c r="G29" s="22">
        <v>29274000</v>
      </c>
      <c r="H29" s="22">
        <v>22130000</v>
      </c>
      <c r="I29" s="22">
        <v>30557500</v>
      </c>
      <c r="J29" s="22">
        <v>25837142</v>
      </c>
      <c r="K29" s="22">
        <v>25260000</v>
      </c>
      <c r="L29" s="22">
        <v>30140000</v>
      </c>
      <c r="M29" s="22">
        <v>16985000</v>
      </c>
      <c r="N29" s="22">
        <v>20584500</v>
      </c>
      <c r="O29" s="22">
        <v>21697000</v>
      </c>
      <c r="P29" s="98">
        <v>23649000</v>
      </c>
      <c r="Q29" s="90">
        <v>21119000</v>
      </c>
      <c r="R29" s="106">
        <v>17954809</v>
      </c>
      <c r="S29" s="23">
        <f>SUM(G29:R29)</f>
        <v>285187951</v>
      </c>
      <c r="T29" s="118">
        <f>((((22689350+20265375+26542420+27750450+26064843+33882600+35319250+33148750)+26921200)+34496800)+25840500)+24717000</f>
        <v>337638538</v>
      </c>
      <c r="U29" s="21">
        <f t="shared" ref="U29:U36" si="12">S29/T29</f>
        <v>0.84465461996521263</v>
      </c>
      <c r="V29" s="24">
        <f t="shared" ref="V29:V36" si="13">S29/12</f>
        <v>23765662.583333332</v>
      </c>
    </row>
    <row r="30" spans="1:22" x14ac:dyDescent="0.25">
      <c r="A30" s="15"/>
      <c r="B30" s="16"/>
      <c r="C30" s="59" t="s">
        <v>93</v>
      </c>
      <c r="D30" s="16"/>
      <c r="E30" s="17" t="s">
        <v>36</v>
      </c>
      <c r="F30" s="18" t="s">
        <v>12</v>
      </c>
      <c r="G30" s="22">
        <v>25812000</v>
      </c>
      <c r="H30" s="22">
        <v>16775000</v>
      </c>
      <c r="I30" s="22">
        <v>18884000</v>
      </c>
      <c r="J30" s="22">
        <v>21717500</v>
      </c>
      <c r="K30" s="22">
        <v>17287500</v>
      </c>
      <c r="L30" s="22">
        <v>18786000</v>
      </c>
      <c r="M30" s="22">
        <v>14350000</v>
      </c>
      <c r="N30" s="22">
        <v>12450000</v>
      </c>
      <c r="O30" s="22">
        <v>12083500</v>
      </c>
      <c r="P30" s="98">
        <v>13662500</v>
      </c>
      <c r="Q30" s="90">
        <v>7632500</v>
      </c>
      <c r="R30" s="106">
        <v>10620642</v>
      </c>
      <c r="S30" s="23">
        <f>SUM(G30:R30)</f>
        <v>190061142</v>
      </c>
      <c r="T30" s="118">
        <f>((((24399150+21167300+21819975+22792350+31309075+24805875+27092625+25524225)+25104875)+28086430)+35787500)+34911000</f>
        <v>322800380</v>
      </c>
      <c r="U30" s="21">
        <f t="shared" si="12"/>
        <v>0.58878847044727767</v>
      </c>
      <c r="V30" s="24">
        <f t="shared" si="13"/>
        <v>15838428.5</v>
      </c>
    </row>
    <row r="31" spans="1:22" x14ac:dyDescent="0.25">
      <c r="A31" s="15"/>
      <c r="B31" s="16"/>
      <c r="C31" s="59" t="s">
        <v>37</v>
      </c>
      <c r="D31" s="16"/>
      <c r="E31" s="17" t="s">
        <v>38</v>
      </c>
      <c r="F31" s="18" t="s">
        <v>12</v>
      </c>
      <c r="G31" s="22">
        <v>15785833</v>
      </c>
      <c r="H31" s="22">
        <v>11803261</v>
      </c>
      <c r="I31" s="22">
        <v>10890569</v>
      </c>
      <c r="J31" s="22">
        <v>10339000</v>
      </c>
      <c r="K31" s="22">
        <v>7728785</v>
      </c>
      <c r="L31" s="22">
        <v>9871142</v>
      </c>
      <c r="M31" s="22">
        <v>9605000</v>
      </c>
      <c r="N31" s="22">
        <v>7669808</v>
      </c>
      <c r="O31" s="22">
        <v>7697551</v>
      </c>
      <c r="P31" s="98">
        <v>8797475</v>
      </c>
      <c r="Q31" s="90">
        <v>5123071</v>
      </c>
      <c r="R31" s="106">
        <v>3952379</v>
      </c>
      <c r="S31" s="23">
        <f t="shared" ref="S31:S36" si="14">SUM(G31:R31)</f>
        <v>109263874</v>
      </c>
      <c r="T31" s="118">
        <f>((((19076133+11581858+17451700+14835550+16552900+13749750+9368775+10360350)+11641600)+19647390)+21142933)+21098795</f>
        <v>186507734</v>
      </c>
      <c r="U31" s="21">
        <f t="shared" si="12"/>
        <v>0.58584098180078692</v>
      </c>
      <c r="V31" s="24">
        <f t="shared" si="13"/>
        <v>9105322.833333334</v>
      </c>
    </row>
    <row r="32" spans="1:22" x14ac:dyDescent="0.25">
      <c r="A32" s="15"/>
      <c r="B32" s="16"/>
      <c r="C32" s="59"/>
      <c r="D32" s="16"/>
      <c r="E32" s="17" t="s">
        <v>39</v>
      </c>
      <c r="F32" s="18"/>
      <c r="G32" s="22">
        <v>0</v>
      </c>
      <c r="H32" s="22">
        <v>3480000</v>
      </c>
      <c r="I32" s="22">
        <v>0</v>
      </c>
      <c r="J32" s="22">
        <v>0</v>
      </c>
      <c r="K32" s="22">
        <v>0</v>
      </c>
      <c r="L32" s="22">
        <v>0</v>
      </c>
      <c r="M32" s="22">
        <v>2700000</v>
      </c>
      <c r="N32" s="22">
        <v>0</v>
      </c>
      <c r="O32" s="22">
        <v>0</v>
      </c>
      <c r="P32" s="98">
        <v>0</v>
      </c>
      <c r="Q32" s="90">
        <v>200000</v>
      </c>
      <c r="R32" s="106">
        <v>0</v>
      </c>
      <c r="S32" s="23">
        <f t="shared" si="14"/>
        <v>6380000</v>
      </c>
      <c r="T32" s="118">
        <f>((((663400+0+2418200+0+0+1050000+0+1491000)+2247000)+1883200)+0)+0</f>
        <v>9752800</v>
      </c>
      <c r="U32" s="21">
        <f t="shared" si="12"/>
        <v>0.65417110983512428</v>
      </c>
      <c r="V32" s="24">
        <f t="shared" si="13"/>
        <v>531666.66666666663</v>
      </c>
    </row>
    <row r="33" spans="1:22" x14ac:dyDescent="0.25">
      <c r="A33" s="15"/>
      <c r="B33" s="16"/>
      <c r="C33" s="59"/>
      <c r="D33" s="16"/>
      <c r="E33" s="17" t="s">
        <v>40</v>
      </c>
      <c r="F33" s="18"/>
      <c r="G33" s="22">
        <v>22319000</v>
      </c>
      <c r="H33" s="22">
        <v>22897500</v>
      </c>
      <c r="I33" s="22">
        <v>15963595</v>
      </c>
      <c r="J33" s="22">
        <v>21179523</v>
      </c>
      <c r="K33" s="22">
        <v>22680570</v>
      </c>
      <c r="L33" s="22">
        <v>24533904</v>
      </c>
      <c r="M33" s="22">
        <v>23204142</v>
      </c>
      <c r="N33" s="22">
        <v>13175000</v>
      </c>
      <c r="O33" s="22">
        <v>14214785</v>
      </c>
      <c r="P33" s="98">
        <v>28009927</v>
      </c>
      <c r="Q33" s="90">
        <v>22165356</v>
      </c>
      <c r="R33" s="106">
        <v>20382139</v>
      </c>
      <c r="S33" s="23">
        <f t="shared" si="14"/>
        <v>250725441</v>
      </c>
      <c r="T33" s="119">
        <f>((((17233623+14070500+14300550+21680340+22487655+22938825+24408300+23869500)+20854300)+23128050)+22666358)+22717000</f>
        <v>250355001</v>
      </c>
      <c r="U33" s="21">
        <f t="shared" si="12"/>
        <v>1.001479658878474</v>
      </c>
      <c r="V33" s="24">
        <f t="shared" si="13"/>
        <v>20893786.75</v>
      </c>
    </row>
    <row r="34" spans="1:22" x14ac:dyDescent="0.25">
      <c r="A34" s="15"/>
      <c r="B34" s="16"/>
      <c r="C34" s="59"/>
      <c r="D34" s="16"/>
      <c r="E34" s="17" t="s">
        <v>41</v>
      </c>
      <c r="F34" s="18"/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250000</v>
      </c>
      <c r="M34" s="22">
        <v>0</v>
      </c>
      <c r="N34" s="22">
        <v>0</v>
      </c>
      <c r="O34" s="22">
        <v>0</v>
      </c>
      <c r="P34" s="98">
        <v>0</v>
      </c>
      <c r="Q34" s="90">
        <v>380000</v>
      </c>
      <c r="R34" s="106">
        <v>835000</v>
      </c>
      <c r="S34" s="23">
        <f t="shared" si="14"/>
        <v>1465000</v>
      </c>
      <c r="T34" s="118">
        <f>((((0+0+0+0+0+0+0)+0)+0)+0)+0</f>
        <v>0</v>
      </c>
      <c r="U34" s="21" t="e">
        <f t="shared" si="12"/>
        <v>#DIV/0!</v>
      </c>
      <c r="V34" s="24">
        <f t="shared" si="13"/>
        <v>122083.33333333333</v>
      </c>
    </row>
    <row r="35" spans="1:22" x14ac:dyDescent="0.25">
      <c r="A35" s="15"/>
      <c r="B35" s="16"/>
      <c r="C35" s="59"/>
      <c r="D35" s="16"/>
      <c r="E35" s="17" t="s">
        <v>42</v>
      </c>
      <c r="F35" s="18"/>
      <c r="G35" s="22">
        <v>1400000</v>
      </c>
      <c r="H35" s="22">
        <v>2478571</v>
      </c>
      <c r="I35" s="22">
        <v>0</v>
      </c>
      <c r="J35" s="22">
        <v>0</v>
      </c>
      <c r="K35" s="22">
        <v>1470000</v>
      </c>
      <c r="L35" s="22">
        <v>700000</v>
      </c>
      <c r="M35" s="22">
        <v>0</v>
      </c>
      <c r="N35" s="22">
        <v>1170000</v>
      </c>
      <c r="O35" s="22">
        <v>3475000</v>
      </c>
      <c r="P35" s="98">
        <v>3700000</v>
      </c>
      <c r="Q35" s="90">
        <v>5450000</v>
      </c>
      <c r="R35" s="106">
        <v>4000000</v>
      </c>
      <c r="S35" s="23">
        <f t="shared" si="14"/>
        <v>23843571</v>
      </c>
      <c r="T35" s="122">
        <f>((((8637040+5162750+2621500+3750350+1920650+3024000+3984750+2089500)+2605450)+2327250)+5617500)+5617500</f>
        <v>47358240</v>
      </c>
      <c r="U35" s="21">
        <f t="shared" si="12"/>
        <v>0.50347248968711678</v>
      </c>
      <c r="V35" s="24">
        <f t="shared" si="13"/>
        <v>1986964.25</v>
      </c>
    </row>
    <row r="36" spans="1:22" ht="15.75" thickBot="1" x14ac:dyDescent="0.3">
      <c r="A36" s="26"/>
      <c r="B36" s="27"/>
      <c r="C36" s="61"/>
      <c r="D36" s="27"/>
      <c r="E36" s="28" t="s">
        <v>43</v>
      </c>
      <c r="F36" s="29"/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99">
        <v>0</v>
      </c>
      <c r="Q36" s="93">
        <v>0</v>
      </c>
      <c r="R36" s="109">
        <v>0</v>
      </c>
      <c r="S36" s="23">
        <f t="shared" si="14"/>
        <v>0</v>
      </c>
      <c r="T36" s="117">
        <f>((((0+0+0+0+0+0+0+0)+0)+0)+0)+0</f>
        <v>0</v>
      </c>
      <c r="U36" s="21" t="e">
        <f t="shared" si="12"/>
        <v>#DIV/0!</v>
      </c>
      <c r="V36" s="24">
        <f t="shared" si="13"/>
        <v>0</v>
      </c>
    </row>
    <row r="37" spans="1:22" s="51" customFormat="1" ht="15.75" thickBot="1" x14ac:dyDescent="0.3">
      <c r="A37" s="43"/>
      <c r="B37" s="44"/>
      <c r="C37" s="60"/>
      <c r="D37" s="44"/>
      <c r="E37" s="45"/>
      <c r="F37" s="46"/>
      <c r="G37" s="52">
        <f t="shared" ref="G37:H37" si="15">SUM(G29:G36)</f>
        <v>94590833</v>
      </c>
      <c r="H37" s="52">
        <f t="shared" si="15"/>
        <v>79564332</v>
      </c>
      <c r="I37" s="52">
        <f t="shared" ref="I37" si="16">SUM(I29:I36)</f>
        <v>76295664</v>
      </c>
      <c r="J37" s="52">
        <f t="shared" ref="J37:T37" si="17">SUM(J29:J36)</f>
        <v>79073165</v>
      </c>
      <c r="K37" s="52">
        <f t="shared" si="17"/>
        <v>74426855</v>
      </c>
      <c r="L37" s="52">
        <f t="shared" si="17"/>
        <v>84281046</v>
      </c>
      <c r="M37" s="52">
        <f t="shared" si="17"/>
        <v>66844142</v>
      </c>
      <c r="N37" s="52">
        <f t="shared" ref="N37:P37" si="18">SUM(N29:N36)</f>
        <v>55049308</v>
      </c>
      <c r="O37" s="52">
        <f t="shared" si="18"/>
        <v>59167836</v>
      </c>
      <c r="P37" s="52">
        <f t="shared" si="18"/>
        <v>77818902</v>
      </c>
      <c r="Q37" s="96">
        <f t="shared" ref="Q37:R37" si="19">SUM(Q29:Q36)</f>
        <v>62069927</v>
      </c>
      <c r="R37" s="52">
        <f t="shared" si="19"/>
        <v>57744969</v>
      </c>
      <c r="S37" s="53">
        <f t="shared" si="17"/>
        <v>866926979</v>
      </c>
      <c r="T37" s="53">
        <f t="shared" si="17"/>
        <v>1154412693</v>
      </c>
      <c r="U37" s="49">
        <f>S37/T37</f>
        <v>0.75096798939995713</v>
      </c>
      <c r="V37" s="53">
        <f>SUM(V29:V36)</f>
        <v>72243914.916666657</v>
      </c>
    </row>
    <row r="38" spans="1:22" s="51" customFormat="1" ht="15.75" thickBot="1" x14ac:dyDescent="0.3">
      <c r="A38" s="54"/>
      <c r="B38" s="70"/>
      <c r="C38" s="71"/>
      <c r="D38" s="70"/>
      <c r="E38" s="72"/>
      <c r="F38" s="55"/>
      <c r="G38" s="73">
        <f t="shared" ref="G38:T38" si="20">G15+G26+G37</f>
        <v>239445833</v>
      </c>
      <c r="H38" s="73">
        <f t="shared" si="20"/>
        <v>218956522</v>
      </c>
      <c r="I38" s="73">
        <f t="shared" si="20"/>
        <v>229131164</v>
      </c>
      <c r="J38" s="73">
        <f t="shared" si="20"/>
        <v>222799165</v>
      </c>
      <c r="K38" s="73">
        <f t="shared" si="20"/>
        <v>209919855</v>
      </c>
      <c r="L38" s="73">
        <f t="shared" si="20"/>
        <v>206998546</v>
      </c>
      <c r="M38" s="73">
        <f t="shared" si="20"/>
        <v>184639932</v>
      </c>
      <c r="N38" s="73">
        <f t="shared" si="20"/>
        <v>178375927</v>
      </c>
      <c r="O38" s="73">
        <f t="shared" si="20"/>
        <v>197436335</v>
      </c>
      <c r="P38" s="73">
        <f t="shared" si="20"/>
        <v>194343702</v>
      </c>
      <c r="Q38" s="73">
        <f t="shared" si="20"/>
        <v>191855427</v>
      </c>
      <c r="R38" s="73">
        <f t="shared" si="20"/>
        <v>175337413</v>
      </c>
      <c r="S38" s="87">
        <f t="shared" si="20"/>
        <v>2449239821</v>
      </c>
      <c r="T38" s="87">
        <f t="shared" si="20"/>
        <v>3021006590</v>
      </c>
      <c r="U38" s="80">
        <f>S38/T38</f>
        <v>0.81073633838051307</v>
      </c>
      <c r="V38" s="73">
        <f>V15+V26+V37</f>
        <v>204103318.41666666</v>
      </c>
    </row>
    <row r="39" spans="1:22" x14ac:dyDescent="0.25">
      <c r="A39" s="8">
        <v>4</v>
      </c>
      <c r="B39" s="9" t="s">
        <v>78</v>
      </c>
      <c r="C39" s="58" t="s">
        <v>79</v>
      </c>
      <c r="D39" s="40" t="s">
        <v>45</v>
      </c>
      <c r="E39" s="10"/>
      <c r="F39" s="11" t="s">
        <v>12</v>
      </c>
      <c r="G39" s="12"/>
      <c r="H39" s="12"/>
      <c r="I39" s="12"/>
      <c r="J39" s="12"/>
      <c r="K39" s="12"/>
      <c r="L39" s="12"/>
      <c r="M39" s="12"/>
      <c r="N39" s="12"/>
      <c r="O39" s="12"/>
      <c r="P39" s="10"/>
      <c r="Q39" s="11"/>
      <c r="R39" s="9"/>
      <c r="S39" s="13"/>
      <c r="T39" s="129"/>
      <c r="U39" s="14"/>
      <c r="V39" s="13"/>
    </row>
    <row r="40" spans="1:22" x14ac:dyDescent="0.25">
      <c r="A40" s="15"/>
      <c r="B40" s="16"/>
      <c r="C40" s="59" t="s">
        <v>90</v>
      </c>
      <c r="D40" s="16"/>
      <c r="E40" s="17" t="s">
        <v>46</v>
      </c>
      <c r="F40" s="18"/>
      <c r="G40" s="22">
        <v>140000</v>
      </c>
      <c r="H40" s="22">
        <v>130000</v>
      </c>
      <c r="I40" s="22">
        <v>150000</v>
      </c>
      <c r="J40" s="22">
        <v>270000</v>
      </c>
      <c r="K40" s="22">
        <v>135000</v>
      </c>
      <c r="L40" s="22">
        <v>230000</v>
      </c>
      <c r="M40" s="22">
        <v>50000</v>
      </c>
      <c r="N40" s="22">
        <v>15000</v>
      </c>
      <c r="O40" s="22">
        <v>255000</v>
      </c>
      <c r="P40" s="98">
        <v>590000</v>
      </c>
      <c r="Q40" s="90">
        <v>85000</v>
      </c>
      <c r="R40" s="106">
        <v>260000</v>
      </c>
      <c r="S40" s="23">
        <f t="shared" ref="S40:S43" si="21">SUM(G40:R40)</f>
        <v>2310000</v>
      </c>
      <c r="T40" s="122">
        <f>((((176000+607750+770000+0+436700+110000+231000+134200)+451000)+231000)+231000)+231000</f>
        <v>3609650</v>
      </c>
      <c r="U40" s="21">
        <f t="shared" ref="U40:U43" si="22">S40/T40</f>
        <v>0.63995124181014784</v>
      </c>
      <c r="V40" s="24">
        <f t="shared" ref="V40:V43" si="23">S40/12</f>
        <v>192500</v>
      </c>
    </row>
    <row r="41" spans="1:22" x14ac:dyDescent="0.25">
      <c r="A41" s="15"/>
      <c r="B41" s="16"/>
      <c r="C41" s="59"/>
      <c r="D41" s="16"/>
      <c r="E41" s="17" t="s">
        <v>47</v>
      </c>
      <c r="F41" s="18"/>
      <c r="G41" s="22">
        <v>8515500</v>
      </c>
      <c r="H41" s="22">
        <v>7392000</v>
      </c>
      <c r="I41" s="22">
        <v>12093000</v>
      </c>
      <c r="J41" s="22">
        <v>7674000</v>
      </c>
      <c r="K41" s="22">
        <v>6800000</v>
      </c>
      <c r="L41" s="22">
        <v>7807500</v>
      </c>
      <c r="M41" s="22">
        <v>7931000</v>
      </c>
      <c r="N41" s="22">
        <v>9842000</v>
      </c>
      <c r="O41" s="22">
        <v>11936000</v>
      </c>
      <c r="P41" s="98">
        <v>10092500</v>
      </c>
      <c r="Q41" s="90">
        <v>3559000</v>
      </c>
      <c r="R41" s="106">
        <v>3969500</v>
      </c>
      <c r="S41" s="23">
        <f>SUM(G41:R41)</f>
        <v>97612000</v>
      </c>
      <c r="T41" s="122">
        <f>((((13202750+15821300+11401500+13512499+13549800+14401200+10903750+12261700)+26644750)+19981500)+19981500)+19981500</f>
        <v>191643749</v>
      </c>
      <c r="U41" s="21">
        <f t="shared" si="22"/>
        <v>0.50934090211311822</v>
      </c>
      <c r="V41" s="24">
        <f t="shared" si="23"/>
        <v>8134333.333333333</v>
      </c>
    </row>
    <row r="42" spans="1:22" x14ac:dyDescent="0.25">
      <c r="A42" s="15"/>
      <c r="B42" s="16"/>
      <c r="C42" s="59"/>
      <c r="D42" s="16"/>
      <c r="E42" s="17" t="s">
        <v>48</v>
      </c>
      <c r="F42" s="18"/>
      <c r="G42" s="22">
        <v>7691500</v>
      </c>
      <c r="H42" s="22">
        <v>7839000</v>
      </c>
      <c r="I42" s="22">
        <v>8395000</v>
      </c>
      <c r="J42" s="22">
        <v>5822500</v>
      </c>
      <c r="K42" s="22">
        <v>7777000</v>
      </c>
      <c r="L42" s="22">
        <v>5571000</v>
      </c>
      <c r="M42" s="22">
        <v>5870000</v>
      </c>
      <c r="N42" s="22">
        <v>9128500</v>
      </c>
      <c r="O42" s="22">
        <v>11333000</v>
      </c>
      <c r="P42" s="98">
        <v>12895000</v>
      </c>
      <c r="Q42" s="90">
        <v>6994000</v>
      </c>
      <c r="R42" s="106">
        <v>3903000</v>
      </c>
      <c r="S42" s="23">
        <f>SUM(G42:R42)</f>
        <v>93219500</v>
      </c>
      <c r="T42" s="119">
        <f>((((10235702+10425593+10359735+7969240+10182928+12037591+12317262+10652694)+17563586)+20487208)+20487208)+20487207.7608699</f>
        <v>163205954.76086989</v>
      </c>
      <c r="U42" s="21">
        <f t="shared" si="22"/>
        <v>0.57117707584006749</v>
      </c>
      <c r="V42" s="24">
        <f t="shared" si="23"/>
        <v>7768291.666666667</v>
      </c>
    </row>
    <row r="43" spans="1:22" ht="15.75" thickBot="1" x14ac:dyDescent="0.3">
      <c r="A43" s="26"/>
      <c r="B43" s="27"/>
      <c r="C43" s="61"/>
      <c r="D43" s="27"/>
      <c r="E43" s="28" t="s">
        <v>49</v>
      </c>
      <c r="F43" s="29"/>
      <c r="G43" s="32">
        <v>4929000</v>
      </c>
      <c r="H43" s="32">
        <v>6326000</v>
      </c>
      <c r="I43" s="32">
        <v>11059000</v>
      </c>
      <c r="J43" s="32">
        <v>10638000</v>
      </c>
      <c r="K43" s="32">
        <v>8140500</v>
      </c>
      <c r="L43" s="32">
        <v>9073500</v>
      </c>
      <c r="M43" s="32">
        <v>10412900</v>
      </c>
      <c r="N43" s="32">
        <v>11715000</v>
      </c>
      <c r="O43" s="32">
        <v>9551000</v>
      </c>
      <c r="P43" s="99">
        <v>5821000</v>
      </c>
      <c r="Q43" s="93">
        <v>5041000</v>
      </c>
      <c r="R43" s="109">
        <v>3741000</v>
      </c>
      <c r="S43" s="23">
        <f t="shared" si="21"/>
        <v>96447900</v>
      </c>
      <c r="T43" s="120">
        <f>((((5766402+11363787+12095535+11306640+14609328+14985041+15797113+15058744)+18199936)+14909658)+14909658)+14909657.7608699</f>
        <v>163911499.76086989</v>
      </c>
      <c r="U43" s="21">
        <f t="shared" si="22"/>
        <v>0.58841448062343171</v>
      </c>
      <c r="V43" s="24">
        <f t="shared" si="23"/>
        <v>8037325</v>
      </c>
    </row>
    <row r="44" spans="1:22" s="51" customFormat="1" ht="15.75" thickBot="1" x14ac:dyDescent="0.3">
      <c r="A44" s="43"/>
      <c r="B44" s="44"/>
      <c r="C44" s="60"/>
      <c r="D44" s="44"/>
      <c r="E44" s="45"/>
      <c r="F44" s="46"/>
      <c r="G44" s="52">
        <f t="shared" ref="G44:S44" si="24">SUM(G40:G43)</f>
        <v>21276000</v>
      </c>
      <c r="H44" s="52">
        <f t="shared" ref="H44:I44" si="25">SUM(H40:H43)</f>
        <v>21687000</v>
      </c>
      <c r="I44" s="52">
        <f t="shared" si="25"/>
        <v>31697000</v>
      </c>
      <c r="J44" s="52">
        <f t="shared" ref="J44:P44" si="26">SUM(J40:J43)</f>
        <v>24404500</v>
      </c>
      <c r="K44" s="52">
        <f t="shared" si="26"/>
        <v>22852500</v>
      </c>
      <c r="L44" s="52">
        <f t="shared" si="26"/>
        <v>22682000</v>
      </c>
      <c r="M44" s="52">
        <f t="shared" si="26"/>
        <v>24263900</v>
      </c>
      <c r="N44" s="52">
        <f t="shared" si="26"/>
        <v>30700500</v>
      </c>
      <c r="O44" s="52">
        <f t="shared" si="26"/>
        <v>33075000</v>
      </c>
      <c r="P44" s="52">
        <f t="shared" si="26"/>
        <v>29398500</v>
      </c>
      <c r="Q44" s="96">
        <f t="shared" ref="Q44:R44" si="27">SUM(Q40:Q43)</f>
        <v>15679000</v>
      </c>
      <c r="R44" s="52">
        <f t="shared" si="27"/>
        <v>11873500</v>
      </c>
      <c r="S44" s="48">
        <f t="shared" si="24"/>
        <v>289589400</v>
      </c>
      <c r="T44" s="48">
        <f>SUM(T40:T43)</f>
        <v>522370853.52173972</v>
      </c>
      <c r="U44" s="49">
        <f>S44/T44</f>
        <v>0.55437511118324301</v>
      </c>
      <c r="V44" s="48">
        <f>SUM(V40:V43)</f>
        <v>24132450</v>
      </c>
    </row>
    <row r="45" spans="1:22" x14ac:dyDescent="0.25">
      <c r="A45" s="8"/>
      <c r="B45" s="9"/>
      <c r="C45" s="58"/>
      <c r="D45" s="9"/>
      <c r="E45" s="10"/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0"/>
      <c r="Q45" s="11"/>
      <c r="R45" s="9"/>
      <c r="S45" s="13"/>
      <c r="T45" s="13"/>
      <c r="U45" s="14"/>
      <c r="V45" s="13"/>
    </row>
    <row r="46" spans="1:22" x14ac:dyDescent="0.25">
      <c r="A46" s="15">
        <v>5</v>
      </c>
      <c r="B46" s="16" t="s">
        <v>78</v>
      </c>
      <c r="C46" s="59" t="s">
        <v>80</v>
      </c>
      <c r="D46" s="38" t="s">
        <v>45</v>
      </c>
      <c r="E46" s="17"/>
      <c r="F46" s="18" t="s">
        <v>12</v>
      </c>
      <c r="G46" s="19"/>
      <c r="H46" s="19"/>
      <c r="I46" s="19"/>
      <c r="J46" s="19"/>
      <c r="K46" s="19"/>
      <c r="L46" s="19"/>
      <c r="M46" s="19"/>
      <c r="N46" s="19"/>
      <c r="O46" s="19"/>
      <c r="P46" s="17"/>
      <c r="Q46" s="18"/>
      <c r="R46" s="16"/>
      <c r="S46" s="20"/>
      <c r="T46" s="115"/>
      <c r="U46" s="21"/>
      <c r="V46" s="20"/>
    </row>
    <row r="47" spans="1:22" x14ac:dyDescent="0.25">
      <c r="A47" s="15"/>
      <c r="B47" s="16"/>
      <c r="C47" s="59" t="s">
        <v>83</v>
      </c>
      <c r="D47" s="16"/>
      <c r="E47" s="17" t="s">
        <v>50</v>
      </c>
      <c r="F47" s="18"/>
      <c r="G47" s="22">
        <v>25824500</v>
      </c>
      <c r="H47" s="22">
        <v>25152000</v>
      </c>
      <c r="I47" s="22">
        <v>31261000</v>
      </c>
      <c r="J47" s="22">
        <v>24864475</v>
      </c>
      <c r="K47" s="22">
        <v>17395000</v>
      </c>
      <c r="L47" s="22">
        <v>15879000</v>
      </c>
      <c r="M47" s="22">
        <v>17907000</v>
      </c>
      <c r="N47" s="22">
        <v>23326000</v>
      </c>
      <c r="O47" s="22">
        <v>34090000</v>
      </c>
      <c r="P47" s="98">
        <v>28494000</v>
      </c>
      <c r="Q47" s="90">
        <v>22622000</v>
      </c>
      <c r="R47" s="106">
        <v>24016000</v>
      </c>
      <c r="S47" s="23">
        <f t="shared" ref="S47:S50" si="28">SUM(G47:R47)</f>
        <v>290830975</v>
      </c>
      <c r="T47" s="118">
        <f>((((30796754+35300409+32020784+29517800+15928414+33511437+27649830+28769351)+27703319)+37057094)+37057094)+37057094.347828</f>
        <v>372369380.34782803</v>
      </c>
      <c r="U47" s="21">
        <f t="shared" ref="U47:U50" si="29">S47/T47</f>
        <v>0.78102816812793929</v>
      </c>
      <c r="V47" s="24">
        <f t="shared" ref="V47:V50" si="30">S47/12</f>
        <v>24235914.583333332</v>
      </c>
    </row>
    <row r="48" spans="1:22" x14ac:dyDescent="0.25">
      <c r="A48" s="15"/>
      <c r="B48" s="16"/>
      <c r="C48" s="59"/>
      <c r="D48" s="16"/>
      <c r="E48" s="17" t="s">
        <v>51</v>
      </c>
      <c r="F48" s="18"/>
      <c r="G48" s="22">
        <v>43357000</v>
      </c>
      <c r="H48" s="22">
        <v>40166000</v>
      </c>
      <c r="I48" s="22">
        <v>44169000</v>
      </c>
      <c r="J48" s="22">
        <v>41274000</v>
      </c>
      <c r="K48" s="22">
        <v>31670500</v>
      </c>
      <c r="L48" s="22">
        <v>32041000</v>
      </c>
      <c r="M48" s="22">
        <v>29684000</v>
      </c>
      <c r="N48" s="22">
        <v>40554500</v>
      </c>
      <c r="O48" s="22">
        <v>42788500</v>
      </c>
      <c r="P48" s="98">
        <v>42166000</v>
      </c>
      <c r="Q48" s="90">
        <v>33284000</v>
      </c>
      <c r="R48" s="106">
        <v>33434000</v>
      </c>
      <c r="S48" s="23">
        <f>SUM(G48:R48)</f>
        <v>454588500</v>
      </c>
      <c r="T48" s="118">
        <f>((((40923091+34568909+44285234+39420000+28681920+44115987+43705980+45878751)+49608719)+55532144)+55532144)+55532144.347828</f>
        <v>537785023.34782803</v>
      </c>
      <c r="U48" s="21">
        <f t="shared" si="29"/>
        <v>0.84529780537600008</v>
      </c>
      <c r="V48" s="24">
        <f t="shared" si="30"/>
        <v>37882375</v>
      </c>
    </row>
    <row r="49" spans="1:22" x14ac:dyDescent="0.25">
      <c r="A49" s="15"/>
      <c r="B49" s="16"/>
      <c r="C49" s="59"/>
      <c r="D49" s="16"/>
      <c r="E49" s="17" t="s">
        <v>52</v>
      </c>
      <c r="F49" s="18"/>
      <c r="G49" s="22">
        <v>87000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98">
        <v>0</v>
      </c>
      <c r="Q49" s="90">
        <v>0</v>
      </c>
      <c r="R49" s="106">
        <v>0</v>
      </c>
      <c r="S49" s="23">
        <f t="shared" si="28"/>
        <v>87000</v>
      </c>
      <c r="T49" s="119">
        <f>((((0+0+0+0+0+82500+110000+0)+0)+0)+0)+0</f>
        <v>192500</v>
      </c>
      <c r="U49" s="21">
        <f t="shared" si="29"/>
        <v>0.45194805194805193</v>
      </c>
      <c r="V49" s="24">
        <f t="shared" si="30"/>
        <v>7250</v>
      </c>
    </row>
    <row r="50" spans="1:22" ht="15.75" thickBot="1" x14ac:dyDescent="0.3">
      <c r="A50" s="15"/>
      <c r="B50" s="16"/>
      <c r="C50" s="59"/>
      <c r="D50" s="16"/>
      <c r="E50" s="28" t="s">
        <v>54</v>
      </c>
      <c r="F50" s="18"/>
      <c r="G50" s="22">
        <v>3800000</v>
      </c>
      <c r="H50" s="22">
        <v>3143000</v>
      </c>
      <c r="I50" s="22">
        <v>2930000</v>
      </c>
      <c r="J50" s="22">
        <v>765000</v>
      </c>
      <c r="K50" s="22">
        <v>3200000</v>
      </c>
      <c r="L50" s="22">
        <v>1220000</v>
      </c>
      <c r="M50" s="22">
        <v>2815000</v>
      </c>
      <c r="N50" s="22">
        <v>4655000</v>
      </c>
      <c r="O50" s="22">
        <v>6300000</v>
      </c>
      <c r="P50" s="98">
        <v>5270000</v>
      </c>
      <c r="Q50" s="90">
        <v>2520000</v>
      </c>
      <c r="R50" s="106">
        <v>2390000</v>
      </c>
      <c r="S50" s="23">
        <f t="shared" si="28"/>
        <v>39008000</v>
      </c>
      <c r="T50" s="120">
        <f>((((8123497+2751394+5095773+2513120+1088253+4439536+4145439+8164138)+3305088)+10655607)+10655607)+10655606.6521742</f>
        <v>71593058.652174205</v>
      </c>
      <c r="U50" s="21">
        <f t="shared" si="29"/>
        <v>0.54485729111694226</v>
      </c>
      <c r="V50" s="24">
        <f t="shared" si="30"/>
        <v>3250666.6666666665</v>
      </c>
    </row>
    <row r="51" spans="1:22" s="51" customFormat="1" ht="15.75" thickBot="1" x14ac:dyDescent="0.3">
      <c r="A51" s="43"/>
      <c r="B51" s="44"/>
      <c r="C51" s="60"/>
      <c r="D51" s="44"/>
      <c r="E51" s="45"/>
      <c r="F51" s="46"/>
      <c r="G51" s="52">
        <f>SUM(G47:G50)</f>
        <v>73068500</v>
      </c>
      <c r="H51" s="52">
        <f t="shared" ref="H51:I51" si="31">SUM(H47:H50)</f>
        <v>68461000</v>
      </c>
      <c r="I51" s="52">
        <f t="shared" si="31"/>
        <v>78360000</v>
      </c>
      <c r="J51" s="52">
        <f t="shared" ref="J51:P51" si="32">SUM(J47:J50)</f>
        <v>66903475</v>
      </c>
      <c r="K51" s="52">
        <f t="shared" si="32"/>
        <v>52265500</v>
      </c>
      <c r="L51" s="52">
        <f t="shared" si="32"/>
        <v>49140000</v>
      </c>
      <c r="M51" s="52">
        <f t="shared" si="32"/>
        <v>50406000</v>
      </c>
      <c r="N51" s="52">
        <f t="shared" si="32"/>
        <v>68535500</v>
      </c>
      <c r="O51" s="52">
        <f t="shared" si="32"/>
        <v>83178500</v>
      </c>
      <c r="P51" s="52">
        <f t="shared" si="32"/>
        <v>75930000</v>
      </c>
      <c r="Q51" s="96">
        <f t="shared" ref="Q51:R51" si="33">SUM(Q47:Q50)</f>
        <v>58426000</v>
      </c>
      <c r="R51" s="52">
        <f t="shared" si="33"/>
        <v>59840000</v>
      </c>
      <c r="S51" s="81">
        <f t="shared" ref="S51" si="34">SUM(S47:S50)</f>
        <v>784514475</v>
      </c>
      <c r="T51" s="52">
        <f>SUM(T47:T50)</f>
        <v>981939962.3478303</v>
      </c>
      <c r="U51" s="49">
        <f>S51/T51</f>
        <v>0.79894342330687551</v>
      </c>
      <c r="V51" s="52">
        <f>SUM(V47:V50)</f>
        <v>65376206.249999993</v>
      </c>
    </row>
    <row r="52" spans="1:22" x14ac:dyDescent="0.25">
      <c r="A52" s="8"/>
      <c r="B52" s="9"/>
      <c r="C52" s="58"/>
      <c r="D52" s="9"/>
      <c r="E52" s="10"/>
      <c r="F52" s="11"/>
      <c r="G52" s="33"/>
      <c r="H52" s="33"/>
      <c r="I52" s="33"/>
      <c r="J52" s="33"/>
      <c r="K52" s="33"/>
      <c r="L52" s="33"/>
      <c r="M52" s="33"/>
      <c r="N52" s="33"/>
      <c r="O52" s="33"/>
      <c r="P52" s="100"/>
      <c r="Q52" s="94"/>
      <c r="R52" s="110"/>
      <c r="S52" s="13"/>
      <c r="T52" s="13"/>
      <c r="U52" s="14"/>
      <c r="V52" s="13"/>
    </row>
    <row r="53" spans="1:22" x14ac:dyDescent="0.25">
      <c r="A53" s="15">
        <v>6</v>
      </c>
      <c r="B53" s="16" t="s">
        <v>78</v>
      </c>
      <c r="C53" s="59" t="s">
        <v>80</v>
      </c>
      <c r="D53" s="38" t="s">
        <v>26</v>
      </c>
      <c r="E53" s="17"/>
      <c r="F53" s="34" t="s">
        <v>8</v>
      </c>
      <c r="G53" s="19"/>
      <c r="H53" s="19"/>
      <c r="I53" s="19"/>
      <c r="J53" s="19"/>
      <c r="K53" s="19"/>
      <c r="L53" s="19"/>
      <c r="M53" s="19"/>
      <c r="N53" s="19"/>
      <c r="O53" s="19"/>
      <c r="P53" s="17"/>
      <c r="Q53" s="18"/>
      <c r="R53" s="16"/>
      <c r="S53" s="20"/>
      <c r="T53" s="115"/>
      <c r="U53" s="21"/>
      <c r="V53" s="20"/>
    </row>
    <row r="54" spans="1:22" x14ac:dyDescent="0.25">
      <c r="A54" s="15"/>
      <c r="B54" s="16" t="s">
        <v>9</v>
      </c>
      <c r="C54" s="59" t="s">
        <v>27</v>
      </c>
      <c r="D54" s="16"/>
      <c r="E54" s="17" t="s">
        <v>28</v>
      </c>
      <c r="F54" s="18" t="s">
        <v>12</v>
      </c>
      <c r="G54" s="22">
        <v>8355500</v>
      </c>
      <c r="H54" s="22">
        <v>7370000</v>
      </c>
      <c r="I54" s="22">
        <v>6901000</v>
      </c>
      <c r="J54" s="22">
        <v>6121000</v>
      </c>
      <c r="K54" s="22">
        <v>5023000</v>
      </c>
      <c r="L54" s="22">
        <v>3703000</v>
      </c>
      <c r="M54" s="22">
        <v>3838000</v>
      </c>
      <c r="N54" s="22">
        <v>5721000</v>
      </c>
      <c r="O54" s="22">
        <v>5382000</v>
      </c>
      <c r="P54" s="98">
        <v>6883500</v>
      </c>
      <c r="Q54" s="90">
        <v>6142000</v>
      </c>
      <c r="R54" s="106">
        <v>6523000</v>
      </c>
      <c r="S54" s="23">
        <f t="shared" ref="S54:S58" si="35">SUM(G54:R54)</f>
        <v>71963000</v>
      </c>
      <c r="T54" s="118">
        <f>((((9413800+10582000+11874500+10195900+8582200+9407220+9661300+8206000)+6058250)+12139600)+10550000)+10550000</f>
        <v>117220770</v>
      </c>
      <c r="U54" s="21">
        <f>S54/T54</f>
        <v>0.61390997516907631</v>
      </c>
      <c r="V54" s="24">
        <f t="shared" ref="V54:V58" si="36">S54/12</f>
        <v>5996916.666666667</v>
      </c>
    </row>
    <row r="55" spans="1:22" x14ac:dyDescent="0.25">
      <c r="A55" s="15"/>
      <c r="B55" s="16"/>
      <c r="C55" s="59" t="s">
        <v>83</v>
      </c>
      <c r="D55" s="16"/>
      <c r="E55" s="17" t="s">
        <v>29</v>
      </c>
      <c r="F55" s="18"/>
      <c r="G55" s="22">
        <v>17856000</v>
      </c>
      <c r="H55" s="22">
        <v>15130800</v>
      </c>
      <c r="I55" s="22">
        <v>19582000</v>
      </c>
      <c r="J55" s="22">
        <v>5823500</v>
      </c>
      <c r="K55" s="22">
        <v>8517500</v>
      </c>
      <c r="L55" s="22">
        <v>5963000</v>
      </c>
      <c r="M55" s="22">
        <v>5647000</v>
      </c>
      <c r="N55" s="22">
        <v>12973000</v>
      </c>
      <c r="O55" s="22">
        <v>14042500</v>
      </c>
      <c r="P55" s="98">
        <v>16244000</v>
      </c>
      <c r="Q55" s="90">
        <v>10916000</v>
      </c>
      <c r="R55" s="106">
        <v>9386400</v>
      </c>
      <c r="S55" s="23">
        <f t="shared" si="35"/>
        <v>142081700</v>
      </c>
      <c r="T55" s="118">
        <f>((((20640900+18937600+24816000+17487800+17822800+15188800+13316600+13163150)+16843090)+15748500)+15565000)+13255000</f>
        <v>202785240</v>
      </c>
      <c r="U55" s="21">
        <f t="shared" ref="U55:U58" si="37">S55/T55</f>
        <v>0.70065109275211546</v>
      </c>
      <c r="V55" s="24">
        <f t="shared" si="36"/>
        <v>11840141.666666666</v>
      </c>
    </row>
    <row r="56" spans="1:22" x14ac:dyDescent="0.25">
      <c r="A56" s="15"/>
      <c r="B56" s="16"/>
      <c r="C56" s="59"/>
      <c r="D56" s="16"/>
      <c r="E56" s="17" t="s">
        <v>30</v>
      </c>
      <c r="F56" s="18"/>
      <c r="G56" s="22">
        <v>3798000</v>
      </c>
      <c r="H56" s="22">
        <v>5232000</v>
      </c>
      <c r="I56" s="22">
        <v>3885000</v>
      </c>
      <c r="J56" s="22">
        <v>4076000</v>
      </c>
      <c r="K56" s="22">
        <v>2462000</v>
      </c>
      <c r="L56" s="22">
        <v>3170000</v>
      </c>
      <c r="M56" s="22">
        <v>3080000</v>
      </c>
      <c r="N56" s="22">
        <v>3667000</v>
      </c>
      <c r="O56" s="22">
        <v>2396000</v>
      </c>
      <c r="P56" s="98">
        <v>3839000</v>
      </c>
      <c r="Q56" s="90">
        <v>4337000</v>
      </c>
      <c r="R56" s="106">
        <v>2690500</v>
      </c>
      <c r="S56" s="23">
        <f>SUM(G56:R56)</f>
        <v>42632500</v>
      </c>
      <c r="T56" s="122">
        <f>((((3038750+1682780+3294500+2152150+2127400+2664200+2030600+3322000)+4395600)+4129400)+2310000)+2656500</f>
        <v>33803880</v>
      </c>
      <c r="U56" s="21">
        <f t="shared" si="37"/>
        <v>1.2611717944803968</v>
      </c>
      <c r="V56" s="24">
        <f t="shared" si="36"/>
        <v>3552708.3333333335</v>
      </c>
    </row>
    <row r="57" spans="1:22" x14ac:dyDescent="0.25">
      <c r="A57" s="26"/>
      <c r="B57" s="27"/>
      <c r="C57" s="61"/>
      <c r="D57" s="27"/>
      <c r="E57" s="28" t="s">
        <v>31</v>
      </c>
      <c r="F57" s="29"/>
      <c r="G57" s="32">
        <v>4264000</v>
      </c>
      <c r="H57" s="32">
        <v>4573000</v>
      </c>
      <c r="I57" s="32">
        <v>4472000</v>
      </c>
      <c r="J57" s="32">
        <v>2447500</v>
      </c>
      <c r="K57" s="32">
        <v>3497000</v>
      </c>
      <c r="L57" s="32">
        <v>1761000</v>
      </c>
      <c r="M57" s="32">
        <v>2994000</v>
      </c>
      <c r="N57" s="32">
        <v>3530000</v>
      </c>
      <c r="O57" s="32">
        <v>4687500</v>
      </c>
      <c r="P57" s="99">
        <v>4634000</v>
      </c>
      <c r="Q57" s="93">
        <v>3623500</v>
      </c>
      <c r="R57" s="109">
        <v>3476000</v>
      </c>
      <c r="S57" s="23">
        <f t="shared" si="35"/>
        <v>43959500</v>
      </c>
      <c r="T57" s="122">
        <f>((((2899600+3154800+5454350+2724700+2997500+3184500+2755500+4170100)+4110700)+4121700)+3465000)+3465000</f>
        <v>42503450</v>
      </c>
      <c r="U57" s="21">
        <f t="shared" si="37"/>
        <v>1.0342572191198596</v>
      </c>
      <c r="V57" s="24">
        <f t="shared" si="36"/>
        <v>3663291.6666666665</v>
      </c>
    </row>
    <row r="58" spans="1:22" ht="15.75" thickBot="1" x14ac:dyDescent="0.3">
      <c r="A58" s="26"/>
      <c r="B58" s="27"/>
      <c r="C58" s="61"/>
      <c r="D58" s="27"/>
      <c r="E58" s="28" t="s">
        <v>24</v>
      </c>
      <c r="F58" s="29"/>
      <c r="G58" s="30">
        <v>1110000</v>
      </c>
      <c r="H58" s="30">
        <v>1262500</v>
      </c>
      <c r="I58" s="30">
        <v>390000</v>
      </c>
      <c r="J58" s="30">
        <v>50000</v>
      </c>
      <c r="K58" s="30">
        <v>1365000</v>
      </c>
      <c r="L58" s="30">
        <v>1161000</v>
      </c>
      <c r="M58" s="30">
        <v>1370000</v>
      </c>
      <c r="N58" s="30">
        <v>730000</v>
      </c>
      <c r="O58" s="30">
        <v>1090000</v>
      </c>
      <c r="P58" s="101">
        <v>4460000</v>
      </c>
      <c r="Q58" s="95">
        <v>4480000</v>
      </c>
      <c r="R58" s="111">
        <v>3385000</v>
      </c>
      <c r="S58" s="23">
        <f t="shared" si="35"/>
        <v>20853500</v>
      </c>
      <c r="T58" s="117">
        <f>((((550000+880000+363000+121000+0+0+242000+907500)+621500)+462000)+1155000)+1039500</f>
        <v>6341500</v>
      </c>
      <c r="U58" s="21">
        <f t="shared" si="37"/>
        <v>3.2884175668217299</v>
      </c>
      <c r="V58" s="24">
        <f t="shared" si="36"/>
        <v>1737791.6666666667</v>
      </c>
    </row>
    <row r="59" spans="1:22" s="51" customFormat="1" ht="15.75" thickBot="1" x14ac:dyDescent="0.3">
      <c r="A59" s="43"/>
      <c r="B59" s="44"/>
      <c r="C59" s="60"/>
      <c r="D59" s="44"/>
      <c r="E59" s="45"/>
      <c r="F59" s="46"/>
      <c r="G59" s="84">
        <f t="shared" ref="G59" si="38">SUM(G54:G58)</f>
        <v>35383500</v>
      </c>
      <c r="H59" s="84">
        <f t="shared" ref="H59:Q59" si="39">SUM(H54:H58)</f>
        <v>33568300</v>
      </c>
      <c r="I59" s="84">
        <f t="shared" si="39"/>
        <v>35230000</v>
      </c>
      <c r="J59" s="84">
        <f t="shared" si="39"/>
        <v>18518000</v>
      </c>
      <c r="K59" s="84">
        <f t="shared" si="39"/>
        <v>20864500</v>
      </c>
      <c r="L59" s="84">
        <f t="shared" si="39"/>
        <v>15758000</v>
      </c>
      <c r="M59" s="84">
        <f t="shared" si="39"/>
        <v>16929000</v>
      </c>
      <c r="N59" s="84">
        <f t="shared" si="39"/>
        <v>26621000</v>
      </c>
      <c r="O59" s="84">
        <f t="shared" si="39"/>
        <v>27598000</v>
      </c>
      <c r="P59" s="84">
        <f t="shared" si="39"/>
        <v>36060500</v>
      </c>
      <c r="Q59" s="104">
        <f t="shared" si="39"/>
        <v>29498500</v>
      </c>
      <c r="R59" s="84">
        <f>SUM(R54:R58)</f>
        <v>25460900</v>
      </c>
      <c r="S59" s="48">
        <f t="shared" ref="S59:T59" si="40">SUM(S54:S58)</f>
        <v>321490200</v>
      </c>
      <c r="T59" s="48">
        <f t="shared" si="40"/>
        <v>402654840</v>
      </c>
      <c r="U59" s="49">
        <f>S59/T59</f>
        <v>0.79842626503632741</v>
      </c>
      <c r="V59" s="48">
        <f>SUM(V54:V58)</f>
        <v>26790850</v>
      </c>
    </row>
    <row r="60" spans="1:22" s="51" customFormat="1" ht="15.75" thickBot="1" x14ac:dyDescent="0.3">
      <c r="A60" s="54"/>
      <c r="B60" s="70"/>
      <c r="C60" s="71"/>
      <c r="D60" s="70"/>
      <c r="E60" s="72"/>
      <c r="F60" s="55"/>
      <c r="G60" s="73">
        <f>G44+G51+G59</f>
        <v>129728000</v>
      </c>
      <c r="H60" s="73">
        <f t="shared" ref="H60:P60" si="41">H44+H51+H59</f>
        <v>123716300</v>
      </c>
      <c r="I60" s="73">
        <f t="shared" si="41"/>
        <v>145287000</v>
      </c>
      <c r="J60" s="73">
        <f t="shared" si="41"/>
        <v>109825975</v>
      </c>
      <c r="K60" s="73">
        <f t="shared" si="41"/>
        <v>95982500</v>
      </c>
      <c r="L60" s="73">
        <f t="shared" si="41"/>
        <v>87580000</v>
      </c>
      <c r="M60" s="73">
        <f t="shared" si="41"/>
        <v>91598900</v>
      </c>
      <c r="N60" s="73">
        <f t="shared" si="41"/>
        <v>125857000</v>
      </c>
      <c r="O60" s="73">
        <f t="shared" si="41"/>
        <v>143851500</v>
      </c>
      <c r="P60" s="73">
        <f t="shared" si="41"/>
        <v>141389000</v>
      </c>
      <c r="Q60" s="73">
        <f>Q44+Q51+Q59</f>
        <v>103603500</v>
      </c>
      <c r="R60" s="73">
        <f>R44+R51+R59</f>
        <v>97174400</v>
      </c>
      <c r="S60" s="73">
        <f>S44+S51+S59</f>
        <v>1395594075</v>
      </c>
      <c r="T60" s="73">
        <f>T44+T51+T59</f>
        <v>1906965655.86957</v>
      </c>
      <c r="U60" s="80">
        <f>S60/T60</f>
        <v>0.73184017273956292</v>
      </c>
      <c r="V60" s="73">
        <f>V44+V51+V59</f>
        <v>116299506.25</v>
      </c>
    </row>
    <row r="61" spans="1:22" x14ac:dyDescent="0.25">
      <c r="A61" s="8"/>
      <c r="B61" s="9"/>
      <c r="C61" s="58"/>
      <c r="D61" s="9"/>
      <c r="E61" s="10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0"/>
      <c r="Q61" s="11"/>
      <c r="R61" s="9"/>
      <c r="S61" s="23"/>
      <c r="T61" s="23"/>
      <c r="U61" s="21"/>
      <c r="V61" s="23"/>
    </row>
    <row r="62" spans="1:22" x14ac:dyDescent="0.25">
      <c r="A62" s="8">
        <v>7</v>
      </c>
      <c r="B62" s="9"/>
      <c r="C62" s="58"/>
      <c r="D62" s="38" t="s">
        <v>99</v>
      </c>
      <c r="E62" s="1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0"/>
      <c r="Q62" s="11"/>
      <c r="R62" s="9"/>
      <c r="S62" s="23"/>
      <c r="T62" s="121"/>
      <c r="U62" s="21"/>
      <c r="V62" s="23"/>
    </row>
    <row r="63" spans="1:22" x14ac:dyDescent="0.25">
      <c r="A63" s="8"/>
      <c r="B63" s="9"/>
      <c r="C63" s="58"/>
      <c r="D63" s="88"/>
      <c r="E63" s="17" t="s">
        <v>75</v>
      </c>
      <c r="F63" s="12"/>
      <c r="G63" s="22">
        <v>0</v>
      </c>
      <c r="H63" s="22">
        <v>0</v>
      </c>
      <c r="I63" s="22">
        <v>2650000</v>
      </c>
      <c r="J63" s="22">
        <v>150000</v>
      </c>
      <c r="K63" s="22">
        <v>0</v>
      </c>
      <c r="L63" s="22">
        <v>2100000</v>
      </c>
      <c r="M63" s="22">
        <v>750000</v>
      </c>
      <c r="N63" s="22">
        <v>0</v>
      </c>
      <c r="O63" s="22">
        <v>0</v>
      </c>
      <c r="P63" s="98">
        <v>1000000</v>
      </c>
      <c r="Q63" s="90">
        <v>750000</v>
      </c>
      <c r="R63" s="106">
        <v>250000</v>
      </c>
      <c r="S63" s="23">
        <f t="shared" ref="S63:S73" si="42">SUM(G63:R63)</f>
        <v>7650000</v>
      </c>
      <c r="T63" s="118">
        <f>((((0+6000000+1000000+0+0+0+6000000+1000000)+0)+0)+0)+0</f>
        <v>14000000</v>
      </c>
      <c r="U63" s="21">
        <f>S63/T63</f>
        <v>0.54642857142857137</v>
      </c>
      <c r="V63" s="24">
        <f t="shared" ref="V63:V73" si="43">S63/12</f>
        <v>637500</v>
      </c>
    </row>
    <row r="64" spans="1:22" x14ac:dyDescent="0.25">
      <c r="A64" s="26"/>
      <c r="B64" s="27"/>
      <c r="C64" s="61"/>
      <c r="D64" s="27"/>
      <c r="E64" s="17" t="s">
        <v>74</v>
      </c>
      <c r="F64" s="29"/>
      <c r="G64" s="32">
        <v>9300000</v>
      </c>
      <c r="H64" s="32">
        <v>1309000</v>
      </c>
      <c r="I64" s="32">
        <v>0</v>
      </c>
      <c r="J64" s="32">
        <v>4450000</v>
      </c>
      <c r="K64" s="32">
        <v>1200000</v>
      </c>
      <c r="L64" s="32">
        <v>0</v>
      </c>
      <c r="M64" s="32">
        <v>17600000</v>
      </c>
      <c r="N64" s="32">
        <v>6400000</v>
      </c>
      <c r="O64" s="32">
        <v>18600000</v>
      </c>
      <c r="P64" s="99">
        <v>800000</v>
      </c>
      <c r="Q64" s="93">
        <v>6000000</v>
      </c>
      <c r="R64" s="109">
        <v>0</v>
      </c>
      <c r="S64" s="23">
        <f t="shared" si="42"/>
        <v>65659000</v>
      </c>
      <c r="T64" s="118">
        <f>((((21050000+17200000+0+0+0+21050000+17200000+0)+0)+0)+11100000)+10700000</f>
        <v>98300000</v>
      </c>
      <c r="U64" s="21">
        <f t="shared" ref="U64" si="44">S64/T64</f>
        <v>0.66794506612410987</v>
      </c>
      <c r="V64" s="24">
        <f t="shared" si="43"/>
        <v>5471583.333333333</v>
      </c>
    </row>
    <row r="65" spans="1:23" x14ac:dyDescent="0.25">
      <c r="A65" s="15"/>
      <c r="B65" s="16"/>
      <c r="C65" s="59"/>
      <c r="D65" s="16"/>
      <c r="E65" s="28" t="s">
        <v>53</v>
      </c>
      <c r="F65" s="18"/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98">
        <v>0</v>
      </c>
      <c r="Q65" s="90">
        <v>0</v>
      </c>
      <c r="R65" s="106">
        <v>0</v>
      </c>
      <c r="S65" s="23">
        <f t="shared" si="42"/>
        <v>0</v>
      </c>
      <c r="T65" s="119">
        <f>((((0+1500000+0+0+0+0+1500000+0)+0)+0)+0)+1500000</f>
        <v>4500000</v>
      </c>
      <c r="U65" s="21">
        <f>S65/T65</f>
        <v>0</v>
      </c>
      <c r="V65" s="24">
        <f t="shared" si="43"/>
        <v>0</v>
      </c>
    </row>
    <row r="66" spans="1:23" x14ac:dyDescent="0.25">
      <c r="A66" s="8"/>
      <c r="B66" s="9"/>
      <c r="C66" s="58"/>
      <c r="D66" s="16"/>
      <c r="E66" s="28" t="s">
        <v>94</v>
      </c>
      <c r="F66" s="11"/>
      <c r="G66" s="22">
        <v>10565000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113">
        <v>0</v>
      </c>
      <c r="N66" s="22">
        <v>8752000</v>
      </c>
      <c r="O66" s="22">
        <v>0</v>
      </c>
      <c r="P66" s="98">
        <v>0</v>
      </c>
      <c r="Q66" s="90">
        <v>0</v>
      </c>
      <c r="R66" s="106">
        <v>0</v>
      </c>
      <c r="S66" s="23">
        <f t="shared" si="42"/>
        <v>19317000</v>
      </c>
      <c r="T66" s="118">
        <f>((((14298750+0+0+0+9412650+6648750+0+0)+0)+16061400)+0)+0</f>
        <v>46421550</v>
      </c>
      <c r="U66" s="21">
        <f t="shared" ref="U66:U72" si="45">S66/T66</f>
        <v>0.41612139189665143</v>
      </c>
      <c r="V66" s="24">
        <f t="shared" si="43"/>
        <v>1609750</v>
      </c>
    </row>
    <row r="67" spans="1:23" x14ac:dyDescent="0.25">
      <c r="A67" s="8"/>
      <c r="B67" s="9"/>
      <c r="C67" s="58"/>
      <c r="D67" s="16"/>
      <c r="E67" s="28" t="s">
        <v>95</v>
      </c>
      <c r="F67" s="11"/>
      <c r="G67" s="22">
        <v>4325000</v>
      </c>
      <c r="H67" s="22">
        <v>0</v>
      </c>
      <c r="I67" s="22">
        <v>3500000</v>
      </c>
      <c r="J67" s="22">
        <v>0</v>
      </c>
      <c r="K67" s="22">
        <v>0</v>
      </c>
      <c r="L67" s="22">
        <v>0</v>
      </c>
      <c r="M67" s="22">
        <v>0</v>
      </c>
      <c r="N67" s="22">
        <v>5500000</v>
      </c>
      <c r="O67" s="22">
        <v>8250000</v>
      </c>
      <c r="P67" s="98">
        <v>0</v>
      </c>
      <c r="Q67" s="90">
        <v>0</v>
      </c>
      <c r="R67" s="106">
        <v>0</v>
      </c>
      <c r="S67" s="23">
        <f t="shared" si="42"/>
        <v>21575000</v>
      </c>
      <c r="T67" s="116">
        <f>((((0+0+0+7875000+7875000+0+0+0)+7875000)+7875000)+0)+0</f>
        <v>31500000</v>
      </c>
      <c r="U67" s="21">
        <f>S67/T67</f>
        <v>0.68492063492063493</v>
      </c>
      <c r="V67" s="24">
        <f t="shared" si="43"/>
        <v>1797916.6666666667</v>
      </c>
    </row>
    <row r="68" spans="1:23" x14ac:dyDescent="0.25">
      <c r="A68" s="8"/>
      <c r="B68" s="9"/>
      <c r="C68" s="58"/>
      <c r="D68" s="16"/>
      <c r="E68" s="28" t="s">
        <v>119</v>
      </c>
      <c r="F68" s="11"/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8262500</v>
      </c>
      <c r="O68" s="22">
        <v>4895000</v>
      </c>
      <c r="P68" s="98">
        <v>1500000</v>
      </c>
      <c r="Q68" s="90">
        <v>1750000</v>
      </c>
      <c r="R68" s="106">
        <v>0</v>
      </c>
      <c r="S68" s="23">
        <f>SUM(G68:R68)</f>
        <v>16407500</v>
      </c>
      <c r="T68" s="118">
        <f>((((0+0+0+0+0+0+0+0)+0)+0)+0)+0</f>
        <v>0</v>
      </c>
      <c r="U68" s="21" t="e">
        <f>S68/T68</f>
        <v>#DIV/0!</v>
      </c>
      <c r="V68" s="24">
        <f t="shared" si="43"/>
        <v>1367291.6666666667</v>
      </c>
    </row>
    <row r="69" spans="1:23" x14ac:dyDescent="0.25">
      <c r="A69" s="8"/>
      <c r="B69" s="9"/>
      <c r="C69" s="58"/>
      <c r="D69" s="16"/>
      <c r="E69" s="28" t="s">
        <v>96</v>
      </c>
      <c r="F69" s="11"/>
      <c r="G69" s="22">
        <v>1409600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1400000</v>
      </c>
      <c r="N69" s="22">
        <v>0</v>
      </c>
      <c r="O69" s="22">
        <v>0</v>
      </c>
      <c r="P69" s="98">
        <v>0</v>
      </c>
      <c r="Q69" s="90">
        <v>0</v>
      </c>
      <c r="R69" s="106">
        <v>0</v>
      </c>
      <c r="S69" s="23">
        <f t="shared" si="42"/>
        <v>2809600</v>
      </c>
      <c r="T69" s="118">
        <f>((((0+0+0+0+1800000+0+0+0)+0)+1800000)+0)+0</f>
        <v>3600000</v>
      </c>
      <c r="U69" s="21">
        <f t="shared" si="45"/>
        <v>0.7804444444444445</v>
      </c>
      <c r="V69" s="24">
        <f t="shared" si="43"/>
        <v>234133.33333333334</v>
      </c>
    </row>
    <row r="70" spans="1:23" x14ac:dyDescent="0.25">
      <c r="A70" s="8"/>
      <c r="B70" s="9"/>
      <c r="C70" s="58"/>
      <c r="D70" s="16"/>
      <c r="E70" s="28" t="s">
        <v>113</v>
      </c>
      <c r="F70" s="11"/>
      <c r="G70" s="22">
        <v>0</v>
      </c>
      <c r="H70" s="22">
        <v>0</v>
      </c>
      <c r="I70" s="22">
        <v>0</v>
      </c>
      <c r="J70" s="22">
        <v>8970000</v>
      </c>
      <c r="K70" s="22">
        <v>9235500</v>
      </c>
      <c r="L70" s="22">
        <v>4350000</v>
      </c>
      <c r="M70" s="22">
        <v>0</v>
      </c>
      <c r="N70" s="22">
        <v>8360000</v>
      </c>
      <c r="O70" s="22">
        <v>4900000</v>
      </c>
      <c r="P70" s="98">
        <v>0</v>
      </c>
      <c r="Q70" s="90">
        <v>0</v>
      </c>
      <c r="R70" s="106">
        <v>9600000</v>
      </c>
      <c r="S70" s="23">
        <f t="shared" si="42"/>
        <v>45415500</v>
      </c>
      <c r="T70" s="122">
        <f>((((0+0+8887500+8662500+8662500+0+0+8887500)+8662500)+8662500)+0)+3375000</f>
        <v>55800000</v>
      </c>
      <c r="U70" s="21">
        <f t="shared" si="45"/>
        <v>0.81389784946236554</v>
      </c>
      <c r="V70" s="24">
        <f t="shared" si="43"/>
        <v>3784625</v>
      </c>
    </row>
    <row r="71" spans="1:23" x14ac:dyDescent="0.25">
      <c r="A71" s="8"/>
      <c r="B71" s="9"/>
      <c r="C71" s="58"/>
      <c r="D71" s="16"/>
      <c r="E71" s="28" t="s">
        <v>97</v>
      </c>
      <c r="F71" s="11"/>
      <c r="G71" s="22">
        <v>1620000</v>
      </c>
      <c r="H71" s="22">
        <v>0</v>
      </c>
      <c r="I71" s="22">
        <v>0</v>
      </c>
      <c r="J71" s="22">
        <v>0</v>
      </c>
      <c r="K71" s="22">
        <v>0</v>
      </c>
      <c r="L71" s="22">
        <v>1800000</v>
      </c>
      <c r="M71" s="22">
        <v>0</v>
      </c>
      <c r="N71" s="22">
        <v>0</v>
      </c>
      <c r="O71" s="22">
        <v>0</v>
      </c>
      <c r="P71" s="98">
        <v>0</v>
      </c>
      <c r="Q71" s="90">
        <v>0</v>
      </c>
      <c r="R71" s="106">
        <v>1800000</v>
      </c>
      <c r="S71" s="23">
        <f t="shared" si="42"/>
        <v>5220000</v>
      </c>
      <c r="T71" s="122">
        <f>((((0+0+0+0+0+0+0+0)+0)+0)+0)+0</f>
        <v>0</v>
      </c>
      <c r="U71" s="21" t="e">
        <f t="shared" si="45"/>
        <v>#DIV/0!</v>
      </c>
      <c r="V71" s="24">
        <f t="shared" si="43"/>
        <v>435000</v>
      </c>
    </row>
    <row r="72" spans="1:23" x14ac:dyDescent="0.25">
      <c r="A72" s="8"/>
      <c r="B72" s="9"/>
      <c r="C72" s="58"/>
      <c r="D72" s="16"/>
      <c r="E72" s="41" t="s">
        <v>56</v>
      </c>
      <c r="F72" s="11"/>
      <c r="G72" s="22">
        <v>953000</v>
      </c>
      <c r="H72" s="22">
        <v>420000</v>
      </c>
      <c r="I72" s="22">
        <v>237500</v>
      </c>
      <c r="J72" s="22">
        <v>370000</v>
      </c>
      <c r="K72" s="22">
        <v>164500</v>
      </c>
      <c r="L72" s="22">
        <v>465000</v>
      </c>
      <c r="M72" s="22">
        <v>475000</v>
      </c>
      <c r="N72" s="22">
        <v>145000</v>
      </c>
      <c r="O72" s="22">
        <v>485000</v>
      </c>
      <c r="P72" s="98">
        <v>390000</v>
      </c>
      <c r="Q72" s="90">
        <v>0</v>
      </c>
      <c r="R72" s="106">
        <v>215000</v>
      </c>
      <c r="S72" s="23">
        <f t="shared" si="42"/>
        <v>4320000</v>
      </c>
      <c r="T72" s="122">
        <f>((((0+10000000+0+0+0+0+0+10000000)+0)+0)+0)+0</f>
        <v>20000000</v>
      </c>
      <c r="U72" s="21">
        <f t="shared" si="45"/>
        <v>0.216</v>
      </c>
      <c r="V72" s="24">
        <f t="shared" si="43"/>
        <v>360000</v>
      </c>
    </row>
    <row r="73" spans="1:23" ht="15.75" thickBot="1" x14ac:dyDescent="0.3">
      <c r="A73" s="8"/>
      <c r="B73" s="9"/>
      <c r="C73" s="58"/>
      <c r="E73" s="114" t="s">
        <v>76</v>
      </c>
      <c r="F73" s="12"/>
      <c r="G73" s="22">
        <v>0</v>
      </c>
      <c r="H73" s="22">
        <v>0</v>
      </c>
      <c r="I73" s="22">
        <v>255000</v>
      </c>
      <c r="J73" s="22">
        <v>425000</v>
      </c>
      <c r="K73" s="22">
        <v>1005000</v>
      </c>
      <c r="L73" s="22">
        <v>1235000</v>
      </c>
      <c r="M73" s="22">
        <v>0</v>
      </c>
      <c r="N73" s="22">
        <v>0</v>
      </c>
      <c r="O73" s="22">
        <v>0</v>
      </c>
      <c r="P73" s="98">
        <v>0</v>
      </c>
      <c r="Q73" s="90">
        <v>0</v>
      </c>
      <c r="R73" s="106">
        <v>130000</v>
      </c>
      <c r="S73" s="23">
        <f t="shared" si="42"/>
        <v>3050000</v>
      </c>
      <c r="T73" s="119">
        <f>((((0+0+0+0+0+0+0+0)+0)+0)+0)+0</f>
        <v>0</v>
      </c>
      <c r="U73" s="21" t="e">
        <f t="shared" ref="U73:U91" si="46">S73/T73</f>
        <v>#DIV/0!</v>
      </c>
      <c r="V73" s="24">
        <f t="shared" si="43"/>
        <v>254166.66666666666</v>
      </c>
    </row>
    <row r="74" spans="1:23" ht="15.75" thickBot="1" x14ac:dyDescent="0.3">
      <c r="A74" s="54"/>
      <c r="B74" s="70"/>
      <c r="C74" s="71"/>
      <c r="D74" s="70"/>
      <c r="E74" s="72"/>
      <c r="F74" s="55"/>
      <c r="G74" s="77">
        <f>SUM(G63:G73)</f>
        <v>28172600</v>
      </c>
      <c r="H74" s="77">
        <f t="shared" ref="H74:T74" si="47">SUM(H63:H73)</f>
        <v>1729000</v>
      </c>
      <c r="I74" s="77">
        <f t="shared" ref="I74" si="48">SUM(I63:I73)</f>
        <v>6642500</v>
      </c>
      <c r="J74" s="77">
        <f t="shared" ref="J74:P74" si="49">SUM(J63:J73)</f>
        <v>14365000</v>
      </c>
      <c r="K74" s="77">
        <f t="shared" si="49"/>
        <v>11605000</v>
      </c>
      <c r="L74" s="77">
        <f t="shared" si="49"/>
        <v>9950000</v>
      </c>
      <c r="M74" s="77">
        <f t="shared" si="49"/>
        <v>20225000</v>
      </c>
      <c r="N74" s="77">
        <f t="shared" si="49"/>
        <v>37419500</v>
      </c>
      <c r="O74" s="77">
        <f t="shared" si="49"/>
        <v>37130000</v>
      </c>
      <c r="P74" s="77">
        <f t="shared" si="49"/>
        <v>3690000</v>
      </c>
      <c r="Q74" s="64">
        <f t="shared" ref="Q74:R74" si="50">SUM(Q63:Q73)</f>
        <v>8500000</v>
      </c>
      <c r="R74" s="73">
        <f t="shared" si="50"/>
        <v>11995000</v>
      </c>
      <c r="S74" s="77">
        <f>SUM(S63:S73)</f>
        <v>191423600</v>
      </c>
      <c r="T74" s="77">
        <f t="shared" si="47"/>
        <v>274121550</v>
      </c>
      <c r="U74" s="80">
        <f>S74/T74</f>
        <v>0.6983164950001195</v>
      </c>
      <c r="V74" s="77">
        <f>SUM(V63:V73)</f>
        <v>15951966.666666666</v>
      </c>
      <c r="W74" s="85" t="s">
        <v>88</v>
      </c>
    </row>
    <row r="75" spans="1:23" x14ac:dyDescent="0.25">
      <c r="A75" s="15"/>
      <c r="B75" s="16"/>
      <c r="C75" s="59"/>
      <c r="D75" s="74"/>
      <c r="E75" s="17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7"/>
      <c r="Q75" s="18"/>
      <c r="R75" s="16"/>
      <c r="S75" s="23"/>
      <c r="T75" s="23"/>
      <c r="U75" s="21"/>
      <c r="V75" s="24"/>
    </row>
    <row r="76" spans="1:23" x14ac:dyDescent="0.25">
      <c r="A76" s="15">
        <v>8</v>
      </c>
      <c r="B76" s="16"/>
      <c r="C76" s="59"/>
      <c r="D76" s="2" t="s">
        <v>55</v>
      </c>
      <c r="E76" s="17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7"/>
      <c r="Q76" s="18"/>
      <c r="R76" s="16"/>
      <c r="S76" s="23"/>
      <c r="T76" s="121"/>
      <c r="U76" s="21"/>
      <c r="V76" s="24"/>
    </row>
    <row r="77" spans="1:23" x14ac:dyDescent="0.25">
      <c r="A77" s="15"/>
      <c r="B77" s="16"/>
      <c r="C77" s="59"/>
      <c r="D77" s="16"/>
      <c r="E77" s="41" t="s">
        <v>57</v>
      </c>
      <c r="F77" s="19"/>
      <c r="G77" s="22">
        <v>18544500</v>
      </c>
      <c r="H77" s="22">
        <v>19711500</v>
      </c>
      <c r="I77" s="22">
        <v>14040500</v>
      </c>
      <c r="J77" s="22">
        <v>24844000</v>
      </c>
      <c r="K77" s="22">
        <v>10021500</v>
      </c>
      <c r="L77" s="22">
        <v>20589000</v>
      </c>
      <c r="M77" s="22">
        <v>27045500</v>
      </c>
      <c r="N77" s="22">
        <v>11710500</v>
      </c>
      <c r="O77" s="22">
        <v>11621500</v>
      </c>
      <c r="P77" s="98">
        <v>7687491</v>
      </c>
      <c r="Q77" s="90">
        <v>9819000</v>
      </c>
      <c r="R77" s="106">
        <v>17060000</v>
      </c>
      <c r="S77" s="23">
        <f t="shared" ref="S77:S91" si="51">SUM(G77:R77)</f>
        <v>192694991</v>
      </c>
      <c r="T77" s="116">
        <f>((((17336140+19576185+15784105+16494050+13376070+13881677+17579565+14150215)+13713425)+14248340)+13482000)+13482000</f>
        <v>183103772</v>
      </c>
      <c r="U77" s="21">
        <f>S77/T77</f>
        <v>1.052381329424497</v>
      </c>
      <c r="V77" s="24">
        <f t="shared" ref="V77:V91" si="52">S77/12</f>
        <v>16057915.916666666</v>
      </c>
    </row>
    <row r="78" spans="1:23" x14ac:dyDescent="0.25">
      <c r="A78" s="15"/>
      <c r="B78" s="16"/>
      <c r="C78" s="59"/>
      <c r="D78" s="16"/>
      <c r="E78" s="41" t="s">
        <v>58</v>
      </c>
      <c r="F78" s="19"/>
      <c r="G78" s="22">
        <v>80000</v>
      </c>
      <c r="H78" s="22">
        <v>5000</v>
      </c>
      <c r="I78" s="22">
        <v>1000000</v>
      </c>
      <c r="J78" s="22">
        <v>0</v>
      </c>
      <c r="K78" s="22">
        <v>0</v>
      </c>
      <c r="L78" s="22">
        <v>0</v>
      </c>
      <c r="M78" s="22">
        <v>50000</v>
      </c>
      <c r="N78" s="22">
        <v>0</v>
      </c>
      <c r="O78" s="22">
        <v>55000</v>
      </c>
      <c r="P78" s="98">
        <v>0</v>
      </c>
      <c r="Q78" s="90">
        <v>1000000</v>
      </c>
      <c r="R78" s="106">
        <v>100000</v>
      </c>
      <c r="S78" s="23">
        <f t="shared" si="51"/>
        <v>2290000</v>
      </c>
      <c r="T78" s="118">
        <f>((((3150000+0+577500+0+0+0+0+525000)+315000)+52500)+1653750)+0</f>
        <v>6273750</v>
      </c>
      <c r="U78" s="21">
        <f>S78/T78</f>
        <v>0.36501295078700935</v>
      </c>
      <c r="V78" s="24">
        <f t="shared" si="52"/>
        <v>190833.33333333334</v>
      </c>
    </row>
    <row r="79" spans="1:23" x14ac:dyDescent="0.25">
      <c r="A79" s="15"/>
      <c r="B79" s="16"/>
      <c r="C79" s="59"/>
      <c r="D79" s="16"/>
      <c r="E79" s="41" t="s">
        <v>59</v>
      </c>
      <c r="F79" s="19"/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98">
        <v>0</v>
      </c>
      <c r="Q79" s="90">
        <v>0</v>
      </c>
      <c r="R79" s="106">
        <v>0</v>
      </c>
      <c r="S79" s="23">
        <f t="shared" si="51"/>
        <v>0</v>
      </c>
      <c r="T79" s="123">
        <f>((((0+0+0+0+0+0+0+0)+0)+0)+0)+0</f>
        <v>0</v>
      </c>
      <c r="U79" s="21" t="e">
        <f t="shared" si="46"/>
        <v>#DIV/0!</v>
      </c>
      <c r="V79" s="24">
        <f t="shared" si="52"/>
        <v>0</v>
      </c>
    </row>
    <row r="80" spans="1:23" x14ac:dyDescent="0.25">
      <c r="A80" s="15"/>
      <c r="B80" s="16"/>
      <c r="C80" s="59"/>
      <c r="D80" s="16"/>
      <c r="E80" s="41" t="s">
        <v>60</v>
      </c>
      <c r="F80" s="19"/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98">
        <v>0</v>
      </c>
      <c r="Q80" s="90">
        <v>0</v>
      </c>
      <c r="R80" s="106">
        <v>0</v>
      </c>
      <c r="S80" s="23">
        <f t="shared" si="51"/>
        <v>0</v>
      </c>
      <c r="T80" s="116">
        <f>((((0+0+0+0+0+0+0+0)+0)+0)+0)+0</f>
        <v>0</v>
      </c>
      <c r="U80" s="21" t="e">
        <f t="shared" si="46"/>
        <v>#DIV/0!</v>
      </c>
      <c r="V80" s="24">
        <f t="shared" si="52"/>
        <v>0</v>
      </c>
    </row>
    <row r="81" spans="1:22" x14ac:dyDescent="0.25">
      <c r="A81" s="15"/>
      <c r="B81" s="16"/>
      <c r="C81" s="59"/>
      <c r="D81" s="16"/>
      <c r="E81" s="41" t="s">
        <v>61</v>
      </c>
      <c r="F81" s="19"/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98">
        <v>0</v>
      </c>
      <c r="Q81" s="90">
        <v>0</v>
      </c>
      <c r="R81" s="106">
        <v>0</v>
      </c>
      <c r="S81" s="23">
        <f t="shared" si="51"/>
        <v>0</v>
      </c>
      <c r="T81" s="118">
        <f>((((0+0+0+0+0+0+0+0)+0)+0)+0)+0</f>
        <v>0</v>
      </c>
      <c r="U81" s="21" t="e">
        <f t="shared" si="46"/>
        <v>#DIV/0!</v>
      </c>
      <c r="V81" s="24">
        <f t="shared" si="52"/>
        <v>0</v>
      </c>
    </row>
    <row r="82" spans="1:22" x14ac:dyDescent="0.25">
      <c r="A82" s="15"/>
      <c r="B82" s="16"/>
      <c r="C82" s="59"/>
      <c r="D82" s="16"/>
      <c r="E82" s="41" t="s">
        <v>62</v>
      </c>
      <c r="F82" s="19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98">
        <v>0</v>
      </c>
      <c r="Q82" s="90">
        <v>0</v>
      </c>
      <c r="R82" s="106">
        <v>0</v>
      </c>
      <c r="S82" s="23">
        <f t="shared" si="51"/>
        <v>0</v>
      </c>
      <c r="T82" s="123">
        <f>((((0+0+0+0+0+0+0+0)+0)+0)+0)+0</f>
        <v>0</v>
      </c>
      <c r="U82" s="21" t="e">
        <f t="shared" si="46"/>
        <v>#DIV/0!</v>
      </c>
      <c r="V82" s="24">
        <f t="shared" si="52"/>
        <v>0</v>
      </c>
    </row>
    <row r="83" spans="1:22" x14ac:dyDescent="0.25">
      <c r="A83" s="15"/>
      <c r="B83" s="16"/>
      <c r="C83" s="59"/>
      <c r="D83" s="16"/>
      <c r="E83" s="41" t="s">
        <v>63</v>
      </c>
      <c r="F83" s="19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98">
        <v>0</v>
      </c>
      <c r="Q83" s="90">
        <v>0</v>
      </c>
      <c r="R83" s="106">
        <v>0</v>
      </c>
      <c r="S83" s="23">
        <f t="shared" si="51"/>
        <v>0</v>
      </c>
      <c r="T83" s="116">
        <f>((((0+259662+0+0+0+0+0+0)+0)+0)+0)+0</f>
        <v>259662</v>
      </c>
      <c r="U83" s="21">
        <f t="shared" si="46"/>
        <v>0</v>
      </c>
      <c r="V83" s="24">
        <f t="shared" si="52"/>
        <v>0</v>
      </c>
    </row>
    <row r="84" spans="1:22" x14ac:dyDescent="0.25">
      <c r="A84" s="15"/>
      <c r="B84" s="16"/>
      <c r="C84" s="59"/>
      <c r="D84" s="16"/>
      <c r="E84" s="41" t="s">
        <v>86</v>
      </c>
      <c r="F84" s="19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98">
        <v>0</v>
      </c>
      <c r="Q84" s="90">
        <v>0</v>
      </c>
      <c r="R84" s="106">
        <v>0</v>
      </c>
      <c r="S84" s="23">
        <f t="shared" si="51"/>
        <v>0</v>
      </c>
      <c r="T84" s="116">
        <f>((((0+0+0+0+0+337750+6300000+0)+0)+0)+0)+0</f>
        <v>6637750</v>
      </c>
      <c r="U84" s="21">
        <f t="shared" si="46"/>
        <v>0</v>
      </c>
      <c r="V84" s="24">
        <f t="shared" si="52"/>
        <v>0</v>
      </c>
    </row>
    <row r="85" spans="1:22" x14ac:dyDescent="0.25">
      <c r="A85" s="15"/>
      <c r="B85" s="16"/>
      <c r="C85" s="59"/>
      <c r="D85" s="16"/>
      <c r="E85" s="41" t="s">
        <v>64</v>
      </c>
      <c r="F85" s="19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200000</v>
      </c>
      <c r="M85" s="22">
        <v>0</v>
      </c>
      <c r="N85" s="22">
        <v>205000</v>
      </c>
      <c r="O85" s="22">
        <v>0</v>
      </c>
      <c r="P85" s="98">
        <v>100000</v>
      </c>
      <c r="Q85" s="90">
        <v>0</v>
      </c>
      <c r="R85" s="106">
        <v>210000</v>
      </c>
      <c r="S85" s="23">
        <f t="shared" si="51"/>
        <v>715000</v>
      </c>
      <c r="T85" s="116">
        <f>((((0+0+0+0+0+386000+69300+0)+0)+210000)+308700)+0</f>
        <v>974000</v>
      </c>
      <c r="U85" s="21">
        <f>S85/T85</f>
        <v>0.73408624229979469</v>
      </c>
      <c r="V85" s="24">
        <f t="shared" si="52"/>
        <v>59583.333333333336</v>
      </c>
    </row>
    <row r="86" spans="1:22" x14ac:dyDescent="0.25">
      <c r="A86" s="15"/>
      <c r="B86" s="16"/>
      <c r="C86" s="59"/>
      <c r="D86" s="16"/>
      <c r="E86" s="41" t="s">
        <v>87</v>
      </c>
      <c r="F86" s="19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98">
        <v>0</v>
      </c>
      <c r="Q86" s="90">
        <v>200000</v>
      </c>
      <c r="R86" s="106">
        <v>0</v>
      </c>
      <c r="S86" s="23">
        <f t="shared" si="51"/>
        <v>200000</v>
      </c>
      <c r="T86" s="118">
        <f>((((0+0+0+0+0+0+73500+0)+0)+0)+0)+0</f>
        <v>73500</v>
      </c>
      <c r="U86" s="21">
        <f>S86/T86</f>
        <v>2.7210884353741496</v>
      </c>
      <c r="V86" s="24">
        <f t="shared" si="52"/>
        <v>16666.666666666668</v>
      </c>
    </row>
    <row r="87" spans="1:22" x14ac:dyDescent="0.25">
      <c r="A87" s="15"/>
      <c r="B87" s="16"/>
      <c r="C87" s="59"/>
      <c r="D87" s="16"/>
      <c r="E87" s="41" t="s">
        <v>65</v>
      </c>
      <c r="F87" s="19"/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101694</v>
      </c>
      <c r="P87" s="98">
        <v>0</v>
      </c>
      <c r="Q87" s="90">
        <v>0</v>
      </c>
      <c r="R87" s="106">
        <v>0</v>
      </c>
      <c r="S87" s="23">
        <f t="shared" si="51"/>
        <v>101694</v>
      </c>
      <c r="T87" s="123">
        <f>((((0+0+0+0+0+0+0+0)+0)+0)+0)+0</f>
        <v>0</v>
      </c>
      <c r="U87" s="21" t="e">
        <f t="shared" si="46"/>
        <v>#DIV/0!</v>
      </c>
      <c r="V87" s="24">
        <f t="shared" si="52"/>
        <v>8474.5</v>
      </c>
    </row>
    <row r="88" spans="1:22" x14ac:dyDescent="0.25">
      <c r="A88" s="15"/>
      <c r="B88" s="16"/>
      <c r="C88" s="59"/>
      <c r="D88" s="16"/>
      <c r="E88" s="41" t="s">
        <v>66</v>
      </c>
      <c r="F88" s="19"/>
      <c r="G88" s="22">
        <v>50000</v>
      </c>
      <c r="H88" s="22">
        <v>125000</v>
      </c>
      <c r="I88" s="22">
        <v>0</v>
      </c>
      <c r="J88" s="22">
        <v>70000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98">
        <v>0</v>
      </c>
      <c r="Q88" s="90">
        <v>0</v>
      </c>
      <c r="R88" s="106">
        <v>40000</v>
      </c>
      <c r="S88" s="23">
        <f t="shared" si="51"/>
        <v>285000</v>
      </c>
      <c r="T88" s="116">
        <f>((((0+0+0+0+54800+386000+682500+0)+0)+0)+0)+0</f>
        <v>1123300</v>
      </c>
      <c r="U88" s="21">
        <f t="shared" si="46"/>
        <v>0.25371672749933233</v>
      </c>
      <c r="V88" s="24">
        <f t="shared" si="52"/>
        <v>23750</v>
      </c>
    </row>
    <row r="89" spans="1:22" x14ac:dyDescent="0.25">
      <c r="A89" s="15"/>
      <c r="B89" s="16"/>
      <c r="C89" s="59"/>
      <c r="D89" s="16"/>
      <c r="E89" s="41" t="s">
        <v>67</v>
      </c>
      <c r="F89" s="19"/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98">
        <v>0</v>
      </c>
      <c r="Q89" s="90">
        <v>0</v>
      </c>
      <c r="R89" s="106">
        <v>0</v>
      </c>
      <c r="S89" s="23">
        <f t="shared" si="51"/>
        <v>0</v>
      </c>
      <c r="T89" s="116">
        <f>((((0+0+0+0+0+0+0+0)+0)+0)+0)+0</f>
        <v>0</v>
      </c>
      <c r="U89" s="21" t="e">
        <f t="shared" si="46"/>
        <v>#DIV/0!</v>
      </c>
      <c r="V89" s="24">
        <f t="shared" si="52"/>
        <v>0</v>
      </c>
    </row>
    <row r="90" spans="1:22" x14ac:dyDescent="0.25">
      <c r="A90" s="15"/>
      <c r="B90" s="16"/>
      <c r="C90" s="59"/>
      <c r="D90" s="16"/>
      <c r="E90" s="41" t="s">
        <v>68</v>
      </c>
      <c r="F90" s="19"/>
      <c r="G90" s="22">
        <v>5521600</v>
      </c>
      <c r="H90" s="22">
        <v>6203280</v>
      </c>
      <c r="I90" s="22">
        <v>3293000</v>
      </c>
      <c r="J90" s="22">
        <v>5840100</v>
      </c>
      <c r="K90" s="22">
        <v>3508000</v>
      </c>
      <c r="L90" s="22">
        <v>5751325</v>
      </c>
      <c r="M90" s="22">
        <v>4147000</v>
      </c>
      <c r="N90" s="22">
        <v>5131000</v>
      </c>
      <c r="O90" s="22">
        <v>860000</v>
      </c>
      <c r="P90" s="98">
        <v>2117500</v>
      </c>
      <c r="Q90" s="90">
        <v>5347000</v>
      </c>
      <c r="R90" s="106">
        <v>600000</v>
      </c>
      <c r="S90" s="23">
        <f t="shared" si="51"/>
        <v>48319805</v>
      </c>
      <c r="T90" s="116">
        <f>((((500000+300000+300000+0+0+0+0+0)+0)+0)+315000)+0</f>
        <v>1415000</v>
      </c>
      <c r="U90" s="21">
        <f t="shared" si="46"/>
        <v>34.148272084805654</v>
      </c>
      <c r="V90" s="24">
        <f t="shared" si="52"/>
        <v>4026650.4166666665</v>
      </c>
    </row>
    <row r="91" spans="1:22" ht="15.75" thickBot="1" x14ac:dyDescent="0.3">
      <c r="A91" s="35"/>
      <c r="B91" s="36"/>
      <c r="C91" s="62"/>
      <c r="D91" s="36"/>
      <c r="E91" s="42" t="s">
        <v>69</v>
      </c>
      <c r="F91" s="37"/>
      <c r="G91" s="32">
        <v>70000</v>
      </c>
      <c r="H91" s="32">
        <v>0</v>
      </c>
      <c r="I91" s="32">
        <v>200000</v>
      </c>
      <c r="J91" s="32">
        <v>100000</v>
      </c>
      <c r="K91" s="32">
        <v>75000</v>
      </c>
      <c r="L91" s="32">
        <v>100000</v>
      </c>
      <c r="M91" s="32">
        <v>0</v>
      </c>
      <c r="N91" s="32">
        <v>200000</v>
      </c>
      <c r="O91" s="32">
        <v>100000</v>
      </c>
      <c r="P91" s="102">
        <v>185000</v>
      </c>
      <c r="Q91" s="93">
        <v>120000</v>
      </c>
      <c r="R91" s="112">
        <v>200000</v>
      </c>
      <c r="S91" s="23">
        <f t="shared" si="51"/>
        <v>1350000</v>
      </c>
      <c r="T91" s="120">
        <f>((((0+0+0+0+0+0+0+0)+0)+0)+0)+0</f>
        <v>0</v>
      </c>
      <c r="U91" s="21" t="e">
        <f t="shared" si="46"/>
        <v>#DIV/0!</v>
      </c>
      <c r="V91" s="24">
        <f t="shared" si="52"/>
        <v>112500</v>
      </c>
    </row>
    <row r="92" spans="1:22" s="51" customFormat="1" ht="15.75" thickBot="1" x14ac:dyDescent="0.3">
      <c r="A92" s="54"/>
      <c r="B92" s="55"/>
      <c r="C92" s="64"/>
      <c r="D92" s="55"/>
      <c r="E92" s="55"/>
      <c r="F92" s="55"/>
      <c r="G92" s="75">
        <f t="shared" ref="G92:T92" si="53">SUM(G77:G91)</f>
        <v>24266100</v>
      </c>
      <c r="H92" s="75">
        <f t="shared" si="53"/>
        <v>26044780</v>
      </c>
      <c r="I92" s="75">
        <f t="shared" si="53"/>
        <v>18533500</v>
      </c>
      <c r="J92" s="75">
        <f t="shared" si="53"/>
        <v>30854100</v>
      </c>
      <c r="K92" s="75">
        <f t="shared" ref="K92" si="54">SUM(K77:K91)</f>
        <v>13604500</v>
      </c>
      <c r="L92" s="75">
        <f t="shared" ref="L92:P92" si="55">SUM(L77:L91)</f>
        <v>26640325</v>
      </c>
      <c r="M92" s="75">
        <f>SUM(M77:M91)</f>
        <v>31242500</v>
      </c>
      <c r="N92" s="75">
        <f t="shared" si="55"/>
        <v>17246500</v>
      </c>
      <c r="O92" s="75">
        <f t="shared" si="55"/>
        <v>12738194</v>
      </c>
      <c r="P92" s="75">
        <f t="shared" si="55"/>
        <v>10089991</v>
      </c>
      <c r="Q92" s="75">
        <f>SUM(Q77:Q91)</f>
        <v>16486000</v>
      </c>
      <c r="R92" s="75">
        <f>SUM(R77:R91)</f>
        <v>18210000</v>
      </c>
      <c r="S92" s="56">
        <f t="shared" si="53"/>
        <v>245956490</v>
      </c>
      <c r="T92" s="79">
        <f t="shared" si="53"/>
        <v>199860734</v>
      </c>
      <c r="U92" s="80">
        <f>S92/T92</f>
        <v>1.2306393811202554</v>
      </c>
      <c r="V92" s="75">
        <f>SUM(V77:V91)</f>
        <v>20496374.166666668</v>
      </c>
    </row>
    <row r="93" spans="1:22" s="51" customFormat="1" ht="15.75" thickBot="1" x14ac:dyDescent="0.3">
      <c r="A93" s="43"/>
      <c r="B93" s="46"/>
      <c r="C93" s="63"/>
      <c r="D93" s="46"/>
      <c r="E93" s="46"/>
      <c r="F93" s="46"/>
      <c r="G93" s="83">
        <f>G38+G60+G74+G92</f>
        <v>421612533</v>
      </c>
      <c r="H93" s="83">
        <f t="shared" ref="H93" si="56">H38+H60+H74+H92</f>
        <v>370446602</v>
      </c>
      <c r="I93" s="83">
        <f t="shared" ref="I93:T93" si="57">I38+I60+I74+I92</f>
        <v>399594164</v>
      </c>
      <c r="J93" s="83">
        <f t="shared" si="57"/>
        <v>377844240</v>
      </c>
      <c r="K93" s="83">
        <f t="shared" si="57"/>
        <v>331111855</v>
      </c>
      <c r="L93" s="83">
        <f t="shared" si="57"/>
        <v>331168871</v>
      </c>
      <c r="M93" s="83">
        <f t="shared" ref="M93:N93" si="58">M38+M60+M74+M92</f>
        <v>327706332</v>
      </c>
      <c r="N93" s="83">
        <f t="shared" si="58"/>
        <v>358898927</v>
      </c>
      <c r="O93" s="83">
        <f>O38+O60+O74+O92</f>
        <v>391156029</v>
      </c>
      <c r="P93" s="83">
        <f>P38+P60+P74+P92</f>
        <v>349512693</v>
      </c>
      <c r="Q93" s="83">
        <f>Q38+Q60+Q74+Q92</f>
        <v>320444927</v>
      </c>
      <c r="R93" s="83">
        <f>R38+R60+R74+R92</f>
        <v>302716813</v>
      </c>
      <c r="S93" s="83">
        <f>S38+S60+S74+S92</f>
        <v>4282213986</v>
      </c>
      <c r="T93" s="83">
        <f t="shared" si="57"/>
        <v>5401954529.8695698</v>
      </c>
      <c r="U93" s="76">
        <f>S93/T93</f>
        <v>0.79271566658362713</v>
      </c>
      <c r="V93" s="83">
        <f>V38+V60+V74+V92</f>
        <v>356851165.5</v>
      </c>
    </row>
    <row r="94" spans="1:22" x14ac:dyDescent="0.25">
      <c r="A94" s="5"/>
      <c r="B94" s="6"/>
      <c r="C94" s="5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6"/>
    </row>
    <row r="95" spans="1:22" x14ac:dyDescent="0.2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31"/>
      <c r="V95" s="131"/>
    </row>
    <row r="96" spans="1:22" x14ac:dyDescent="0.25">
      <c r="B96" s="67" t="s">
        <v>125</v>
      </c>
      <c r="C96" s="57"/>
      <c r="D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86"/>
      <c r="V96" s="86"/>
    </row>
    <row r="97" spans="2:22" x14ac:dyDescent="0.25">
      <c r="B97" s="6" t="s">
        <v>84</v>
      </c>
      <c r="C97" s="57">
        <v>299775369</v>
      </c>
      <c r="D97" s="6"/>
      <c r="E97" s="6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86"/>
      <c r="V97" s="86"/>
    </row>
    <row r="98" spans="2:22" ht="15.75" thickBot="1" x14ac:dyDescent="0.3">
      <c r="B98" s="6" t="s">
        <v>85</v>
      </c>
      <c r="C98" s="66">
        <v>2941444</v>
      </c>
      <c r="D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86"/>
      <c r="V98" s="86"/>
    </row>
    <row r="99" spans="2:22" ht="15.75" thickTop="1" x14ac:dyDescent="0.25">
      <c r="B99" s="6"/>
      <c r="C99" s="68">
        <f>SUM(C97:C98)</f>
        <v>302716813</v>
      </c>
      <c r="D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86"/>
      <c r="V99" s="86"/>
    </row>
    <row r="100" spans="2:22" x14ac:dyDescent="0.25">
      <c r="B100" s="6"/>
      <c r="C100" s="57"/>
      <c r="D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86"/>
      <c r="V100" s="86"/>
    </row>
    <row r="101" spans="2:22" x14ac:dyDescent="0.25">
      <c r="B101" s="6"/>
      <c r="C101" s="69">
        <f>C99-R93</f>
        <v>0</v>
      </c>
      <c r="D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86"/>
      <c r="V101" s="86"/>
    </row>
    <row r="102" spans="2:22" x14ac:dyDescent="0.25">
      <c r="B102" s="67" t="s">
        <v>123</v>
      </c>
      <c r="C102" s="57"/>
      <c r="D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86"/>
      <c r="V102" s="86"/>
    </row>
    <row r="103" spans="2:22" x14ac:dyDescent="0.25">
      <c r="B103" s="6" t="s">
        <v>84</v>
      </c>
      <c r="C103" s="57">
        <v>316031427</v>
      </c>
      <c r="D103" s="6"/>
      <c r="E103" s="6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86"/>
      <c r="V103" s="86"/>
    </row>
    <row r="104" spans="2:22" ht="15.75" thickBot="1" x14ac:dyDescent="0.3">
      <c r="B104" s="6" t="s">
        <v>85</v>
      </c>
      <c r="C104" s="66">
        <v>4413500</v>
      </c>
      <c r="D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86"/>
      <c r="V104" s="86"/>
    </row>
    <row r="105" spans="2:22" ht="15.75" thickTop="1" x14ac:dyDescent="0.25">
      <c r="B105" s="6"/>
      <c r="C105" s="68">
        <f>SUM(C103:C104)</f>
        <v>320444927</v>
      </c>
      <c r="D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86"/>
      <c r="V105" s="86"/>
    </row>
    <row r="106" spans="2:22" x14ac:dyDescent="0.25">
      <c r="B106" s="6"/>
      <c r="C106" s="57"/>
      <c r="D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86"/>
      <c r="V106" s="86"/>
    </row>
    <row r="107" spans="2:22" x14ac:dyDescent="0.25">
      <c r="B107" s="6"/>
      <c r="C107" s="69">
        <f>C105-Q93</f>
        <v>0</v>
      </c>
      <c r="D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86"/>
      <c r="V107" s="86"/>
    </row>
    <row r="108" spans="2:22" x14ac:dyDescent="0.25">
      <c r="B108" s="67" t="s">
        <v>122</v>
      </c>
      <c r="C108" s="57"/>
      <c r="D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86"/>
      <c r="V108" s="86"/>
    </row>
    <row r="109" spans="2:22" x14ac:dyDescent="0.25">
      <c r="B109" s="6" t="s">
        <v>84</v>
      </c>
      <c r="C109" s="57">
        <v>346048593</v>
      </c>
      <c r="D109" s="6"/>
      <c r="E109" s="6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6"/>
      <c r="V109" s="86"/>
    </row>
    <row r="110" spans="2:22" ht="15.75" thickBot="1" x14ac:dyDescent="0.3">
      <c r="B110" s="6" t="s">
        <v>85</v>
      </c>
      <c r="C110" s="66">
        <v>3464100</v>
      </c>
      <c r="D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86"/>
      <c r="V110" s="86"/>
    </row>
    <row r="111" spans="2:22" ht="15.75" thickTop="1" x14ac:dyDescent="0.25">
      <c r="B111" s="6"/>
      <c r="C111" s="68">
        <f>SUM(C109:C110)</f>
        <v>349512693</v>
      </c>
      <c r="D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6"/>
      <c r="V111" s="86"/>
    </row>
    <row r="112" spans="2:22" x14ac:dyDescent="0.25">
      <c r="B112" s="6"/>
      <c r="C112" s="57"/>
      <c r="D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6"/>
      <c r="V112" s="86"/>
    </row>
    <row r="113" spans="2:22" x14ac:dyDescent="0.25">
      <c r="B113" s="6"/>
      <c r="C113" s="69">
        <f>C111-P93</f>
        <v>0</v>
      </c>
      <c r="D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6"/>
      <c r="V113" s="86"/>
    </row>
    <row r="114" spans="2:22" x14ac:dyDescent="0.25">
      <c r="B114" s="67" t="s">
        <v>121</v>
      </c>
      <c r="C114" s="57"/>
      <c r="D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6"/>
      <c r="V114" s="86"/>
    </row>
    <row r="115" spans="2:22" x14ac:dyDescent="0.25">
      <c r="B115" s="6" t="s">
        <v>84</v>
      </c>
      <c r="C115" s="57">
        <v>388035329</v>
      </c>
      <c r="D115" s="6"/>
      <c r="E115" s="6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6"/>
      <c r="V115" s="86"/>
    </row>
    <row r="116" spans="2:22" ht="15.75" thickBot="1" x14ac:dyDescent="0.3">
      <c r="B116" s="6" t="s">
        <v>85</v>
      </c>
      <c r="C116" s="66">
        <v>3120700</v>
      </c>
      <c r="D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6"/>
      <c r="V116" s="86"/>
    </row>
    <row r="117" spans="2:22" ht="15.75" thickTop="1" x14ac:dyDescent="0.25">
      <c r="B117" s="6"/>
      <c r="C117" s="68">
        <f>SUM(C115:C116)</f>
        <v>391156029</v>
      </c>
      <c r="D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6"/>
      <c r="V117" s="86"/>
    </row>
    <row r="118" spans="2:22" x14ac:dyDescent="0.25">
      <c r="B118" s="6"/>
      <c r="C118" s="57"/>
      <c r="D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86"/>
      <c r="V118" s="86"/>
    </row>
    <row r="119" spans="2:22" x14ac:dyDescent="0.25">
      <c r="B119" s="6"/>
      <c r="C119" s="69">
        <f>C117-O93</f>
        <v>0</v>
      </c>
      <c r="D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6"/>
      <c r="V119" s="86"/>
    </row>
    <row r="120" spans="2:22" x14ac:dyDescent="0.25">
      <c r="B120" s="67" t="s">
        <v>118</v>
      </c>
      <c r="C120" s="57"/>
      <c r="D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6"/>
      <c r="V120" s="86"/>
    </row>
    <row r="121" spans="2:22" x14ac:dyDescent="0.25">
      <c r="B121" s="6" t="s">
        <v>84</v>
      </c>
      <c r="C121" s="57">
        <v>356404927</v>
      </c>
      <c r="D121" s="6"/>
      <c r="E121" s="6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6"/>
      <c r="V121" s="86"/>
    </row>
    <row r="122" spans="2:22" ht="15.75" thickBot="1" x14ac:dyDescent="0.3">
      <c r="B122" s="6" t="s">
        <v>85</v>
      </c>
      <c r="C122" s="66">
        <v>2494000</v>
      </c>
      <c r="D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6"/>
      <c r="V122" s="86"/>
    </row>
    <row r="123" spans="2:22" ht="15.75" thickTop="1" x14ac:dyDescent="0.25">
      <c r="B123" s="6"/>
      <c r="C123" s="68">
        <f>SUM(C121:C122)</f>
        <v>358898927</v>
      </c>
      <c r="D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6"/>
      <c r="V123" s="86"/>
    </row>
    <row r="124" spans="2:22" x14ac:dyDescent="0.25">
      <c r="B124" s="6"/>
      <c r="C124" s="57"/>
      <c r="D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6"/>
      <c r="V124" s="86"/>
    </row>
    <row r="125" spans="2:22" x14ac:dyDescent="0.25">
      <c r="B125" s="6"/>
      <c r="C125" s="69">
        <f>C123-N93</f>
        <v>0</v>
      </c>
      <c r="D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6"/>
      <c r="V125" s="86"/>
    </row>
    <row r="126" spans="2:22" x14ac:dyDescent="0.25">
      <c r="B126" s="67" t="s">
        <v>117</v>
      </c>
      <c r="C126" s="57"/>
      <c r="D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6"/>
      <c r="V126" s="86"/>
    </row>
    <row r="127" spans="2:22" x14ac:dyDescent="0.25">
      <c r="B127" s="6" t="s">
        <v>84</v>
      </c>
      <c r="C127" s="57">
        <v>323035332</v>
      </c>
      <c r="D127" s="6"/>
      <c r="E127" s="6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6"/>
      <c r="V127" s="86"/>
    </row>
    <row r="128" spans="2:22" ht="15.75" thickBot="1" x14ac:dyDescent="0.3">
      <c r="B128" s="6" t="s">
        <v>85</v>
      </c>
      <c r="C128" s="66">
        <v>4671000</v>
      </c>
      <c r="D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6"/>
      <c r="V128" s="86"/>
    </row>
    <row r="129" spans="2:22" ht="15.75" thickTop="1" x14ac:dyDescent="0.25">
      <c r="B129" s="6"/>
      <c r="C129" s="68">
        <f>SUM(C127:C128)</f>
        <v>327706332</v>
      </c>
      <c r="D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6"/>
      <c r="V129" s="86"/>
    </row>
    <row r="130" spans="2:22" x14ac:dyDescent="0.25">
      <c r="B130" s="6"/>
      <c r="C130" s="57"/>
      <c r="D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6"/>
      <c r="V130" s="86"/>
    </row>
    <row r="131" spans="2:22" x14ac:dyDescent="0.25">
      <c r="B131" s="6"/>
      <c r="C131" s="69">
        <f>C129-M93</f>
        <v>0</v>
      </c>
      <c r="D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86"/>
      <c r="V131" s="86"/>
    </row>
    <row r="132" spans="2:22" x14ac:dyDescent="0.25">
      <c r="B132" s="67" t="s">
        <v>116</v>
      </c>
      <c r="C132" s="57"/>
      <c r="D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6"/>
      <c r="V132" s="86"/>
    </row>
    <row r="133" spans="2:22" x14ac:dyDescent="0.25">
      <c r="B133" s="6" t="s">
        <v>84</v>
      </c>
      <c r="C133" s="57">
        <v>329378871</v>
      </c>
      <c r="D133" s="6"/>
      <c r="E133" s="6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6"/>
      <c r="V133" s="86"/>
    </row>
    <row r="134" spans="2:22" ht="15.75" thickBot="1" x14ac:dyDescent="0.3">
      <c r="B134" s="6" t="s">
        <v>85</v>
      </c>
      <c r="C134" s="66">
        <v>1790000</v>
      </c>
      <c r="D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6"/>
      <c r="V134" s="86"/>
    </row>
    <row r="135" spans="2:22" ht="15.75" thickTop="1" x14ac:dyDescent="0.25">
      <c r="B135" s="6"/>
      <c r="C135" s="68">
        <f>SUM(C133:C134)</f>
        <v>331168871</v>
      </c>
      <c r="D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6"/>
      <c r="V135" s="86"/>
    </row>
    <row r="136" spans="2:22" x14ac:dyDescent="0.25">
      <c r="B136" s="6"/>
      <c r="C136" s="57"/>
      <c r="D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6"/>
      <c r="V136" s="86"/>
    </row>
    <row r="137" spans="2:22" x14ac:dyDescent="0.25">
      <c r="B137" s="6"/>
      <c r="C137" s="69">
        <f>C135-L93</f>
        <v>0</v>
      </c>
      <c r="D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6"/>
      <c r="V137" s="86"/>
    </row>
    <row r="138" spans="2:22" x14ac:dyDescent="0.25">
      <c r="B138" s="67" t="s">
        <v>115</v>
      </c>
      <c r="C138" s="57"/>
      <c r="D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6"/>
      <c r="V138" s="86"/>
    </row>
    <row r="139" spans="2:22" x14ac:dyDescent="0.25">
      <c r="B139" s="6" t="s">
        <v>84</v>
      </c>
      <c r="C139" s="57">
        <v>328508855</v>
      </c>
      <c r="D139" s="6"/>
      <c r="E139" s="6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6"/>
      <c r="V139" s="86"/>
    </row>
    <row r="140" spans="2:22" ht="15.75" thickBot="1" x14ac:dyDescent="0.3">
      <c r="B140" s="6" t="s">
        <v>85</v>
      </c>
      <c r="C140" s="66">
        <v>2603000</v>
      </c>
      <c r="D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86"/>
      <c r="V140" s="86"/>
    </row>
    <row r="141" spans="2:22" ht="15.75" thickTop="1" x14ac:dyDescent="0.25">
      <c r="B141" s="6"/>
      <c r="C141" s="68">
        <f>SUM(C139:C140)</f>
        <v>331111855</v>
      </c>
      <c r="D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6"/>
      <c r="V141" s="86"/>
    </row>
    <row r="142" spans="2:22" x14ac:dyDescent="0.25">
      <c r="B142" s="6"/>
      <c r="C142" s="57"/>
      <c r="D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6"/>
      <c r="V142" s="86"/>
    </row>
    <row r="143" spans="2:22" x14ac:dyDescent="0.25">
      <c r="B143" s="6"/>
      <c r="C143" s="69">
        <f>C141-K93</f>
        <v>0</v>
      </c>
      <c r="D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6"/>
      <c r="V143" s="86"/>
    </row>
    <row r="144" spans="2:22" x14ac:dyDescent="0.25">
      <c r="B144" s="67" t="s">
        <v>114</v>
      </c>
      <c r="C144" s="57"/>
      <c r="D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6"/>
      <c r="V144" s="86"/>
    </row>
    <row r="145" spans="2:22" x14ac:dyDescent="0.25">
      <c r="B145" s="6" t="s">
        <v>84</v>
      </c>
      <c r="C145" s="57">
        <v>376255240</v>
      </c>
      <c r="D145" s="6"/>
      <c r="E145" s="6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6"/>
      <c r="V145" s="86"/>
    </row>
    <row r="146" spans="2:22" ht="15.75" thickBot="1" x14ac:dyDescent="0.3">
      <c r="B146" s="6" t="s">
        <v>85</v>
      </c>
      <c r="C146" s="66">
        <v>1589000</v>
      </c>
      <c r="D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6"/>
      <c r="V146" s="86"/>
    </row>
    <row r="147" spans="2:22" ht="15.75" thickTop="1" x14ac:dyDescent="0.25">
      <c r="B147" s="6"/>
      <c r="C147" s="68">
        <f>SUM(C145:C146)</f>
        <v>377844240</v>
      </c>
      <c r="D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6"/>
      <c r="V147" s="86"/>
    </row>
    <row r="148" spans="2:22" x14ac:dyDescent="0.25">
      <c r="B148" s="6"/>
      <c r="C148" s="57"/>
      <c r="D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86"/>
      <c r="V148" s="86"/>
    </row>
    <row r="149" spans="2:22" x14ac:dyDescent="0.25">
      <c r="B149" s="6"/>
      <c r="C149" s="69">
        <f>C147-J93</f>
        <v>0</v>
      </c>
      <c r="D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86"/>
      <c r="V149" s="86"/>
    </row>
    <row r="150" spans="2:22" x14ac:dyDescent="0.25">
      <c r="B150" s="67" t="s">
        <v>112</v>
      </c>
      <c r="C150" s="57"/>
      <c r="D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86"/>
      <c r="V150" s="86"/>
    </row>
    <row r="151" spans="2:22" x14ac:dyDescent="0.25">
      <c r="B151" s="6" t="s">
        <v>84</v>
      </c>
      <c r="C151" s="57">
        <v>394399164</v>
      </c>
      <c r="D151" s="6"/>
      <c r="E151" s="6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86"/>
      <c r="V151" s="86"/>
    </row>
    <row r="152" spans="2:22" ht="15.75" thickBot="1" x14ac:dyDescent="0.3">
      <c r="B152" s="6" t="s">
        <v>85</v>
      </c>
      <c r="C152" s="66">
        <v>5195000</v>
      </c>
      <c r="D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86"/>
      <c r="V152" s="86"/>
    </row>
    <row r="153" spans="2:22" ht="15.75" thickTop="1" x14ac:dyDescent="0.25">
      <c r="B153" s="6"/>
      <c r="C153" s="68">
        <f>SUM(C151:C152)</f>
        <v>399594164</v>
      </c>
      <c r="D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6"/>
      <c r="V153" s="86"/>
    </row>
    <row r="154" spans="2:22" x14ac:dyDescent="0.25">
      <c r="B154" s="6"/>
      <c r="C154" s="57"/>
      <c r="D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6"/>
      <c r="V154" s="86"/>
    </row>
    <row r="155" spans="2:22" x14ac:dyDescent="0.25">
      <c r="B155" s="6"/>
      <c r="C155" s="69">
        <f>C153-I93</f>
        <v>0</v>
      </c>
      <c r="D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6"/>
      <c r="V155" s="86"/>
    </row>
    <row r="156" spans="2:22" x14ac:dyDescent="0.25">
      <c r="B156" s="67" t="s">
        <v>111</v>
      </c>
      <c r="C156" s="57"/>
      <c r="D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6"/>
      <c r="V156" s="86"/>
    </row>
    <row r="157" spans="2:22" x14ac:dyDescent="0.25">
      <c r="B157" s="6" t="s">
        <v>84</v>
      </c>
      <c r="C157" s="57">
        <v>362542602</v>
      </c>
      <c r="D157" s="6"/>
      <c r="E157" s="6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86"/>
      <c r="V157" s="86"/>
    </row>
    <row r="158" spans="2:22" ht="15.75" thickBot="1" x14ac:dyDescent="0.3">
      <c r="B158" s="6" t="s">
        <v>85</v>
      </c>
      <c r="C158" s="66">
        <v>7904000</v>
      </c>
      <c r="D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6"/>
      <c r="V158" s="86"/>
    </row>
    <row r="159" spans="2:22" ht="15.75" thickTop="1" x14ac:dyDescent="0.25">
      <c r="B159" s="6"/>
      <c r="C159" s="68">
        <f>SUM(C157:C158)</f>
        <v>370446602</v>
      </c>
      <c r="D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6"/>
      <c r="V159" s="86"/>
    </row>
    <row r="160" spans="2:22" x14ac:dyDescent="0.25">
      <c r="B160" s="6"/>
      <c r="C160" s="57"/>
      <c r="D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86"/>
      <c r="V160" s="86"/>
    </row>
    <row r="161" spans="1:22" x14ac:dyDescent="0.25">
      <c r="B161" s="6"/>
      <c r="C161" s="69">
        <f>C159-H93</f>
        <v>0</v>
      </c>
      <c r="D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6"/>
      <c r="V161" s="86"/>
    </row>
    <row r="162" spans="1:22" x14ac:dyDescent="0.25">
      <c r="B162" s="67" t="s">
        <v>110</v>
      </c>
      <c r="C162" s="57"/>
      <c r="D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86"/>
      <c r="V162" s="86"/>
    </row>
    <row r="163" spans="1:22" x14ac:dyDescent="0.25">
      <c r="B163" s="6" t="s">
        <v>84</v>
      </c>
      <c r="C163" s="57">
        <v>415060533</v>
      </c>
      <c r="D163" s="6"/>
      <c r="E163" s="6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6"/>
      <c r="V163" s="86"/>
    </row>
    <row r="164" spans="1:22" ht="15.75" thickBot="1" x14ac:dyDescent="0.3">
      <c r="B164" s="6" t="s">
        <v>85</v>
      </c>
      <c r="C164" s="66">
        <v>6552000</v>
      </c>
      <c r="D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6"/>
      <c r="V164" s="86"/>
    </row>
    <row r="165" spans="1:22" ht="15.75" thickTop="1" x14ac:dyDescent="0.25">
      <c r="B165" s="6"/>
      <c r="C165" s="68">
        <f>SUM(C163:C164)</f>
        <v>421612533</v>
      </c>
      <c r="D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86"/>
      <c r="V165" s="86"/>
    </row>
    <row r="166" spans="1:22" x14ac:dyDescent="0.25">
      <c r="B166" s="6"/>
      <c r="C166" s="57"/>
      <c r="D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6"/>
      <c r="V166" s="86"/>
    </row>
    <row r="167" spans="1:22" x14ac:dyDescent="0.25">
      <c r="B167" s="6"/>
      <c r="C167" s="69">
        <f>C165-G93</f>
        <v>0</v>
      </c>
      <c r="D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6"/>
      <c r="V167" s="86"/>
    </row>
    <row r="168" spans="1:22" s="6" customFormat="1" ht="14.25" x14ac:dyDescent="0.2">
      <c r="A168" s="5"/>
      <c r="C168" s="57"/>
      <c r="U168" s="7"/>
    </row>
    <row r="169" spans="1:22" s="6" customFormat="1" ht="14.25" x14ac:dyDescent="0.2">
      <c r="A169" s="5"/>
      <c r="C169" s="57"/>
      <c r="U169" s="7"/>
    </row>
    <row r="170" spans="1:22" s="6" customFormat="1" ht="14.25" x14ac:dyDescent="0.2">
      <c r="A170" s="5"/>
      <c r="C170" s="57"/>
      <c r="U170" s="7"/>
    </row>
  </sheetData>
  <mergeCells count="12">
    <mergeCell ref="U95:V95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39370078740157483" header="0.11811023622047245" footer="0.11811023622047245"/>
  <pageSetup paperSize="9" scale="68" fitToHeight="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2022</vt:lpstr>
      <vt:lpstr>Sheet5</vt:lpstr>
      <vt:lpstr>'RPD 2022'!Print_Area</vt:lpstr>
      <vt:lpstr>'RPD 2022'!Print_Titles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 User</cp:lastModifiedBy>
  <cp:lastPrinted>2021-06-07T00:07:07Z</cp:lastPrinted>
  <dcterms:created xsi:type="dcterms:W3CDTF">2020-01-06T01:47:07Z</dcterms:created>
  <dcterms:modified xsi:type="dcterms:W3CDTF">2023-01-01T02:26:44Z</dcterms:modified>
</cp:coreProperties>
</file>