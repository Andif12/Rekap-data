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ULIAH FIRA\Kerja Praktik\New folder\"/>
    </mc:Choice>
  </mc:AlternateContent>
  <xr:revisionPtr revIDLastSave="0" documentId="8_{D55FEF3A-F5F3-4D5C-BC4A-F810B8ADD2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PD 2024" sheetId="1" r:id="rId1"/>
    <sheet name="Sheet5" sheetId="5" r:id="rId2"/>
  </sheets>
  <definedNames>
    <definedName name="_xlnm.Print_Area" localSheetId="0">'RPD 2024'!$A$1:$V$184</definedName>
    <definedName name="_xlnm.Print_Titles" localSheetId="0">'RPD 2024'!$4:$5</definedName>
  </definedNames>
  <calcPr calcId="191029"/>
</workbook>
</file>

<file path=xl/calcChain.xml><?xml version="1.0" encoding="utf-8"?>
<calcChain xmlns="http://schemas.openxmlformats.org/spreadsheetml/2006/main">
  <c r="S8" i="1" l="1"/>
  <c r="V8" i="1" s="1"/>
  <c r="S103" i="1" l="1"/>
  <c r="V103" i="1" s="1"/>
  <c r="T71" i="1" l="1"/>
  <c r="S71" i="1"/>
  <c r="V71" i="1" s="1"/>
  <c r="T68" i="1"/>
  <c r="T69" i="1"/>
  <c r="T70" i="1"/>
  <c r="S68" i="1"/>
  <c r="V68" i="1" s="1"/>
  <c r="S69" i="1"/>
  <c r="V69" i="1" s="1"/>
  <c r="S70" i="1"/>
  <c r="V70" i="1" s="1"/>
  <c r="S72" i="1"/>
  <c r="V72" i="1" s="1"/>
  <c r="U71" i="1" l="1"/>
  <c r="U70" i="1"/>
  <c r="U69" i="1"/>
  <c r="U68" i="1"/>
  <c r="G73" i="1" l="1"/>
  <c r="L61" i="1"/>
  <c r="H61" i="1"/>
  <c r="I61" i="1"/>
  <c r="J61" i="1"/>
  <c r="K61" i="1"/>
  <c r="M61" i="1"/>
  <c r="N61" i="1"/>
  <c r="O61" i="1"/>
  <c r="P61" i="1"/>
  <c r="Q61" i="1"/>
  <c r="R61" i="1"/>
  <c r="G61" i="1"/>
  <c r="G57" i="1"/>
  <c r="S90" i="1" l="1"/>
  <c r="V90" i="1" s="1"/>
  <c r="L87" i="1"/>
  <c r="H57" i="1" l="1"/>
  <c r="I57" i="1"/>
  <c r="J57" i="1"/>
  <c r="K57" i="1"/>
  <c r="L57" i="1"/>
  <c r="M57" i="1"/>
  <c r="N57" i="1"/>
  <c r="O57" i="1"/>
  <c r="P57" i="1"/>
  <c r="Q57" i="1"/>
  <c r="R57" i="1"/>
  <c r="AA59" i="1" l="1"/>
  <c r="T59" i="1" s="1"/>
  <c r="S59" i="1"/>
  <c r="V59" i="1" s="1"/>
  <c r="AA55" i="1"/>
  <c r="T55" i="1" s="1"/>
  <c r="S55" i="1"/>
  <c r="V55" i="1" s="1"/>
  <c r="U59" i="1" l="1"/>
  <c r="U55" i="1"/>
  <c r="AA57" i="1"/>
  <c r="AA58" i="1"/>
  <c r="S104" i="1"/>
  <c r="V104" i="1" s="1"/>
  <c r="K87" i="1"/>
  <c r="M87" i="1"/>
  <c r="N87" i="1"/>
  <c r="O87" i="1"/>
  <c r="P87" i="1"/>
  <c r="Z106" i="1"/>
  <c r="AA92" i="1"/>
  <c r="AA74" i="1"/>
  <c r="H87" i="1"/>
  <c r="I87" i="1"/>
  <c r="J87" i="1"/>
  <c r="Q87" i="1"/>
  <c r="R87" i="1"/>
  <c r="G87" i="1"/>
  <c r="H73" i="1"/>
  <c r="I73" i="1"/>
  <c r="J73" i="1"/>
  <c r="K73" i="1"/>
  <c r="L73" i="1"/>
  <c r="M73" i="1"/>
  <c r="N73" i="1"/>
  <c r="O73" i="1"/>
  <c r="P73" i="1"/>
  <c r="Q73" i="1"/>
  <c r="R73" i="1"/>
  <c r="AA73" i="1"/>
  <c r="AA72" i="1"/>
  <c r="T72" i="1" s="1"/>
  <c r="U72" i="1" l="1"/>
  <c r="Y106" i="1"/>
  <c r="T183" i="1" s="1"/>
  <c r="H51" i="1"/>
  <c r="G26" i="1"/>
  <c r="G51" i="1"/>
  <c r="AA51" i="1"/>
  <c r="R51" i="1"/>
  <c r="Q51" i="1"/>
  <c r="P51" i="1"/>
  <c r="O51" i="1"/>
  <c r="N51" i="1"/>
  <c r="M51" i="1"/>
  <c r="L51" i="1"/>
  <c r="K51" i="1"/>
  <c r="J51" i="1"/>
  <c r="I51" i="1"/>
  <c r="AA50" i="1"/>
  <c r="T50" i="1" s="1"/>
  <c r="S50" i="1"/>
  <c r="V50" i="1" s="1"/>
  <c r="AA49" i="1"/>
  <c r="T49" i="1" s="1"/>
  <c r="S49" i="1"/>
  <c r="V49" i="1" s="1"/>
  <c r="AA48" i="1"/>
  <c r="T48" i="1" s="1"/>
  <c r="S48" i="1"/>
  <c r="V48" i="1" s="1"/>
  <c r="AA47" i="1"/>
  <c r="T47" i="1" s="1"/>
  <c r="S47" i="1"/>
  <c r="V47" i="1" s="1"/>
  <c r="AA46" i="1"/>
  <c r="T46" i="1" s="1"/>
  <c r="S46" i="1"/>
  <c r="V46" i="1" s="1"/>
  <c r="AA45" i="1"/>
  <c r="T45" i="1" s="1"/>
  <c r="S45" i="1"/>
  <c r="V45" i="1" s="1"/>
  <c r="AA44" i="1"/>
  <c r="T44" i="1" s="1"/>
  <c r="S44" i="1"/>
  <c r="V44" i="1" s="1"/>
  <c r="AA43" i="1"/>
  <c r="T43" i="1" s="1"/>
  <c r="S43" i="1"/>
  <c r="V43" i="1" s="1"/>
  <c r="V51" i="1" s="1"/>
  <c r="AA42" i="1"/>
  <c r="AA41" i="1"/>
  <c r="AA104" i="1"/>
  <c r="T104" i="1" s="1"/>
  <c r="AA9" i="1"/>
  <c r="T9" i="1" s="1"/>
  <c r="AA10" i="1"/>
  <c r="T10" i="1" s="1"/>
  <c r="AA11" i="1"/>
  <c r="T11" i="1" s="1"/>
  <c r="AA12" i="1"/>
  <c r="T12" i="1" s="1"/>
  <c r="AA13" i="1"/>
  <c r="T13" i="1" s="1"/>
  <c r="AA14" i="1"/>
  <c r="T14" i="1" s="1"/>
  <c r="AA15" i="1"/>
  <c r="AA16" i="1"/>
  <c r="AA17" i="1"/>
  <c r="AA18" i="1"/>
  <c r="T18" i="1" s="1"/>
  <c r="AA19" i="1"/>
  <c r="T19" i="1" s="1"/>
  <c r="AA20" i="1"/>
  <c r="T20" i="1" s="1"/>
  <c r="AA21" i="1"/>
  <c r="T21" i="1" s="1"/>
  <c r="AA22" i="1"/>
  <c r="T22" i="1" s="1"/>
  <c r="AA23" i="1"/>
  <c r="T23" i="1" s="1"/>
  <c r="AA24" i="1"/>
  <c r="T24" i="1" s="1"/>
  <c r="AA25" i="1"/>
  <c r="T25" i="1" s="1"/>
  <c r="AA26" i="1"/>
  <c r="AA27" i="1"/>
  <c r="AA28" i="1"/>
  <c r="AA29" i="1"/>
  <c r="T29" i="1" s="1"/>
  <c r="T33" i="1" s="1"/>
  <c r="AA30" i="1"/>
  <c r="T30" i="1" s="1"/>
  <c r="AA31" i="1"/>
  <c r="T31" i="1" s="1"/>
  <c r="AA32" i="1"/>
  <c r="T32" i="1" s="1"/>
  <c r="AA33" i="1"/>
  <c r="AA34" i="1"/>
  <c r="AA35" i="1"/>
  <c r="AA36" i="1"/>
  <c r="T36" i="1" s="1"/>
  <c r="AA37" i="1"/>
  <c r="T37" i="1" s="1"/>
  <c r="AA38" i="1"/>
  <c r="T38" i="1" s="1"/>
  <c r="AA39" i="1"/>
  <c r="T39" i="1" s="1"/>
  <c r="AA40" i="1"/>
  <c r="AA52" i="1"/>
  <c r="AA53" i="1"/>
  <c r="AA54" i="1"/>
  <c r="T54" i="1" s="1"/>
  <c r="AA56" i="1"/>
  <c r="T56" i="1" s="1"/>
  <c r="AA60" i="1"/>
  <c r="T60" i="1" s="1"/>
  <c r="T61" i="1" s="1"/>
  <c r="AA61" i="1"/>
  <c r="AA62" i="1"/>
  <c r="AA63" i="1"/>
  <c r="AA64" i="1"/>
  <c r="T64" i="1" s="1"/>
  <c r="AA66" i="1"/>
  <c r="T66" i="1" s="1"/>
  <c r="AA67" i="1"/>
  <c r="T67" i="1" s="1"/>
  <c r="AA65" i="1"/>
  <c r="T65" i="1" s="1"/>
  <c r="AA75" i="1"/>
  <c r="T75" i="1" s="1"/>
  <c r="AA76" i="1"/>
  <c r="T76" i="1" s="1"/>
  <c r="AA77" i="1"/>
  <c r="T77" i="1" s="1"/>
  <c r="AA78" i="1"/>
  <c r="T78" i="1" s="1"/>
  <c r="AA79" i="1"/>
  <c r="T79" i="1" s="1"/>
  <c r="AA80" i="1"/>
  <c r="T80" i="1" s="1"/>
  <c r="AA81" i="1"/>
  <c r="T81" i="1" s="1"/>
  <c r="AA82" i="1"/>
  <c r="T82" i="1" s="1"/>
  <c r="AA83" i="1"/>
  <c r="T83" i="1" s="1"/>
  <c r="AA84" i="1"/>
  <c r="T84" i="1" s="1"/>
  <c r="AA85" i="1"/>
  <c r="T85" i="1" s="1"/>
  <c r="AA86" i="1"/>
  <c r="T86" i="1" s="1"/>
  <c r="AA87" i="1"/>
  <c r="AA88" i="1"/>
  <c r="AA89" i="1"/>
  <c r="AA90" i="1"/>
  <c r="T90" i="1" s="1"/>
  <c r="AA91" i="1"/>
  <c r="T91" i="1" s="1"/>
  <c r="T92" i="1"/>
  <c r="AA93" i="1"/>
  <c r="T93" i="1" s="1"/>
  <c r="AA94" i="1"/>
  <c r="T94" i="1" s="1"/>
  <c r="AA95" i="1"/>
  <c r="T95" i="1" s="1"/>
  <c r="AA96" i="1"/>
  <c r="T96" i="1" s="1"/>
  <c r="AA97" i="1"/>
  <c r="T97" i="1" s="1"/>
  <c r="AA98" i="1"/>
  <c r="T98" i="1" s="1"/>
  <c r="AA99" i="1"/>
  <c r="T99" i="1" s="1"/>
  <c r="AA100" i="1"/>
  <c r="T100" i="1" s="1"/>
  <c r="AA101" i="1"/>
  <c r="T101" i="1" s="1"/>
  <c r="AA102" i="1"/>
  <c r="T102" i="1" s="1"/>
  <c r="AA103" i="1"/>
  <c r="T103" i="1" s="1"/>
  <c r="AA8" i="1"/>
  <c r="T8" i="1" s="1"/>
  <c r="AA106" i="1" l="1"/>
  <c r="T184" i="1" s="1"/>
  <c r="T57" i="1"/>
  <c r="T73" i="1"/>
  <c r="T87" i="1"/>
  <c r="U47" i="1"/>
  <c r="U45" i="1"/>
  <c r="U49" i="1"/>
  <c r="U46" i="1"/>
  <c r="U50" i="1"/>
  <c r="T51" i="1"/>
  <c r="S51" i="1"/>
  <c r="U43" i="1"/>
  <c r="U44" i="1"/>
  <c r="U48" i="1"/>
  <c r="U51" i="1" l="1"/>
  <c r="T105" i="1" l="1"/>
  <c r="C154" i="1"/>
  <c r="J105" i="1" l="1"/>
  <c r="S67" i="1"/>
  <c r="V67" i="1" s="1"/>
  <c r="U67" i="1" l="1"/>
  <c r="T15" i="1"/>
  <c r="T26" i="1"/>
  <c r="S80" i="1"/>
  <c r="V80" i="1" s="1"/>
  <c r="S81" i="1"/>
  <c r="V81" i="1" s="1"/>
  <c r="S82" i="1"/>
  <c r="V82" i="1" s="1"/>
  <c r="S83" i="1"/>
  <c r="V83" i="1" s="1"/>
  <c r="S84" i="1"/>
  <c r="V84" i="1" s="1"/>
  <c r="S85" i="1"/>
  <c r="V85" i="1" s="1"/>
  <c r="S86" i="1"/>
  <c r="V86" i="1" s="1"/>
  <c r="C112" i="1"/>
  <c r="R15" i="1"/>
  <c r="S37" i="1"/>
  <c r="V37" i="1" s="1"/>
  <c r="S31" i="1"/>
  <c r="V31" i="1" s="1"/>
  <c r="S20" i="1"/>
  <c r="V20" i="1" s="1"/>
  <c r="C118" i="1"/>
  <c r="S24" i="1"/>
  <c r="V24" i="1" s="1"/>
  <c r="T27" i="1" l="1"/>
  <c r="U80" i="1"/>
  <c r="U82" i="1"/>
  <c r="U85" i="1"/>
  <c r="U84" i="1"/>
  <c r="U83" i="1"/>
  <c r="U81" i="1"/>
  <c r="U86" i="1"/>
  <c r="U24" i="1"/>
  <c r="C124" i="1" l="1"/>
  <c r="C130" i="1"/>
  <c r="U8" i="1" l="1"/>
  <c r="S21" i="1"/>
  <c r="V21" i="1" s="1"/>
  <c r="U21" i="1" l="1"/>
  <c r="S77" i="1"/>
  <c r="V77" i="1" s="1"/>
  <c r="S9" i="1"/>
  <c r="V9" i="1" s="1"/>
  <c r="S30" i="1"/>
  <c r="V30" i="1" s="1"/>
  <c r="S18" i="1"/>
  <c r="V18" i="1" s="1"/>
  <c r="C136" i="1"/>
  <c r="S102" i="1"/>
  <c r="V102" i="1" s="1"/>
  <c r="S101" i="1"/>
  <c r="V101" i="1" s="1"/>
  <c r="S100" i="1"/>
  <c r="V100" i="1" s="1"/>
  <c r="S99" i="1"/>
  <c r="V99" i="1" s="1"/>
  <c r="S98" i="1"/>
  <c r="V98" i="1" s="1"/>
  <c r="S97" i="1"/>
  <c r="V97" i="1" s="1"/>
  <c r="S96" i="1"/>
  <c r="V96" i="1" s="1"/>
  <c r="S95" i="1"/>
  <c r="V95" i="1" s="1"/>
  <c r="S94" i="1"/>
  <c r="V94" i="1" s="1"/>
  <c r="S93" i="1"/>
  <c r="V93" i="1" s="1"/>
  <c r="S92" i="1"/>
  <c r="V92" i="1" s="1"/>
  <c r="S91" i="1"/>
  <c r="V91" i="1" s="1"/>
  <c r="S79" i="1"/>
  <c r="V79" i="1" s="1"/>
  <c r="S78" i="1"/>
  <c r="V78" i="1" s="1"/>
  <c r="S76" i="1"/>
  <c r="V76" i="1" s="1"/>
  <c r="S75" i="1"/>
  <c r="V75" i="1" s="1"/>
  <c r="S65" i="1"/>
  <c r="V65" i="1" s="1"/>
  <c r="S66" i="1"/>
  <c r="V66" i="1" s="1"/>
  <c r="S64" i="1"/>
  <c r="V64" i="1" s="1"/>
  <c r="S60" i="1"/>
  <c r="V60" i="1" s="1"/>
  <c r="V61" i="1" s="1"/>
  <c r="S56" i="1"/>
  <c r="V56" i="1" s="1"/>
  <c r="S54" i="1"/>
  <c r="V54" i="1" s="1"/>
  <c r="V57" i="1" s="1"/>
  <c r="S39" i="1"/>
  <c r="V39" i="1" s="1"/>
  <c r="S38" i="1"/>
  <c r="V38" i="1" s="1"/>
  <c r="S36" i="1"/>
  <c r="V36" i="1" s="1"/>
  <c r="S32" i="1"/>
  <c r="V32" i="1" s="1"/>
  <c r="S29" i="1"/>
  <c r="V29" i="1" s="1"/>
  <c r="S25" i="1"/>
  <c r="V25" i="1" s="1"/>
  <c r="S23" i="1"/>
  <c r="V23" i="1" s="1"/>
  <c r="S22" i="1"/>
  <c r="V22" i="1" s="1"/>
  <c r="S19" i="1"/>
  <c r="V19" i="1" s="1"/>
  <c r="S14" i="1"/>
  <c r="V14" i="1" s="1"/>
  <c r="S13" i="1"/>
  <c r="V13" i="1" s="1"/>
  <c r="S12" i="1"/>
  <c r="V12" i="1" s="1"/>
  <c r="S11" i="1"/>
  <c r="V11" i="1" s="1"/>
  <c r="S10" i="1"/>
  <c r="V10" i="1" s="1"/>
  <c r="V40" i="1" l="1"/>
  <c r="V87" i="1"/>
  <c r="V26" i="1"/>
  <c r="V15" i="1"/>
  <c r="V105" i="1"/>
  <c r="V33" i="1"/>
  <c r="V73" i="1"/>
  <c r="S105" i="1"/>
  <c r="S61" i="1"/>
  <c r="U61" i="1" s="1"/>
  <c r="S57" i="1"/>
  <c r="U57" i="1" s="1"/>
  <c r="S73" i="1"/>
  <c r="S87" i="1"/>
  <c r="U87" i="1" s="1"/>
  <c r="U76" i="1"/>
  <c r="U77" i="1"/>
  <c r="U73" i="1" l="1"/>
  <c r="M105" i="1"/>
  <c r="C142" i="1"/>
  <c r="C148" i="1" l="1"/>
  <c r="C160" i="1" l="1"/>
  <c r="C166" i="1"/>
  <c r="C172" i="1"/>
  <c r="R26" i="1" l="1"/>
  <c r="R27" i="1" s="1"/>
  <c r="R105" i="1"/>
  <c r="R40" i="1"/>
  <c r="R33" i="1"/>
  <c r="Q105" i="1"/>
  <c r="R62" i="1" l="1"/>
  <c r="R106" i="1" s="1"/>
  <c r="U60" i="1"/>
  <c r="U56" i="1"/>
  <c r="U54" i="1"/>
  <c r="Q26" i="1"/>
  <c r="Q15" i="1"/>
  <c r="Q40" i="1"/>
  <c r="Q33" i="1"/>
  <c r="P105" i="1"/>
  <c r="P40" i="1"/>
  <c r="P33" i="1"/>
  <c r="P26" i="1"/>
  <c r="P15" i="1"/>
  <c r="O15" i="1"/>
  <c r="Q62" i="1" l="1"/>
  <c r="P62" i="1"/>
  <c r="P27" i="1"/>
  <c r="Q27" i="1"/>
  <c r="C114" i="1"/>
  <c r="S15" i="1"/>
  <c r="Q106" i="1" l="1"/>
  <c r="C120" i="1" s="1"/>
  <c r="P106" i="1"/>
  <c r="O105" i="1"/>
  <c r="O40" i="1"/>
  <c r="O33" i="1"/>
  <c r="O26" i="1"/>
  <c r="O27" i="1" s="1"/>
  <c r="N26" i="1"/>
  <c r="N15" i="1"/>
  <c r="N105" i="1"/>
  <c r="N40" i="1"/>
  <c r="N33" i="1"/>
  <c r="M40" i="1"/>
  <c r="M33" i="1"/>
  <c r="M26" i="1"/>
  <c r="M15" i="1"/>
  <c r="C126" i="1" l="1"/>
  <c r="P184" i="1"/>
  <c r="N62" i="1"/>
  <c r="M62" i="1"/>
  <c r="O62" i="1"/>
  <c r="O106" i="1" s="1"/>
  <c r="O184" i="1" s="1"/>
  <c r="N27" i="1"/>
  <c r="M27" i="1"/>
  <c r="L105" i="1"/>
  <c r="L40" i="1"/>
  <c r="L33" i="1"/>
  <c r="L26" i="1"/>
  <c r="L15" i="1"/>
  <c r="L62" i="1" l="1"/>
  <c r="N106" i="1"/>
  <c r="M106" i="1"/>
  <c r="L27" i="1"/>
  <c r="C132" i="1"/>
  <c r="C138" i="1" l="1"/>
  <c r="N184" i="1"/>
  <c r="C144" i="1"/>
  <c r="M184" i="1"/>
  <c r="L106" i="1"/>
  <c r="K105" i="1"/>
  <c r="K40" i="1"/>
  <c r="K33" i="1"/>
  <c r="K26" i="1"/>
  <c r="K15" i="1"/>
  <c r="C150" i="1" l="1"/>
  <c r="L184" i="1"/>
  <c r="K62" i="1"/>
  <c r="K27" i="1"/>
  <c r="J26" i="1"/>
  <c r="J15" i="1"/>
  <c r="K106" i="1" l="1"/>
  <c r="J27" i="1"/>
  <c r="J33" i="1"/>
  <c r="J40" i="1"/>
  <c r="C156" i="1" l="1"/>
  <c r="K184" i="1"/>
  <c r="J62" i="1"/>
  <c r="I105" i="1"/>
  <c r="I40" i="1"/>
  <c r="I33" i="1"/>
  <c r="I26" i="1"/>
  <c r="I15" i="1"/>
  <c r="I62" i="1" l="1"/>
  <c r="J106" i="1"/>
  <c r="I27" i="1"/>
  <c r="H105" i="1"/>
  <c r="C162" i="1" l="1"/>
  <c r="J184" i="1"/>
  <c r="I106" i="1"/>
  <c r="C168" i="1" l="1"/>
  <c r="I184" i="1"/>
  <c r="G105" i="1"/>
  <c r="G40" i="1" l="1"/>
  <c r="C178" i="1"/>
  <c r="H40" i="1"/>
  <c r="H33" i="1"/>
  <c r="H26" i="1"/>
  <c r="H15" i="1"/>
  <c r="H62" i="1" l="1"/>
  <c r="H27" i="1"/>
  <c r="H106" i="1" l="1"/>
  <c r="U75" i="1"/>
  <c r="U78" i="1"/>
  <c r="U19" i="1"/>
  <c r="C174" i="1" l="1"/>
  <c r="H184" i="1"/>
  <c r="U20" i="1"/>
  <c r="U22" i="1"/>
  <c r="U79" i="1"/>
  <c r="U10" i="1"/>
  <c r="G33" i="1"/>
  <c r="G62" i="1" s="1"/>
  <c r="S33" i="1"/>
  <c r="U33" i="1" s="1"/>
  <c r="S26" i="1"/>
  <c r="G15" i="1"/>
  <c r="G27" i="1" s="1"/>
  <c r="G106" i="1" l="1"/>
  <c r="G184" i="1" s="1"/>
  <c r="S27" i="1"/>
  <c r="S40" i="1"/>
  <c r="U65" i="1"/>
  <c r="U27" i="1" l="1"/>
  <c r="V27" i="1"/>
  <c r="S62" i="1"/>
  <c r="C180" i="1"/>
  <c r="S106" i="1" l="1"/>
  <c r="V106" i="1" s="1"/>
  <c r="V62" i="1"/>
  <c r="T40" i="1"/>
  <c r="U66" i="1"/>
  <c r="T62" i="1" l="1"/>
  <c r="T106" i="1" s="1"/>
  <c r="U106" i="1" s="1"/>
  <c r="U64" i="1"/>
  <c r="U99" i="1"/>
  <c r="U62" i="1" l="1"/>
  <c r="U98" i="1"/>
  <c r="U97" i="1" l="1"/>
  <c r="U105" i="1" l="1"/>
  <c r="U90" i="1"/>
  <c r="U91" i="1"/>
  <c r="U9" i="1" l="1"/>
  <c r="U11" i="1"/>
  <c r="U14" i="1" l="1"/>
  <c r="U12" i="1"/>
  <c r="U30" i="1"/>
  <c r="U32" i="1"/>
  <c r="U38" i="1"/>
  <c r="U39" i="1"/>
  <c r="U93" i="1"/>
  <c r="U95" i="1"/>
  <c r="U101" i="1"/>
  <c r="U103" i="1"/>
  <c r="U29" i="1"/>
  <c r="U31" i="1"/>
  <c r="U37" i="1"/>
  <c r="U92" i="1"/>
  <c r="U94" i="1"/>
  <c r="U96" i="1"/>
  <c r="U100" i="1"/>
  <c r="U102" i="1"/>
  <c r="U104" i="1"/>
  <c r="U36" i="1"/>
  <c r="U26" i="1"/>
  <c r="U18" i="1"/>
  <c r="U25" i="1"/>
  <c r="U23" i="1"/>
  <c r="U40" i="1" l="1"/>
  <c r="U13" i="1"/>
  <c r="U15" i="1"/>
</calcChain>
</file>

<file path=xl/sharedStrings.xml><?xml version="1.0" encoding="utf-8"?>
<sst xmlns="http://schemas.openxmlformats.org/spreadsheetml/2006/main" count="174" uniqueCount="134">
  <si>
    <t>No</t>
  </si>
  <si>
    <t>Pemasaran Daerah</t>
  </si>
  <si>
    <t>Wilayah</t>
  </si>
  <si>
    <t>Fasilitas</t>
  </si>
  <si>
    <t>Target</t>
  </si>
  <si>
    <t>TOTAL</t>
  </si>
  <si>
    <t>RATA RATA</t>
  </si>
  <si>
    <t>Sulawesi Barat</t>
  </si>
  <si>
    <t>Mobil 1 Unit</t>
  </si>
  <si>
    <t xml:space="preserve">Anggota </t>
  </si>
  <si>
    <t>Donggala</t>
  </si>
  <si>
    <t>Motor 1 Unit</t>
  </si>
  <si>
    <t>Mamuju</t>
  </si>
  <si>
    <t>Mamuju Utara</t>
  </si>
  <si>
    <t>Mamuju Tengah</t>
  </si>
  <si>
    <t>Polman</t>
  </si>
  <si>
    <t>Majene</t>
  </si>
  <si>
    <t>: Yusri Suhaeri</t>
  </si>
  <si>
    <t>: Arifin</t>
  </si>
  <si>
    <t>Toli Toli</t>
  </si>
  <si>
    <t>Gorontalo</t>
  </si>
  <si>
    <t>Palu</t>
  </si>
  <si>
    <t>Poso</t>
  </si>
  <si>
    <t>Morowali</t>
  </si>
  <si>
    <t>Luwu Utara</t>
  </si>
  <si>
    <t>Luwu Timur</t>
  </si>
  <si>
    <t>Luwu</t>
  </si>
  <si>
    <t>Palopo</t>
  </si>
  <si>
    <t>Sulawesi Tenggara</t>
  </si>
  <si>
    <t>Kolaka Utara</t>
  </si>
  <si>
    <t>Kolaka Kota</t>
  </si>
  <si>
    <t xml:space="preserve">Bombana </t>
  </si>
  <si>
    <t>Kendari</t>
  </si>
  <si>
    <t>Konawe Selatan</t>
  </si>
  <si>
    <t>Konawe Utara</t>
  </si>
  <si>
    <t xml:space="preserve">Raha </t>
  </si>
  <si>
    <t>Buton</t>
  </si>
  <si>
    <t>Pinrang</t>
  </si>
  <si>
    <t>Wilayah II</t>
  </si>
  <si>
    <t>Pare Pare</t>
  </si>
  <si>
    <t>Barru</t>
  </si>
  <si>
    <t xml:space="preserve">Pangkep </t>
  </si>
  <si>
    <t>Maros</t>
  </si>
  <si>
    <t>Wajo</t>
  </si>
  <si>
    <t>Bone</t>
  </si>
  <si>
    <t>Sinjai</t>
  </si>
  <si>
    <t>Bulukumba/Selayar/Bantaeng</t>
  </si>
  <si>
    <t>ANTAR PULAU</t>
  </si>
  <si>
    <t>Luwuk Banggai</t>
  </si>
  <si>
    <t>Yogyakarta</t>
  </si>
  <si>
    <t>Ternate</t>
  </si>
  <si>
    <t>Gresik</t>
  </si>
  <si>
    <t>Sumbawa/ Lombok</t>
  </si>
  <si>
    <t>Tuban/Surabaya</t>
  </si>
  <si>
    <t>Berau, Kal. Utara</t>
  </si>
  <si>
    <t>Tarakan/Nunukan, Kalut</t>
  </si>
  <si>
    <t>Balikpapan/Samarinda, Kaltim</t>
  </si>
  <si>
    <t>Semarang</t>
  </si>
  <si>
    <t>Papua/ Jaya Pura</t>
  </si>
  <si>
    <t>Pangkal Pinang</t>
  </si>
  <si>
    <t>Bengkulu/ Bengkalis</t>
  </si>
  <si>
    <t>Manado</t>
  </si>
  <si>
    <t>REALISASI</t>
  </si>
  <si>
    <t>% vs Target</t>
  </si>
  <si>
    <t>Parigi</t>
  </si>
  <si>
    <t>Moutong</t>
  </si>
  <si>
    <t>Bulukumba (Intensif)</t>
  </si>
  <si>
    <t>Takalar (Intensif)</t>
  </si>
  <si>
    <t>Makassar</t>
  </si>
  <si>
    <t>Asist. Korwil</t>
  </si>
  <si>
    <t>: Wahyudi</t>
  </si>
  <si>
    <t>: Sam Nugraha Kinas</t>
  </si>
  <si>
    <t>Januari</t>
  </si>
  <si>
    <t>Jumlah</t>
  </si>
  <si>
    <t>Cash Back</t>
  </si>
  <si>
    <t>Pontianak, Kalbar</t>
  </si>
  <si>
    <t>Batu Licin, Kalsel</t>
  </si>
  <si>
    <t xml:space="preserve"> </t>
  </si>
  <si>
    <t>Sulawesi Tengah</t>
  </si>
  <si>
    <t>Jalang'E (Petak 7, 8 9)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</si>
  <si>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</si>
  <si>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</si>
  <si>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</si>
  <si>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</si>
  <si>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</si>
  <si>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</si>
  <si>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</si>
  <si>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</si>
  <si>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</si>
  <si>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</si>
  <si>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</si>
  <si>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Buol</t>
  </si>
  <si>
    <t>Penjualan per 01 s/d 31 Desember 2022</t>
  </si>
  <si>
    <t>Donggulu 1</t>
  </si>
  <si>
    <t>Donggulu 2</t>
  </si>
  <si>
    <t xml:space="preserve">Tomoli, Parigi </t>
  </si>
  <si>
    <t>Siney, Parigi</t>
  </si>
  <si>
    <t xml:space="preserve">Bambapula 1, Dampal </t>
  </si>
  <si>
    <t>Lombonga, Donggala</t>
  </si>
  <si>
    <t>: Hasrul Hasan</t>
  </si>
  <si>
    <t>Penjualan per 01 s/d 31 Januari 2023</t>
  </si>
  <si>
    <t>Jeneponto</t>
  </si>
  <si>
    <t>Penjualan per 01 s/d 28 Februari 2023</t>
  </si>
  <si>
    <t>Penjualan per 01 s/d 31 Maret 2023</t>
  </si>
  <si>
    <t>Luwuk Banggai (Intensif)</t>
  </si>
  <si>
    <t>Penjualan per 01 s/d 30 April 2023</t>
  </si>
  <si>
    <t>Penjualan per 01 s/d 31 Mei 2023</t>
  </si>
  <si>
    <t>Penjualan per 01 s/d 30 Juni 2023</t>
  </si>
  <si>
    <t>Penjualan per 01 s/d 31 Agustus 2023</t>
  </si>
  <si>
    <t>Penjualan per 01 s/d 31 Juli 2023</t>
  </si>
  <si>
    <t>Penjualan per 01 s/d 30 September 2023</t>
  </si>
  <si>
    <t>Penjualan per 01 s/d 31 Oktober 2023</t>
  </si>
  <si>
    <t>Penjualan per 01 s/d 30 November 2023</t>
  </si>
  <si>
    <t>Lingadan Perusahaan</t>
  </si>
  <si>
    <t>Lingadan Masyarakat</t>
  </si>
  <si>
    <t>Tambak Intensif Luar</t>
  </si>
  <si>
    <t>Tambak Intensif Perusahaan</t>
  </si>
  <si>
    <t>Korwil</t>
  </si>
  <si>
    <t>: Ismed Akhdiat</t>
  </si>
  <si>
    <t>Luwu Raya 1</t>
  </si>
  <si>
    <t>Luwu Raya 2</t>
  </si>
  <si>
    <t>REALISASI PEMASARAN DAERAH</t>
  </si>
  <si>
    <t>BULAN JANUARI - DESEMBER 2025</t>
  </si>
  <si>
    <t>Bambapula 2, Dampal Blok A</t>
  </si>
  <si>
    <t>Bambapula 2, Dampal Blok B</t>
  </si>
  <si>
    <t>Lado, Parigi</t>
  </si>
  <si>
    <t>Tot</t>
  </si>
  <si>
    <t>Awal</t>
  </si>
  <si>
    <t>Mamuju Utara (Intensif)</t>
  </si>
  <si>
    <t>Parigi (Intensif)</t>
  </si>
  <si>
    <t>Moutong (intensif)</t>
  </si>
  <si>
    <t>Morowali (Intensif)</t>
  </si>
  <si>
    <t>Okt</t>
  </si>
  <si>
    <t>Selisih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</si>
</sst>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149">
    <xf numFmtId="0" fontId="0" fillId="0" borderId="0" xfId="0"/>
    <xf numFmtId="0" fontId="0" fillId="0" borderId="0" xfId="0" applyAlignment="1">
      <alignment horizontal="center" vertical="center"/>
    </xf>
    <xf numFmtId="0" fontId="4" fillId="0" borderId="20" xfId="3" applyFont="1" applyBorder="1"/>
    <xf numFmtId="164" fontId="0" fillId="0" borderId="0" xfId="0" applyNumberFormat="1"/>
    <xf numFmtId="10" fontId="0" fillId="0" borderId="0" xfId="2" applyNumberFormat="1" applyFont="1"/>
    <xf numFmtId="0" fontId="5" fillId="0" borderId="0" xfId="0" applyFont="1" applyAlignment="1">
      <alignment horizontal="center" vertical="center"/>
    </xf>
    <xf numFmtId="0" fontId="5" fillId="0" borderId="0" xfId="0" applyFont="1"/>
    <xf numFmtId="10" fontId="5" fillId="0" borderId="0" xfId="2" applyNumberFormat="1" applyFont="1"/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2" borderId="15" xfId="0" applyFont="1" applyFill="1" applyBorder="1"/>
    <xf numFmtId="10" fontId="5" fillId="2" borderId="15" xfId="2" applyNumberFormat="1" applyFont="1" applyFill="1" applyBorder="1"/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2" borderId="21" xfId="0" applyFont="1" applyFill="1" applyBorder="1"/>
    <xf numFmtId="10" fontId="5" fillId="2" borderId="21" xfId="2" applyNumberFormat="1" applyFont="1" applyFill="1" applyBorder="1"/>
    <xf numFmtId="41" fontId="5" fillId="0" borderId="20" xfId="1" applyFont="1" applyBorder="1"/>
    <xf numFmtId="164" fontId="5" fillId="2" borderId="21" xfId="0" applyNumberFormat="1" applyFont="1" applyFill="1" applyBorder="1"/>
    <xf numFmtId="166" fontId="5" fillId="2" borderId="21" xfId="0" applyNumberFormat="1" applyFont="1" applyFill="1" applyBorder="1"/>
    <xf numFmtId="164" fontId="5" fillId="0" borderId="20" xfId="1" applyNumberFormat="1" applyFont="1" applyBorder="1"/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164" fontId="5" fillId="0" borderId="26" xfId="1" applyNumberFormat="1" applyFont="1" applyBorder="1"/>
    <xf numFmtId="164" fontId="5" fillId="0" borderId="14" xfId="1" applyNumberFormat="1" applyFont="1" applyBorder="1"/>
    <xf numFmtId="41" fontId="5" fillId="0" borderId="26" xfId="1" applyFont="1" applyBorder="1"/>
    <xf numFmtId="41" fontId="5" fillId="0" borderId="14" xfId="1" applyFont="1" applyBorder="1"/>
    <xf numFmtId="0" fontId="7" fillId="0" borderId="19" xfId="0" applyFont="1" applyBorder="1"/>
    <xf numFmtId="0" fontId="5" fillId="0" borderId="4" xfId="0" applyFont="1" applyBorder="1" applyAlignment="1">
      <alignment horizontal="center" vertical="center"/>
    </xf>
    <xf numFmtId="0" fontId="5" fillId="0" borderId="5" xfId="0" applyFont="1" applyBorder="1"/>
    <xf numFmtId="0" fontId="5" fillId="0" borderId="8" xfId="0" applyFont="1" applyBorder="1"/>
    <xf numFmtId="0" fontId="4" fillId="0" borderId="17" xfId="0" applyFont="1" applyBorder="1"/>
    <xf numFmtId="0" fontId="8" fillId="0" borderId="0" xfId="0" applyFont="1" applyAlignment="1">
      <alignment horizontal="center" vertical="center"/>
    </xf>
    <xf numFmtId="0" fontId="4" fillId="0" borderId="11" xfId="0" applyFont="1" applyBorder="1"/>
    <xf numFmtId="0" fontId="5" fillId="0" borderId="18" xfId="3" applyFont="1" applyBorder="1"/>
    <xf numFmtId="0" fontId="5" fillId="0" borderId="6" xfId="3" applyFont="1" applyBorder="1"/>
    <xf numFmtId="0" fontId="4" fillId="3" borderId="27" xfId="0" applyFont="1" applyFill="1" applyBorder="1" applyAlignment="1">
      <alignment horizontal="center" vertical="center"/>
    </xf>
    <xf numFmtId="0" fontId="4" fillId="3" borderId="28" xfId="0" applyFont="1" applyFill="1" applyBorder="1"/>
    <xf numFmtId="0" fontId="4" fillId="3" borderId="29" xfId="0" applyFont="1" applyFill="1" applyBorder="1"/>
    <xf numFmtId="0" fontId="4" fillId="3" borderId="30" xfId="0" applyFont="1" applyFill="1" applyBorder="1"/>
    <xf numFmtId="164" fontId="4" fillId="3" borderId="31" xfId="1" applyNumberFormat="1" applyFont="1" applyFill="1" applyBorder="1"/>
    <xf numFmtId="164" fontId="4" fillId="3" borderId="32" xfId="0" applyNumberFormat="1" applyFont="1" applyFill="1" applyBorder="1"/>
    <xf numFmtId="10" fontId="4" fillId="3" borderId="32" xfId="2" applyNumberFormat="1" applyFont="1" applyFill="1" applyBorder="1"/>
    <xf numFmtId="166" fontId="4" fillId="3" borderId="32" xfId="0" applyNumberFormat="1" applyFont="1" applyFill="1" applyBorder="1"/>
    <xf numFmtId="0" fontId="8" fillId="0" borderId="0" xfId="0" applyFont="1"/>
    <xf numFmtId="41" fontId="4" fillId="3" borderId="31" xfId="1" applyFont="1" applyFill="1" applyBorder="1"/>
    <xf numFmtId="41" fontId="4" fillId="3" borderId="32" xfId="1" applyFont="1" applyFill="1" applyBorder="1"/>
    <xf numFmtId="0" fontId="4" fillId="4" borderId="27" xfId="0" applyFont="1" applyFill="1" applyBorder="1" applyAlignment="1">
      <alignment horizontal="center" vertical="center"/>
    </xf>
    <xf numFmtId="0" fontId="4" fillId="4" borderId="30" xfId="0" applyFont="1" applyFill="1" applyBorder="1"/>
    <xf numFmtId="164" fontId="4" fillId="4" borderId="33" xfId="0" applyNumberFormat="1" applyFont="1" applyFill="1" applyBorder="1"/>
    <xf numFmtId="41" fontId="5" fillId="0" borderId="0" xfId="0" applyNumberFormat="1" applyFont="1"/>
    <xf numFmtId="41" fontId="5" fillId="0" borderId="12" xfId="0" applyNumberFormat="1" applyFont="1" applyBorder="1"/>
    <xf numFmtId="41" fontId="5" fillId="0" borderId="18" xfId="0" applyNumberFormat="1" applyFont="1" applyBorder="1"/>
    <xf numFmtId="41" fontId="4" fillId="3" borderId="29" xfId="0" applyNumberFormat="1" applyFont="1" applyFill="1" applyBorder="1"/>
    <xf numFmtId="41" fontId="5" fillId="0" borderId="24" xfId="0" applyNumberFormat="1" applyFont="1" applyBorder="1"/>
    <xf numFmtId="41" fontId="5" fillId="0" borderId="6" xfId="0" applyNumberFormat="1" applyFont="1" applyBorder="1"/>
    <xf numFmtId="41" fontId="4" fillId="3" borderId="30" xfId="0" applyNumberFormat="1" applyFont="1" applyFill="1" applyBorder="1"/>
    <xf numFmtId="41" fontId="4" fillId="4" borderId="30" xfId="0" applyNumberFormat="1" applyFont="1" applyFill="1" applyBorder="1"/>
    <xf numFmtId="41" fontId="0" fillId="0" borderId="0" xfId="0" applyNumberFormat="1"/>
    <xf numFmtId="41" fontId="5" fillId="0" borderId="35" xfId="0" applyNumberFormat="1" applyFont="1" applyBorder="1"/>
    <xf numFmtId="0" fontId="11" fillId="0" borderId="0" xfId="0" applyFont="1"/>
    <xf numFmtId="41" fontId="4" fillId="0" borderId="0" xfId="0" applyNumberFormat="1" applyFont="1"/>
    <xf numFmtId="41" fontId="11" fillId="0" borderId="36" xfId="0" applyNumberFormat="1" applyFont="1" applyBorder="1"/>
    <xf numFmtId="0" fontId="4" fillId="4" borderId="28" xfId="0" applyFont="1" applyFill="1" applyBorder="1"/>
    <xf numFmtId="41" fontId="4" fillId="4" borderId="29" xfId="0" applyNumberFormat="1" applyFont="1" applyFill="1" applyBorder="1"/>
    <xf numFmtId="0" fontId="4" fillId="4" borderId="29" xfId="0" applyFont="1" applyFill="1" applyBorder="1"/>
    <xf numFmtId="41" fontId="4" fillId="4" borderId="31" xfId="0" applyNumberFormat="1" applyFont="1" applyFill="1" applyBorder="1"/>
    <xf numFmtId="0" fontId="4" fillId="0" borderId="17" xfId="3" applyFont="1" applyBorder="1"/>
    <xf numFmtId="164" fontId="4" fillId="4" borderId="34" xfId="0" applyNumberFormat="1" applyFont="1" applyFill="1" applyBorder="1"/>
    <xf numFmtId="41" fontId="4" fillId="4" borderId="33" xfId="0" applyNumberFormat="1" applyFont="1" applyFill="1" applyBorder="1"/>
    <xf numFmtId="41" fontId="4" fillId="3" borderId="28" xfId="1" applyFont="1" applyFill="1" applyBorder="1"/>
    <xf numFmtId="164" fontId="4" fillId="4" borderId="27" xfId="0" applyNumberFormat="1" applyFont="1" applyFill="1" applyBorder="1"/>
    <xf numFmtId="10" fontId="4" fillId="4" borderId="32" xfId="2" applyNumberFormat="1" applyFont="1" applyFill="1" applyBorder="1"/>
    <xf numFmtId="0" fontId="4" fillId="4" borderId="39" xfId="0" applyFont="1" applyFill="1" applyBorder="1" applyAlignment="1">
      <alignment horizontal="center" vertical="center"/>
    </xf>
    <xf numFmtId="164" fontId="4" fillId="3" borderId="34" xfId="0" applyNumberFormat="1" applyFont="1" applyFill="1" applyBorder="1"/>
    <xf numFmtId="164" fontId="4" fillId="3" borderId="31" xfId="0" applyNumberFormat="1" applyFont="1" applyFill="1" applyBorder="1"/>
    <xf numFmtId="0" fontId="12" fillId="0" borderId="0" xfId="0" applyFont="1"/>
    <xf numFmtId="10" fontId="10" fillId="0" borderId="0" xfId="2" applyNumberFormat="1" applyFont="1" applyAlignment="1">
      <alignment horizontal="right"/>
    </xf>
    <xf numFmtId="41" fontId="4" fillId="4" borderId="27" xfId="0" applyNumberFormat="1" applyFont="1" applyFill="1" applyBorder="1"/>
    <xf numFmtId="0" fontId="0" fillId="0" borderId="17" xfId="0" applyBorder="1"/>
    <xf numFmtId="0" fontId="4" fillId="4" borderId="41" xfId="0" applyFont="1" applyFill="1" applyBorder="1" applyAlignment="1">
      <alignment horizontal="center" vertical="center"/>
    </xf>
    <xf numFmtId="41" fontId="5" fillId="0" borderId="19" xfId="1" applyFont="1" applyBorder="1"/>
    <xf numFmtId="164" fontId="5" fillId="0" borderId="19" xfId="1" applyNumberFormat="1" applyFont="1" applyBorder="1"/>
    <xf numFmtId="164" fontId="5" fillId="0" borderId="13" xfId="1" applyNumberFormat="1" applyFont="1" applyBorder="1"/>
    <xf numFmtId="41" fontId="5" fillId="0" borderId="25" xfId="1" applyFont="1" applyBorder="1"/>
    <xf numFmtId="41" fontId="5" fillId="0" borderId="13" xfId="1" applyFont="1" applyBorder="1"/>
    <xf numFmtId="164" fontId="5" fillId="0" borderId="25" xfId="1" applyNumberFormat="1" applyFont="1" applyBorder="1"/>
    <xf numFmtId="41" fontId="4" fillId="3" borderId="30" xfId="1" applyFont="1" applyFill="1" applyBorder="1"/>
    <xf numFmtId="0" fontId="5" fillId="0" borderId="42" xfId="0" applyFont="1" applyBorder="1"/>
    <xf numFmtId="41" fontId="5" fillId="0" borderId="18" xfId="1" applyFont="1" applyBorder="1"/>
    <xf numFmtId="41" fontId="5" fillId="0" borderId="24" xfId="1" applyFont="1" applyBorder="1"/>
    <xf numFmtId="41" fontId="5" fillId="0" borderId="12" xfId="1" applyFont="1" applyBorder="1"/>
    <xf numFmtId="164" fontId="5" fillId="0" borderId="24" xfId="1" applyNumberFormat="1" applyFont="1" applyBorder="1"/>
    <xf numFmtId="41" fontId="5" fillId="0" borderId="6" xfId="1" applyFont="1" applyBorder="1"/>
    <xf numFmtId="164" fontId="4" fillId="3" borderId="30" xfId="1" applyNumberFormat="1" applyFont="1" applyFill="1" applyBorder="1"/>
    <xf numFmtId="0" fontId="5" fillId="0" borderId="43" xfId="0" applyFont="1" applyBorder="1"/>
    <xf numFmtId="41" fontId="5" fillId="0" borderId="17" xfId="1" applyFont="1" applyBorder="1"/>
    <xf numFmtId="164" fontId="5" fillId="0" borderId="17" xfId="1" applyNumberFormat="1" applyFont="1" applyBorder="1"/>
    <xf numFmtId="164" fontId="5" fillId="0" borderId="11" xfId="1" applyNumberFormat="1" applyFont="1" applyBorder="1"/>
    <xf numFmtId="41" fontId="5" fillId="0" borderId="23" xfId="1" applyFont="1" applyBorder="1"/>
    <xf numFmtId="41" fontId="5" fillId="0" borderId="11" xfId="1" applyFont="1" applyBorder="1"/>
    <xf numFmtId="164" fontId="5" fillId="0" borderId="23" xfId="1" applyNumberFormat="1" applyFont="1" applyBorder="1"/>
    <xf numFmtId="41" fontId="5" fillId="0" borderId="5" xfId="1" applyFont="1" applyBorder="1"/>
    <xf numFmtId="41" fontId="7" fillId="0" borderId="20" xfId="1" applyFont="1" applyBorder="1"/>
    <xf numFmtId="0" fontId="5" fillId="0" borderId="6" xfId="0" applyFont="1" applyBorder="1"/>
    <xf numFmtId="0" fontId="5" fillId="2" borderId="44" xfId="0" applyFont="1" applyFill="1" applyBorder="1"/>
    <xf numFmtId="164" fontId="5" fillId="2" borderId="44" xfId="0" applyNumberFormat="1" applyFont="1" applyFill="1" applyBorder="1"/>
    <xf numFmtId="0" fontId="5" fillId="0" borderId="24" xfId="3" applyFont="1" applyBorder="1"/>
    <xf numFmtId="0" fontId="5" fillId="2" borderId="3" xfId="0" applyFont="1" applyFill="1" applyBorder="1"/>
    <xf numFmtId="166" fontId="5" fillId="2" borderId="21" xfId="1" applyNumberFormat="1" applyFont="1" applyFill="1" applyBorder="1"/>
    <xf numFmtId="41" fontId="0" fillId="0" borderId="0" xfId="1" applyFont="1"/>
    <xf numFmtId="41" fontId="8" fillId="0" borderId="0" xfId="1" applyFont="1" applyAlignment="1">
      <alignment horizontal="center" vertical="center"/>
    </xf>
    <xf numFmtId="41" fontId="8" fillId="0" borderId="0" xfId="1" applyFont="1"/>
    <xf numFmtId="41" fontId="5" fillId="0" borderId="0" xfId="1" applyFont="1"/>
    <xf numFmtId="41" fontId="4" fillId="4" borderId="28" xfId="0" applyNumberFormat="1" applyFont="1" applyFill="1" applyBorder="1"/>
    <xf numFmtId="41" fontId="4" fillId="4" borderId="32" xfId="0" applyNumberFormat="1" applyFont="1" applyFill="1" applyBorder="1"/>
    <xf numFmtId="41" fontId="4" fillId="3" borderId="27" xfId="1" applyFont="1" applyFill="1" applyBorder="1"/>
    <xf numFmtId="10" fontId="4" fillId="3" borderId="27" xfId="2" applyNumberFormat="1" applyFont="1" applyFill="1" applyBorder="1"/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/>
    <xf numFmtId="41" fontId="5" fillId="0" borderId="47" xfId="0" applyNumberFormat="1" applyFont="1" applyBorder="1"/>
    <xf numFmtId="167" fontId="5" fillId="0" borderId="0" xfId="5" applyNumberFormat="1" applyFont="1"/>
    <xf numFmtId="167" fontId="8" fillId="0" borderId="0" xfId="5" applyNumberFormat="1" applyFont="1"/>
    <xf numFmtId="167" fontId="13" fillId="0" borderId="0" xfId="5" applyNumberFormat="1" applyFont="1"/>
    <xf numFmtId="10" fontId="10" fillId="0" borderId="0" xfId="2" applyNumberFormat="1" applyFont="1" applyAlignment="1">
      <alignment horizontal="right"/>
    </xf>
    <xf numFmtId="10" fontId="4" fillId="2" borderId="3" xfId="2" applyNumberFormat="1" applyFont="1" applyFill="1" applyBorder="1" applyAlignment="1">
      <alignment horizontal="center" vertical="center"/>
    </xf>
    <xf numFmtId="10" fontId="4" fillId="2" borderId="9" xfId="2" applyNumberFormat="1" applyFont="1" applyFill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40" xfId="0" applyFont="1" applyFill="1" applyBorder="1" applyAlignment="1">
      <alignment horizontal="center" vertical="center"/>
    </xf>
  </cellXfs>
  <cellStyles count="6">
    <cellStyle name="Comma" xfId="5" builtinId="3"/>
    <cellStyle name="Comma [0]" xfId="1" builtinId="6"/>
    <cellStyle name="Comma [0] 3" xfId="4" xr:uid="{00000000-0005-0000-0000-000002000000}"/>
    <cellStyle name="Normal" xfId="0" builtinId="0"/>
    <cellStyle name="Normal 3" xfId="3" xr:uid="{00000000-0005-0000-0000-000004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Pengambilan Terbanyak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0059672212044"/>
          <c:y val="0.15643578324251059"/>
          <c:w val="0.85531081630190831"/>
          <c:h val="0.77963292854969435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7"/>
              <c:layout>
                <c:manualLayout>
                  <c:x val="-5.9353425393673116E-2"/>
                  <c:y val="-1.96920748701990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F6-49AD-A1F4-1C58397B42E3}"/>
                </c:ext>
              </c:extLst>
            </c:dLbl>
            <c:dLbl>
              <c:idx val="9"/>
              <c:layout>
                <c:manualLayout>
                  <c:x val="-2.4118133255093755E-2"/>
                  <c:y val="2.01318184976537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8F6-49AD-A1F4-1C58397B42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'RPD 2024'!$G$5:$P$5</c:f>
              <c:strCache>
                <c:ptCount val="10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</c:strCache>
            </c:strRef>
          </c:cat>
          <c:val>
            <c:numRef>
              <c:f>'RPD 2024'!$G$106:$P$106</c:f>
              <c:numCache>
                <c:formatCode>_-* #,##0_-;\-* #,##0_-;_-* "-"_-;_-@_-</c:formatCode>
                <c:ptCount val="10"/>
                <c:pt idx="0">
                  <c:v>175654490</c:v>
                </c:pt>
                <c:pt idx="1">
                  <c:v>182167024</c:v>
                </c:pt>
                <c:pt idx="2">
                  <c:v>149998150</c:v>
                </c:pt>
                <c:pt idx="3">
                  <c:v>212461200</c:v>
                </c:pt>
                <c:pt idx="4">
                  <c:v>152046900</c:v>
                </c:pt>
                <c:pt idx="5">
                  <c:v>120268000</c:v>
                </c:pt>
                <c:pt idx="6">
                  <c:v>139197500</c:v>
                </c:pt>
                <c:pt idx="7">
                  <c:v>155208659</c:v>
                </c:pt>
                <c:pt idx="8">
                  <c:v>152347784</c:v>
                </c:pt>
                <c:pt idx="9">
                  <c:v>151491968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6-49AD-A1F4-1C58397B42E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73198440"/>
        <c:axId val="573199880"/>
      </c:lineChart>
      <c:catAx>
        <c:axId val="5731984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99880"/>
        <c:crosses val="autoZero"/>
        <c:auto val="1"/>
        <c:lblAlgn val="ctr"/>
        <c:lblOffset val="100"/>
        <c:noMultiLvlLbl val="0"/>
      </c:catAx>
      <c:valAx>
        <c:axId val="5731998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98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Lokasi pengambilan terbanyak April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('RPD 2024'!$E$8:$E$14,'RPD 2024'!$E$18:$E$25,'RPD 2024'!$E$29:$E$32,'RPD 2024'!$E$36:$E$39,'RPD 2024'!$E$43:$E$50,'RPD 2024'!$E$54:$E$56,'RPD 2024'!$E$59:$E$60,'RPD 2024'!$E$64:$E$72,'RPD 2024'!$E$75:$E$86,'RPD 2024'!$E$90:$E$104)</c:f>
              <c:strCache>
                <c:ptCount val="72"/>
                <c:pt idx="0">
                  <c:v>Donggala</c:v>
                </c:pt>
                <c:pt idx="1">
                  <c:v>Mamuju</c:v>
                </c:pt>
                <c:pt idx="2">
                  <c:v>Mamuju Utara</c:v>
                </c:pt>
                <c:pt idx="3">
                  <c:v>Mamuju Tengah</c:v>
                </c:pt>
                <c:pt idx="4">
                  <c:v>Polman</c:v>
                </c:pt>
                <c:pt idx="5">
                  <c:v>Pinrang</c:v>
                </c:pt>
                <c:pt idx="6">
                  <c:v>Majene</c:v>
                </c:pt>
                <c:pt idx="7">
                  <c:v>Parigi</c:v>
                </c:pt>
                <c:pt idx="8">
                  <c:v>Moutong</c:v>
                </c:pt>
                <c:pt idx="9">
                  <c:v>Toli Toli</c:v>
                </c:pt>
                <c:pt idx="10">
                  <c:v>Buol</c:v>
                </c:pt>
                <c:pt idx="11">
                  <c:v>Gorontalo</c:v>
                </c:pt>
                <c:pt idx="12">
                  <c:v>Palu</c:v>
                </c:pt>
                <c:pt idx="13">
                  <c:v>Poso</c:v>
                </c:pt>
                <c:pt idx="14">
                  <c:v>Luwuk Banggai</c:v>
                </c:pt>
                <c:pt idx="15">
                  <c:v>Pare Pare</c:v>
                </c:pt>
                <c:pt idx="16">
                  <c:v>Barru</c:v>
                </c:pt>
                <c:pt idx="17">
                  <c:v>Pangkep </c:v>
                </c:pt>
                <c:pt idx="18">
                  <c:v>Maros</c:v>
                </c:pt>
                <c:pt idx="19">
                  <c:v>Wajo</c:v>
                </c:pt>
                <c:pt idx="20">
                  <c:v>Bone</c:v>
                </c:pt>
                <c:pt idx="21">
                  <c:v>Sinjai</c:v>
                </c:pt>
                <c:pt idx="22">
                  <c:v>Bulukumba/Selayar/Bantaeng</c:v>
                </c:pt>
                <c:pt idx="23">
                  <c:v>Kolaka Utara</c:v>
                </c:pt>
                <c:pt idx="24">
                  <c:v>Kolaka Kota</c:v>
                </c:pt>
                <c:pt idx="25">
                  <c:v>Bombana </c:v>
                </c:pt>
                <c:pt idx="26">
                  <c:v>Kendari</c:v>
                </c:pt>
                <c:pt idx="27">
                  <c:v>Konawe Selatan</c:v>
                </c:pt>
                <c:pt idx="28">
                  <c:v>Konawe Utara</c:v>
                </c:pt>
                <c:pt idx="29">
                  <c:v>Raha </c:v>
                </c:pt>
                <c:pt idx="30">
                  <c:v>Buton</c:v>
                </c:pt>
                <c:pt idx="31">
                  <c:v>Luwu Utara</c:v>
                </c:pt>
                <c:pt idx="32">
                  <c:v>Morowali</c:v>
                </c:pt>
                <c:pt idx="33">
                  <c:v>Luwu Timur</c:v>
                </c:pt>
                <c:pt idx="34">
                  <c:v>Luwu</c:v>
                </c:pt>
                <c:pt idx="35">
                  <c:v>Palopo</c:v>
                </c:pt>
                <c:pt idx="36">
                  <c:v>Takalar (Intensif)</c:v>
                </c:pt>
                <c:pt idx="37">
                  <c:v>Jeneponto</c:v>
                </c:pt>
                <c:pt idx="38">
                  <c:v>Bulukumba (Intensif)</c:v>
                </c:pt>
                <c:pt idx="39">
                  <c:v>Luwuk Banggai (Intensif)</c:v>
                </c:pt>
                <c:pt idx="40">
                  <c:v>Mamuju Utara (Intensif)</c:v>
                </c:pt>
                <c:pt idx="41">
                  <c:v>Parigi (Intensif)</c:v>
                </c:pt>
                <c:pt idx="42">
                  <c:v>Moutong (intensif)</c:v>
                </c:pt>
                <c:pt idx="43">
                  <c:v>Morowali (Intensif)</c:v>
                </c:pt>
                <c:pt idx="44">
                  <c:v>Makassar</c:v>
                </c:pt>
                <c:pt idx="45">
                  <c:v>Jalang'E (Petak 7, 8 9)</c:v>
                </c:pt>
                <c:pt idx="46">
                  <c:v>Donggulu 1</c:v>
                </c:pt>
                <c:pt idx="47">
                  <c:v>Donggulu 2</c:v>
                </c:pt>
                <c:pt idx="48">
                  <c:v>Lingadan Perusahaan</c:v>
                </c:pt>
                <c:pt idx="49">
                  <c:v>Lingadan Masyarakat</c:v>
                </c:pt>
                <c:pt idx="50">
                  <c:v>Tomoli, Parigi </c:v>
                </c:pt>
                <c:pt idx="51">
                  <c:v>Siney, Parigi</c:v>
                </c:pt>
                <c:pt idx="52">
                  <c:v>Bambapula 1, Dampal </c:v>
                </c:pt>
                <c:pt idx="53">
                  <c:v>Bambapula 2, Dampal Blok A</c:v>
                </c:pt>
                <c:pt idx="54">
                  <c:v>Bambapula 2, Dampal Blok B</c:v>
                </c:pt>
                <c:pt idx="55">
                  <c:v>Lado, Parigi</c:v>
                </c:pt>
                <c:pt idx="56">
                  <c:v>Lombonga, Donggala</c:v>
                </c:pt>
                <c:pt idx="57">
                  <c:v>Yogyakarta</c:v>
                </c:pt>
                <c:pt idx="58">
                  <c:v>Ternate</c:v>
                </c:pt>
                <c:pt idx="59">
                  <c:v>Gresik</c:v>
                </c:pt>
                <c:pt idx="60">
                  <c:v>Sumbawa/ Lombok</c:v>
                </c:pt>
                <c:pt idx="61">
                  <c:v>Tuban/Surabaya</c:v>
                </c:pt>
                <c:pt idx="62">
                  <c:v>Berau, Kal. Utara</c:v>
                </c:pt>
                <c:pt idx="63">
                  <c:v>Tarakan/Nunukan, Kalut</c:v>
                </c:pt>
                <c:pt idx="64">
                  <c:v>Pontianak, Kalbar</c:v>
                </c:pt>
                <c:pt idx="65">
                  <c:v>Balikpapan/Samarinda, Kaltim</c:v>
                </c:pt>
                <c:pt idx="66">
                  <c:v>Batu Licin, Kalsel</c:v>
                </c:pt>
                <c:pt idx="67">
                  <c:v>Semarang</c:v>
                </c:pt>
                <c:pt idx="68">
                  <c:v>Papua/ Jaya Pura</c:v>
                </c:pt>
                <c:pt idx="69">
                  <c:v>Pangkal Pinang</c:v>
                </c:pt>
                <c:pt idx="70">
                  <c:v>Bengkulu/ Bengkalis</c:v>
                </c:pt>
                <c:pt idx="71">
                  <c:v>Manado</c:v>
                </c:pt>
              </c:strCache>
            </c:strRef>
          </c:cat>
          <c:val>
            <c:numRef>
              <c:f>('RPD 2024'!$J$8:$J$14,'RPD 2024'!$J$18:$J$25,'RPD 2024'!$J$29:$J$32,'RPD 2024'!$J$36:$J$39,'RPD 2024'!$J$43:$J$50,'RPD 2024'!$J$54:$J$56,'RPD 2024'!$J$59:$J$60,'RPD 2024'!$J$64:$J$72,'RPD 2024'!$J$75:$J$86,'RPD 2024'!$J$90:$J$104)</c:f>
              <c:numCache>
                <c:formatCode>_(* #,##0_);_(* \(#,##0\);_(* "-"_);_(@_)</c:formatCode>
                <c:ptCount val="72"/>
                <c:pt idx="0">
                  <c:v>1600000</c:v>
                </c:pt>
                <c:pt idx="1">
                  <c:v>3423000</c:v>
                </c:pt>
                <c:pt idx="2">
                  <c:v>5054500</c:v>
                </c:pt>
                <c:pt idx="3">
                  <c:v>4453500</c:v>
                </c:pt>
                <c:pt idx="4">
                  <c:v>7158000</c:v>
                </c:pt>
                <c:pt idx="5">
                  <c:v>5812000</c:v>
                </c:pt>
                <c:pt idx="6" formatCode="_-* #,##0_-;\-* #,##0_-;_-* &quot;-&quot;_-;_-@_-">
                  <c:v>555000</c:v>
                </c:pt>
                <c:pt idx="7">
                  <c:v>3270500</c:v>
                </c:pt>
                <c:pt idx="8">
                  <c:v>8931000</c:v>
                </c:pt>
                <c:pt idx="9">
                  <c:v>250000</c:v>
                </c:pt>
                <c:pt idx="10">
                  <c:v>0</c:v>
                </c:pt>
                <c:pt idx="11">
                  <c:v>11690000</c:v>
                </c:pt>
                <c:pt idx="12">
                  <c:v>0</c:v>
                </c:pt>
                <c:pt idx="13">
                  <c:v>4379500</c:v>
                </c:pt>
                <c:pt idx="14">
                  <c:v>25000</c:v>
                </c:pt>
                <c:pt idx="15">
                  <c:v>605000</c:v>
                </c:pt>
                <c:pt idx="16">
                  <c:v>4690000</c:v>
                </c:pt>
                <c:pt idx="17">
                  <c:v>5537000</c:v>
                </c:pt>
                <c:pt idx="18">
                  <c:v>2104000</c:v>
                </c:pt>
                <c:pt idx="19">
                  <c:v>23980000</c:v>
                </c:pt>
                <c:pt idx="20">
                  <c:v>13090000</c:v>
                </c:pt>
                <c:pt idx="21">
                  <c:v>150000</c:v>
                </c:pt>
                <c:pt idx="22">
                  <c:v>635000</c:v>
                </c:pt>
                <c:pt idx="23">
                  <c:v>3790000</c:v>
                </c:pt>
                <c:pt idx="24">
                  <c:v>2035000</c:v>
                </c:pt>
                <c:pt idx="25">
                  <c:v>2540000</c:v>
                </c:pt>
                <c:pt idx="26">
                  <c:v>0</c:v>
                </c:pt>
                <c:pt idx="27">
                  <c:v>1682000</c:v>
                </c:pt>
                <c:pt idx="28">
                  <c:v>0</c:v>
                </c:pt>
                <c:pt idx="29">
                  <c:v>539000</c:v>
                </c:pt>
                <c:pt idx="30">
                  <c:v>0</c:v>
                </c:pt>
                <c:pt idx="31">
                  <c:v>4252000</c:v>
                </c:pt>
                <c:pt idx="32" formatCode="_-* #,##0_-;\-* #,##0_-;_-* &quot;-&quot;_-;_-@_-">
                  <c:v>2410000</c:v>
                </c:pt>
                <c:pt idx="33">
                  <c:v>10426500</c:v>
                </c:pt>
                <c:pt idx="34">
                  <c:v>2849500</c:v>
                </c:pt>
                <c:pt idx="35">
                  <c:v>1892000</c:v>
                </c:pt>
                <c:pt idx="36">
                  <c:v>0</c:v>
                </c:pt>
                <c:pt idx="37">
                  <c:v>4157700</c:v>
                </c:pt>
                <c:pt idx="38">
                  <c:v>0</c:v>
                </c:pt>
                <c:pt idx="39">
                  <c:v>1000000</c:v>
                </c:pt>
                <c:pt idx="40">
                  <c:v>21638000</c:v>
                </c:pt>
                <c:pt idx="41">
                  <c:v>1800000</c:v>
                </c:pt>
                <c:pt idx="42">
                  <c:v>11040000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9000000</c:v>
                </c:pt>
                <c:pt idx="48">
                  <c:v>0</c:v>
                </c:pt>
                <c:pt idx="49">
                  <c:v>0</c:v>
                </c:pt>
                <c:pt idx="50">
                  <c:v>11830000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600000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9000000</c:v>
                </c:pt>
                <c:pt idx="71">
                  <c:v>2586500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E-44FC-9737-76A8C0110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73167840"/>
        <c:axId val="573156680"/>
      </c:barChart>
      <c:catAx>
        <c:axId val="57316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56680"/>
        <c:crosses val="autoZero"/>
        <c:auto val="1"/>
        <c:lblAlgn val="ctr"/>
        <c:lblOffset val="100"/>
        <c:noMultiLvlLbl val="0"/>
      </c:catAx>
      <c:valAx>
        <c:axId val="573156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6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872629</xdr:colOff>
      <xdr:row>185</xdr:row>
      <xdr:rowOff>4999</xdr:rowOff>
    </xdr:from>
    <xdr:to>
      <xdr:col>9</xdr:col>
      <xdr:colOff>805962</xdr:colOff>
      <xdr:row>205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034321-E95F-15AC-4BA1-C6D7C6402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985434</xdr:colOff>
      <xdr:row>185</xdr:row>
      <xdr:rowOff>4196</xdr:rowOff>
    </xdr:from>
    <xdr:to>
      <xdr:col>21</xdr:col>
      <xdr:colOff>346806</xdr:colOff>
      <xdr:row>210</xdr:row>
      <xdr:rowOff>190500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5E21E4D-0CCD-4457-A1CC-5E6BB4AD0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  <pageSetUpPr fitToPage="1"/>
  </sheetPr>
  <dimension ref="A1:AB192"/>
  <sheetViews>
    <sheetView tabSelected="1" topLeftCell="B1" zoomScale="65" zoomScaleNormal="60" workbookViewId="0">
      <pane ySplit="5" topLeftCell="A184" activePane="bottomLeft" state="frozen"/>
      <selection pane="bottomLeft" activeCell="C197" sqref="C197"/>
    </sheetView>
  </sheetViews>
  <sheetFormatPr defaultRowHeight="15" x14ac:dyDescent="0.25"/>
  <cols>
    <col min="1" max="1" width="5" style="1" customWidth="1"/>
    <col min="2" max="2" width="14" customWidth="1"/>
    <col min="3" max="3" width="23.28515625" style="65" bestFit="1" customWidth="1"/>
    <col min="4" max="4" width="3.7109375" customWidth="1"/>
    <col min="5" max="5" width="30.7109375" customWidth="1"/>
    <col min="6" max="6" width="13.7109375" hidden="1" customWidth="1"/>
    <col min="7" max="9" width="15.5703125" customWidth="1"/>
    <col min="10" max="10" width="14.85546875" customWidth="1"/>
    <col min="11" max="16" width="15.5703125" customWidth="1"/>
    <col min="17" max="17" width="12.5703125" bestFit="1" customWidth="1"/>
    <col min="18" max="18" width="12.28515625" bestFit="1" customWidth="1"/>
    <col min="19" max="19" width="16.5703125" customWidth="1"/>
    <col min="20" max="20" width="17.42578125" customWidth="1"/>
    <col min="21" max="21" width="13.5703125" style="4" customWidth="1"/>
    <col min="22" max="22" width="15" bestFit="1" customWidth="1"/>
    <col min="25" max="25" width="15.85546875" style="117" customWidth="1"/>
    <col min="26" max="26" width="17.28515625" style="117" customWidth="1"/>
    <col min="27" max="27" width="16.42578125" style="117" customWidth="1"/>
    <col min="28" max="28" width="15.42578125" style="117" customWidth="1"/>
  </cols>
  <sheetData>
    <row r="1" spans="1:28" ht="18" x14ac:dyDescent="0.25">
      <c r="A1" s="135" t="s">
        <v>121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28" ht="18.75" thickBot="1" x14ac:dyDescent="0.3">
      <c r="A2" s="134" t="s">
        <v>122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</row>
    <row r="3" spans="1:28" ht="7.5" customHeight="1" thickTop="1" thickBot="1" x14ac:dyDescent="0.3">
      <c r="A3" s="5"/>
      <c r="B3" s="6"/>
      <c r="C3" s="57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  <c r="V3" s="6"/>
    </row>
    <row r="4" spans="1:28" s="39" customFormat="1" ht="15.75" thickBot="1" x14ac:dyDescent="0.3">
      <c r="A4" s="136" t="s">
        <v>0</v>
      </c>
      <c r="B4" s="136" t="s">
        <v>1</v>
      </c>
      <c r="C4" s="138"/>
      <c r="D4" s="136" t="s">
        <v>2</v>
      </c>
      <c r="E4" s="138"/>
      <c r="F4" s="140" t="s">
        <v>3</v>
      </c>
      <c r="G4" s="146" t="s">
        <v>62</v>
      </c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8"/>
      <c r="S4" s="142" t="s">
        <v>5</v>
      </c>
      <c r="T4" s="142" t="s">
        <v>4</v>
      </c>
      <c r="U4" s="132" t="s">
        <v>63</v>
      </c>
      <c r="V4" s="144" t="s">
        <v>6</v>
      </c>
      <c r="Y4" s="118"/>
      <c r="Z4" s="118"/>
      <c r="AA4" s="118"/>
      <c r="AB4" s="118"/>
    </row>
    <row r="5" spans="1:28" s="39" customFormat="1" ht="15.75" thickBot="1" x14ac:dyDescent="0.3">
      <c r="A5" s="137"/>
      <c r="B5" s="137"/>
      <c r="C5" s="139"/>
      <c r="D5" s="137"/>
      <c r="E5" s="139"/>
      <c r="F5" s="141"/>
      <c r="G5" s="80" t="s">
        <v>72</v>
      </c>
      <c r="H5" s="80" t="s">
        <v>80</v>
      </c>
      <c r="I5" s="80" t="s">
        <v>81</v>
      </c>
      <c r="J5" s="80" t="s">
        <v>82</v>
      </c>
      <c r="K5" s="80" t="s">
        <v>83</v>
      </c>
      <c r="L5" s="80" t="s">
        <v>84</v>
      </c>
      <c r="M5" s="80" t="s">
        <v>85</v>
      </c>
      <c r="N5" s="80" t="s">
        <v>86</v>
      </c>
      <c r="O5" s="80" t="s">
        <v>87</v>
      </c>
      <c r="P5" s="87" t="s">
        <v>88</v>
      </c>
      <c r="Q5" s="87" t="s">
        <v>89</v>
      </c>
      <c r="R5" s="87" t="s">
        <v>90</v>
      </c>
      <c r="S5" s="143"/>
      <c r="T5" s="143"/>
      <c r="U5" s="133"/>
      <c r="V5" s="145"/>
      <c r="Y5" s="118"/>
      <c r="Z5" s="118"/>
      <c r="AA5" s="118"/>
      <c r="AB5" s="118"/>
    </row>
    <row r="6" spans="1:28" x14ac:dyDescent="0.25">
      <c r="A6" s="8"/>
      <c r="B6" s="9"/>
      <c r="C6" s="58"/>
      <c r="D6" s="9"/>
      <c r="E6" s="10"/>
      <c r="F6" s="11"/>
      <c r="G6" s="12"/>
      <c r="H6" s="12"/>
      <c r="I6" s="12"/>
      <c r="J6" s="12"/>
      <c r="K6" s="12"/>
      <c r="L6" s="12"/>
      <c r="M6" s="12"/>
      <c r="N6" s="12"/>
      <c r="O6" s="12"/>
      <c r="P6" s="95"/>
      <c r="Q6" s="11"/>
      <c r="R6" s="102"/>
      <c r="S6" s="13"/>
      <c r="T6" s="13"/>
      <c r="U6" s="14"/>
      <c r="V6" s="13"/>
    </row>
    <row r="7" spans="1:28" x14ac:dyDescent="0.25">
      <c r="A7" s="15">
        <v>1</v>
      </c>
      <c r="B7" s="16" t="s">
        <v>69</v>
      </c>
      <c r="C7" s="59" t="s">
        <v>17</v>
      </c>
      <c r="D7" s="38" t="s">
        <v>7</v>
      </c>
      <c r="E7" s="17"/>
      <c r="F7" s="18" t="s">
        <v>8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8"/>
      <c r="R7" s="16"/>
      <c r="S7" s="20"/>
      <c r="T7" s="20"/>
      <c r="U7" s="21"/>
      <c r="V7" s="20"/>
      <c r="Y7" s="117" t="s">
        <v>127</v>
      </c>
      <c r="Z7" s="117" t="s">
        <v>132</v>
      </c>
      <c r="AA7" s="117" t="s">
        <v>126</v>
      </c>
    </row>
    <row r="8" spans="1:28" x14ac:dyDescent="0.25">
      <c r="A8" s="15"/>
      <c r="B8" s="16" t="s">
        <v>9</v>
      </c>
      <c r="C8" s="59" t="s">
        <v>99</v>
      </c>
      <c r="D8" s="16"/>
      <c r="E8" s="17" t="s">
        <v>10</v>
      </c>
      <c r="F8" s="18" t="s">
        <v>11</v>
      </c>
      <c r="G8" s="22">
        <v>120000</v>
      </c>
      <c r="H8" s="22">
        <v>1930000</v>
      </c>
      <c r="I8" s="22">
        <v>1190000</v>
      </c>
      <c r="J8" s="22">
        <v>1600000</v>
      </c>
      <c r="K8" s="22">
        <v>700000</v>
      </c>
      <c r="L8" s="22">
        <v>350000</v>
      </c>
      <c r="M8" s="22">
        <v>510000</v>
      </c>
      <c r="N8" s="22">
        <v>650000</v>
      </c>
      <c r="O8" s="22">
        <v>355000</v>
      </c>
      <c r="P8" s="22">
        <v>350000</v>
      </c>
      <c r="Q8" s="88"/>
      <c r="R8" s="103"/>
      <c r="S8" s="23">
        <f>SUM(G8:R8)</f>
        <v>7755000</v>
      </c>
      <c r="T8" s="116">
        <f>AA8</f>
        <v>13750000</v>
      </c>
      <c r="U8" s="21">
        <f>S8/T8</f>
        <v>0.56399999999999995</v>
      </c>
      <c r="V8" s="24">
        <f>S8/10</f>
        <v>775500</v>
      </c>
      <c r="Y8" s="117">
        <v>11500000</v>
      </c>
      <c r="Z8" s="117">
        <v>2250000</v>
      </c>
      <c r="AA8" s="117">
        <f>Y8+Z8</f>
        <v>13750000</v>
      </c>
    </row>
    <row r="9" spans="1:28" x14ac:dyDescent="0.25">
      <c r="A9" s="15"/>
      <c r="B9" s="16"/>
      <c r="C9" s="59"/>
      <c r="D9" s="16"/>
      <c r="E9" s="17" t="s">
        <v>12</v>
      </c>
      <c r="F9" s="18"/>
      <c r="G9" s="22">
        <v>4248500</v>
      </c>
      <c r="H9" s="22">
        <v>5333500</v>
      </c>
      <c r="I9" s="22">
        <v>2445000</v>
      </c>
      <c r="J9" s="22">
        <v>3423000</v>
      </c>
      <c r="K9" s="22">
        <v>5872500</v>
      </c>
      <c r="L9" s="22">
        <v>3975000</v>
      </c>
      <c r="M9" s="22">
        <v>3874000</v>
      </c>
      <c r="N9" s="22">
        <v>2905500</v>
      </c>
      <c r="O9" s="22">
        <v>3583000</v>
      </c>
      <c r="P9" s="22">
        <v>2859638</v>
      </c>
      <c r="Q9" s="88"/>
      <c r="R9" s="103"/>
      <c r="S9" s="23">
        <f>SUM(G9:R9)</f>
        <v>38519638</v>
      </c>
      <c r="T9" s="116">
        <f t="shared" ref="T9:T14" si="0">AA9</f>
        <v>45979166.666666895</v>
      </c>
      <c r="U9" s="21">
        <f>S9/T9</f>
        <v>0.8377628563661037</v>
      </c>
      <c r="V9" s="24">
        <f t="shared" ref="V9:V14" si="1">S9/10</f>
        <v>3851963.8</v>
      </c>
      <c r="Y9" s="117">
        <v>40561250.000000209</v>
      </c>
      <c r="Z9" s="117">
        <v>5417916.6666666903</v>
      </c>
      <c r="AA9" s="117">
        <f t="shared" ref="AA9:AA80" si="2">Y9+Z9</f>
        <v>45979166.666666895</v>
      </c>
    </row>
    <row r="10" spans="1:28" x14ac:dyDescent="0.25">
      <c r="A10" s="15"/>
      <c r="B10" s="16"/>
      <c r="C10" s="59"/>
      <c r="D10" s="16" t="s">
        <v>77</v>
      </c>
      <c r="E10" s="17" t="s">
        <v>13</v>
      </c>
      <c r="F10" s="18"/>
      <c r="G10" s="22">
        <v>4435000</v>
      </c>
      <c r="H10" s="22">
        <v>5343000</v>
      </c>
      <c r="I10" s="22">
        <v>3956000</v>
      </c>
      <c r="J10" s="22">
        <v>5054500</v>
      </c>
      <c r="K10" s="22">
        <v>6020000</v>
      </c>
      <c r="L10" s="22">
        <v>5760500</v>
      </c>
      <c r="M10" s="22">
        <v>4872000</v>
      </c>
      <c r="N10" s="22">
        <v>2512000</v>
      </c>
      <c r="O10" s="22">
        <v>2869000</v>
      </c>
      <c r="P10" s="22">
        <v>4189000</v>
      </c>
      <c r="Q10" s="88"/>
      <c r="R10" s="103"/>
      <c r="S10" s="23">
        <f t="shared" ref="S10:S14" si="3">SUM(G10:R10)</f>
        <v>45011000</v>
      </c>
      <c r="T10" s="116">
        <f t="shared" si="0"/>
        <v>53500000</v>
      </c>
      <c r="U10" s="21">
        <f t="shared" ref="U10:U14" si="4">S10/T10</f>
        <v>0.84132710280373835</v>
      </c>
      <c r="V10" s="24">
        <f t="shared" si="1"/>
        <v>4501100</v>
      </c>
      <c r="Y10" s="117">
        <v>48500000</v>
      </c>
      <c r="Z10" s="117">
        <v>5000000</v>
      </c>
      <c r="AA10" s="117">
        <f t="shared" si="2"/>
        <v>53500000</v>
      </c>
    </row>
    <row r="11" spans="1:28" x14ac:dyDescent="0.25">
      <c r="A11" s="15"/>
      <c r="B11" s="16"/>
      <c r="C11" s="59"/>
      <c r="D11" s="16"/>
      <c r="E11" s="17" t="s">
        <v>14</v>
      </c>
      <c r="F11" s="18"/>
      <c r="G11" s="22">
        <v>3661500</v>
      </c>
      <c r="H11" s="22">
        <v>4937000</v>
      </c>
      <c r="I11" s="22">
        <v>3983500</v>
      </c>
      <c r="J11" s="22">
        <v>4453500</v>
      </c>
      <c r="K11" s="22">
        <v>8312500</v>
      </c>
      <c r="L11" s="22">
        <v>3442000</v>
      </c>
      <c r="M11" s="22">
        <v>3837000</v>
      </c>
      <c r="N11" s="22">
        <v>5228500</v>
      </c>
      <c r="O11" s="22">
        <v>5000000</v>
      </c>
      <c r="P11" s="22">
        <v>4312000</v>
      </c>
      <c r="Q11" s="88"/>
      <c r="R11" s="103"/>
      <c r="S11" s="23">
        <f t="shared" si="3"/>
        <v>47167500</v>
      </c>
      <c r="T11" s="116">
        <f t="shared" si="0"/>
        <v>31000000</v>
      </c>
      <c r="U11" s="21">
        <f>S11/T11</f>
        <v>1.5215322580645161</v>
      </c>
      <c r="V11" s="24">
        <f t="shared" si="1"/>
        <v>4716750</v>
      </c>
      <c r="Y11" s="117">
        <v>27500000</v>
      </c>
      <c r="Z11" s="117">
        <v>3500000</v>
      </c>
      <c r="AA11" s="117">
        <f t="shared" si="2"/>
        <v>31000000</v>
      </c>
    </row>
    <row r="12" spans="1:28" x14ac:dyDescent="0.25">
      <c r="A12" s="15"/>
      <c r="B12" s="16"/>
      <c r="C12" s="59"/>
      <c r="D12" s="16"/>
      <c r="E12" s="17" t="s">
        <v>15</v>
      </c>
      <c r="F12" s="18"/>
      <c r="G12" s="22">
        <v>8116000</v>
      </c>
      <c r="H12" s="22">
        <v>5105500</v>
      </c>
      <c r="I12" s="22">
        <v>4688000</v>
      </c>
      <c r="J12" s="22">
        <v>7158000</v>
      </c>
      <c r="K12" s="22">
        <v>4847000</v>
      </c>
      <c r="L12" s="22">
        <v>4896000</v>
      </c>
      <c r="M12" s="22">
        <v>5044000</v>
      </c>
      <c r="N12" s="22">
        <v>4212154</v>
      </c>
      <c r="O12" s="22">
        <v>5055000</v>
      </c>
      <c r="P12" s="22">
        <v>6322500</v>
      </c>
      <c r="Q12" s="88"/>
      <c r="R12" s="103"/>
      <c r="S12" s="23">
        <f t="shared" si="3"/>
        <v>55444154</v>
      </c>
      <c r="T12" s="116">
        <f t="shared" si="0"/>
        <v>57500000</v>
      </c>
      <c r="U12" s="21">
        <f t="shared" si="4"/>
        <v>0.96424615652173917</v>
      </c>
      <c r="V12" s="24">
        <f t="shared" si="1"/>
        <v>5544415.4000000004</v>
      </c>
      <c r="Y12" s="117">
        <v>50500000</v>
      </c>
      <c r="Z12" s="117">
        <v>7000000</v>
      </c>
      <c r="AA12" s="117">
        <f t="shared" si="2"/>
        <v>57500000</v>
      </c>
    </row>
    <row r="13" spans="1:28" x14ac:dyDescent="0.25">
      <c r="A13" s="15"/>
      <c r="B13" s="16"/>
      <c r="C13" s="59"/>
      <c r="D13" s="16"/>
      <c r="E13" s="17" t="s">
        <v>37</v>
      </c>
      <c r="F13" s="18"/>
      <c r="G13" s="33">
        <v>6267000</v>
      </c>
      <c r="H13" s="22">
        <v>5324000</v>
      </c>
      <c r="I13" s="22">
        <v>2703000</v>
      </c>
      <c r="J13" s="22">
        <v>5812000</v>
      </c>
      <c r="K13" s="22">
        <v>7805000</v>
      </c>
      <c r="L13" s="22">
        <v>3606000</v>
      </c>
      <c r="M13" s="22">
        <v>4314000</v>
      </c>
      <c r="N13" s="22">
        <v>4401000</v>
      </c>
      <c r="O13" s="22">
        <v>5850000</v>
      </c>
      <c r="P13" s="22">
        <v>7909996</v>
      </c>
      <c r="Q13" s="88"/>
      <c r="R13" s="103"/>
      <c r="S13" s="23">
        <f t="shared" si="3"/>
        <v>53991996</v>
      </c>
      <c r="T13" s="116">
        <f t="shared" si="0"/>
        <v>71500000</v>
      </c>
      <c r="U13" s="14">
        <f>S13/T13</f>
        <v>0.75513281118881115</v>
      </c>
      <c r="V13" s="24">
        <f t="shared" si="1"/>
        <v>5399199.5999999996</v>
      </c>
      <c r="Y13" s="117">
        <v>63500000</v>
      </c>
      <c r="Z13" s="117">
        <v>8000000</v>
      </c>
      <c r="AA13" s="117">
        <f t="shared" si="2"/>
        <v>71500000</v>
      </c>
    </row>
    <row r="14" spans="1:28" ht="15.75" thickBot="1" x14ac:dyDescent="0.3">
      <c r="A14" s="15"/>
      <c r="B14" s="16"/>
      <c r="C14" s="59"/>
      <c r="D14" s="16"/>
      <c r="E14" s="17" t="s">
        <v>16</v>
      </c>
      <c r="F14" s="18"/>
      <c r="G14" s="25">
        <v>380000</v>
      </c>
      <c r="H14" s="25">
        <v>360000</v>
      </c>
      <c r="I14" s="25">
        <v>100000</v>
      </c>
      <c r="J14" s="25">
        <v>555000</v>
      </c>
      <c r="K14" s="25">
        <v>705000</v>
      </c>
      <c r="L14" s="25">
        <v>510000</v>
      </c>
      <c r="M14" s="25">
        <v>20000</v>
      </c>
      <c r="N14" s="25">
        <v>465000</v>
      </c>
      <c r="O14" s="25">
        <v>234000</v>
      </c>
      <c r="P14" s="25">
        <v>430000</v>
      </c>
      <c r="Q14" s="89"/>
      <c r="R14" s="104"/>
      <c r="S14" s="23">
        <f t="shared" si="3"/>
        <v>3759000</v>
      </c>
      <c r="T14" s="116">
        <f t="shared" si="0"/>
        <v>4850000</v>
      </c>
      <c r="U14" s="21">
        <f t="shared" si="4"/>
        <v>0.77505154639175255</v>
      </c>
      <c r="V14" s="24">
        <f t="shared" si="1"/>
        <v>375900</v>
      </c>
      <c r="Y14" s="117">
        <v>4350000</v>
      </c>
      <c r="Z14" s="117">
        <v>500000</v>
      </c>
      <c r="AA14" s="117">
        <f t="shared" si="2"/>
        <v>4850000</v>
      </c>
    </row>
    <row r="15" spans="1:28" s="51" customFormat="1" ht="15.75" thickBot="1" x14ac:dyDescent="0.3">
      <c r="A15" s="43"/>
      <c r="B15" s="44"/>
      <c r="C15" s="60"/>
      <c r="D15" s="44"/>
      <c r="E15" s="45"/>
      <c r="F15" s="46"/>
      <c r="G15" s="47">
        <f t="shared" ref="G15:I15" si="5">SUM(G8:G14)</f>
        <v>27228000</v>
      </c>
      <c r="H15" s="47">
        <f t="shared" si="5"/>
        <v>28333000</v>
      </c>
      <c r="I15" s="47">
        <f t="shared" si="5"/>
        <v>19065500</v>
      </c>
      <c r="J15" s="47">
        <f t="shared" ref="J15:N15" si="6">SUM(J8:J14)</f>
        <v>28056000</v>
      </c>
      <c r="K15" s="47">
        <f t="shared" si="6"/>
        <v>34262000</v>
      </c>
      <c r="L15" s="47">
        <f t="shared" si="6"/>
        <v>22539500</v>
      </c>
      <c r="M15" s="47">
        <f t="shared" si="6"/>
        <v>22471000</v>
      </c>
      <c r="N15" s="47">
        <f t="shared" si="6"/>
        <v>20374154</v>
      </c>
      <c r="O15" s="47">
        <f t="shared" ref="O15:T15" si="7">SUM(O8:O14)</f>
        <v>22946000</v>
      </c>
      <c r="P15" s="47">
        <f t="shared" si="7"/>
        <v>26373134</v>
      </c>
      <c r="Q15" s="101">
        <f t="shared" si="7"/>
        <v>0</v>
      </c>
      <c r="R15" s="47">
        <f>SUM(R8:R14)</f>
        <v>0</v>
      </c>
      <c r="S15" s="48">
        <f t="shared" si="7"/>
        <v>251648288</v>
      </c>
      <c r="T15" s="48">
        <f t="shared" si="7"/>
        <v>278079166.66666687</v>
      </c>
      <c r="U15" s="49">
        <f>S15/T15</f>
        <v>0.90495196391914712</v>
      </c>
      <c r="V15" s="50">
        <f>SUM(V8:V14)</f>
        <v>25164828.800000004</v>
      </c>
      <c r="Y15" s="119">
        <v>0</v>
      </c>
      <c r="Z15" s="117"/>
      <c r="AA15" s="117">
        <f t="shared" si="2"/>
        <v>0</v>
      </c>
      <c r="AB15" s="119"/>
    </row>
    <row r="16" spans="1:28" x14ac:dyDescent="0.25">
      <c r="A16" s="8"/>
      <c r="B16" s="9"/>
      <c r="C16" s="58"/>
      <c r="D16" s="9"/>
      <c r="E16" s="10"/>
      <c r="F16" s="1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90"/>
      <c r="R16" s="105"/>
      <c r="S16" s="13"/>
      <c r="T16" s="13"/>
      <c r="U16" s="14"/>
      <c r="V16" s="13"/>
      <c r="Y16" s="117">
        <v>0</v>
      </c>
      <c r="AA16" s="117">
        <f t="shared" si="2"/>
        <v>0</v>
      </c>
    </row>
    <row r="17" spans="1:28" x14ac:dyDescent="0.25">
      <c r="A17" s="15">
        <v>2</v>
      </c>
      <c r="B17" s="16" t="s">
        <v>69</v>
      </c>
      <c r="C17" s="59" t="s">
        <v>18</v>
      </c>
      <c r="D17" s="38" t="s">
        <v>78</v>
      </c>
      <c r="E17" s="17"/>
      <c r="F17" s="18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8"/>
      <c r="R17" s="16"/>
      <c r="S17" s="20"/>
      <c r="T17" s="112"/>
      <c r="U17" s="21"/>
      <c r="V17" s="20"/>
      <c r="Y17" s="117">
        <v>0</v>
      </c>
      <c r="AA17" s="117">
        <f t="shared" si="2"/>
        <v>0</v>
      </c>
    </row>
    <row r="18" spans="1:28" x14ac:dyDescent="0.25">
      <c r="A18" s="15"/>
      <c r="B18" s="16"/>
      <c r="C18" s="59"/>
      <c r="D18" s="16"/>
      <c r="E18" s="17" t="s">
        <v>64</v>
      </c>
      <c r="F18" s="18"/>
      <c r="G18" s="22">
        <v>7378500</v>
      </c>
      <c r="H18" s="22">
        <v>8282100</v>
      </c>
      <c r="I18" s="22">
        <v>6046250</v>
      </c>
      <c r="J18" s="22">
        <v>3270500</v>
      </c>
      <c r="K18" s="22">
        <v>5674500</v>
      </c>
      <c r="L18" s="22">
        <v>7646500</v>
      </c>
      <c r="M18" s="110">
        <v>3980000</v>
      </c>
      <c r="N18" s="22">
        <v>6474500</v>
      </c>
      <c r="O18" s="22">
        <v>6050684</v>
      </c>
      <c r="P18" s="96">
        <v>6822000</v>
      </c>
      <c r="Q18" s="88"/>
      <c r="R18" s="103"/>
      <c r="S18" s="23">
        <f>SUM(G18:R18)</f>
        <v>61625534</v>
      </c>
      <c r="T18" s="116">
        <f t="shared" ref="T18:T25" si="8">AA18</f>
        <v>132950000</v>
      </c>
      <c r="U18" s="21">
        <f>S18/T18</f>
        <v>0.46352413689356903</v>
      </c>
      <c r="V18" s="24">
        <f t="shared" ref="V18:V25" si="9">S18/10</f>
        <v>6162553.4000000004</v>
      </c>
      <c r="Y18" s="117">
        <v>121950000</v>
      </c>
      <c r="Z18" s="117">
        <v>11000000</v>
      </c>
      <c r="AA18" s="117">
        <f t="shared" si="2"/>
        <v>132950000</v>
      </c>
    </row>
    <row r="19" spans="1:28" x14ac:dyDescent="0.25">
      <c r="A19" s="15"/>
      <c r="B19" s="16"/>
      <c r="C19" s="59"/>
      <c r="D19" s="16"/>
      <c r="E19" s="17" t="s">
        <v>65</v>
      </c>
      <c r="F19" s="18"/>
      <c r="G19" s="22">
        <v>14579500</v>
      </c>
      <c r="H19" s="22">
        <v>10652000</v>
      </c>
      <c r="I19" s="22">
        <v>6447500</v>
      </c>
      <c r="J19" s="22">
        <v>8931000</v>
      </c>
      <c r="K19" s="22">
        <v>11644000</v>
      </c>
      <c r="L19" s="22">
        <v>11572500</v>
      </c>
      <c r="M19" s="22">
        <v>9472000</v>
      </c>
      <c r="N19" s="22">
        <v>9837000</v>
      </c>
      <c r="O19" s="22">
        <v>13265500</v>
      </c>
      <c r="P19" s="96">
        <v>10480000</v>
      </c>
      <c r="Q19" s="88"/>
      <c r="R19" s="103"/>
      <c r="S19" s="23">
        <f t="shared" ref="S19:S25" si="10">SUM(G19:R19)</f>
        <v>106881000</v>
      </c>
      <c r="T19" s="116">
        <f t="shared" si="8"/>
        <v>83000000</v>
      </c>
      <c r="U19" s="21">
        <f>S19/T19</f>
        <v>1.2877228915662651</v>
      </c>
      <c r="V19" s="24">
        <f t="shared" si="9"/>
        <v>10688100</v>
      </c>
      <c r="Y19" s="117">
        <v>74700000</v>
      </c>
      <c r="Z19" s="117">
        <v>8300000</v>
      </c>
      <c r="AA19" s="117">
        <f t="shared" si="2"/>
        <v>83000000</v>
      </c>
    </row>
    <row r="20" spans="1:28" x14ac:dyDescent="0.25">
      <c r="A20" s="15"/>
      <c r="B20" s="16"/>
      <c r="C20" s="59"/>
      <c r="D20" s="16"/>
      <c r="E20" s="17" t="s">
        <v>19</v>
      </c>
      <c r="F20" s="18"/>
      <c r="G20" s="22">
        <v>0</v>
      </c>
      <c r="H20" s="22">
        <v>300000</v>
      </c>
      <c r="I20" s="22">
        <v>100000</v>
      </c>
      <c r="J20" s="22">
        <v>250000</v>
      </c>
      <c r="K20" s="22">
        <v>0</v>
      </c>
      <c r="L20" s="22">
        <v>373000</v>
      </c>
      <c r="M20" s="22">
        <v>5600000</v>
      </c>
      <c r="N20" s="22">
        <v>270000</v>
      </c>
      <c r="O20" s="22">
        <v>300000</v>
      </c>
      <c r="P20" s="96">
        <v>200000</v>
      </c>
      <c r="Q20" s="88"/>
      <c r="R20" s="103"/>
      <c r="S20" s="23">
        <f>SUM(G20:R20)</f>
        <v>7393000</v>
      </c>
      <c r="T20" s="116">
        <f t="shared" si="8"/>
        <v>5000000</v>
      </c>
      <c r="U20" s="21">
        <f>S20/T20</f>
        <v>1.4785999999999999</v>
      </c>
      <c r="V20" s="24">
        <f t="shared" si="9"/>
        <v>739300</v>
      </c>
      <c r="Y20" s="117">
        <v>4500000</v>
      </c>
      <c r="Z20" s="117">
        <v>500000</v>
      </c>
      <c r="AA20" s="117">
        <f t="shared" si="2"/>
        <v>5000000</v>
      </c>
    </row>
    <row r="21" spans="1:28" x14ac:dyDescent="0.25">
      <c r="A21" s="15"/>
      <c r="B21" s="16"/>
      <c r="C21" s="59"/>
      <c r="D21" s="16"/>
      <c r="E21" s="17" t="s">
        <v>91</v>
      </c>
      <c r="F21" s="18"/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96">
        <v>0</v>
      </c>
      <c r="Q21" s="88"/>
      <c r="R21" s="103"/>
      <c r="S21" s="23">
        <f>SUM(G21:R21)</f>
        <v>0</v>
      </c>
      <c r="T21" s="116">
        <f t="shared" si="8"/>
        <v>0</v>
      </c>
      <c r="U21" s="21" t="e">
        <f>S21/T21</f>
        <v>#DIV/0!</v>
      </c>
      <c r="V21" s="24">
        <f t="shared" si="9"/>
        <v>0</v>
      </c>
      <c r="Y21" s="117">
        <v>0</v>
      </c>
      <c r="Z21" s="117">
        <v>0</v>
      </c>
      <c r="AA21" s="117">
        <f t="shared" si="2"/>
        <v>0</v>
      </c>
    </row>
    <row r="22" spans="1:28" x14ac:dyDescent="0.25">
      <c r="A22" s="15"/>
      <c r="B22" s="16"/>
      <c r="C22" s="59"/>
      <c r="D22" s="16"/>
      <c r="E22" s="17" t="s">
        <v>20</v>
      </c>
      <c r="F22" s="18"/>
      <c r="G22" s="22">
        <v>10271640</v>
      </c>
      <c r="H22" s="22">
        <v>11497500</v>
      </c>
      <c r="I22" s="22">
        <v>4686500</v>
      </c>
      <c r="J22" s="22">
        <v>11690000</v>
      </c>
      <c r="K22" s="22">
        <v>3072500</v>
      </c>
      <c r="L22" s="22">
        <v>6949500</v>
      </c>
      <c r="M22" s="22">
        <v>10607500</v>
      </c>
      <c r="N22" s="22">
        <v>3099500</v>
      </c>
      <c r="O22" s="22">
        <v>2974800</v>
      </c>
      <c r="P22" s="96">
        <v>3886000</v>
      </c>
      <c r="Q22" s="88"/>
      <c r="R22" s="103"/>
      <c r="S22" s="23">
        <f t="shared" si="10"/>
        <v>68735440</v>
      </c>
      <c r="T22" s="116">
        <f t="shared" si="8"/>
        <v>105550000</v>
      </c>
      <c r="U22" s="21">
        <f>S22/T22</f>
        <v>0.65121212695405017</v>
      </c>
      <c r="V22" s="24">
        <f t="shared" si="9"/>
        <v>6873544</v>
      </c>
      <c r="Y22" s="117">
        <v>94800000</v>
      </c>
      <c r="Z22" s="117">
        <v>10750000</v>
      </c>
      <c r="AA22" s="117">
        <f t="shared" si="2"/>
        <v>105550000</v>
      </c>
    </row>
    <row r="23" spans="1:28" x14ac:dyDescent="0.25">
      <c r="A23" s="15"/>
      <c r="B23" s="16"/>
      <c r="C23" s="59"/>
      <c r="D23" s="16"/>
      <c r="E23" s="17" t="s">
        <v>21</v>
      </c>
      <c r="F23" s="18"/>
      <c r="G23" s="22">
        <v>100000</v>
      </c>
      <c r="H23" s="22">
        <v>0</v>
      </c>
      <c r="I23" s="22">
        <v>0</v>
      </c>
      <c r="J23" s="22">
        <v>0</v>
      </c>
      <c r="K23" s="22">
        <v>210000</v>
      </c>
      <c r="L23" s="22">
        <v>0</v>
      </c>
      <c r="M23" s="22">
        <v>0</v>
      </c>
      <c r="N23" s="22">
        <v>450000</v>
      </c>
      <c r="O23" s="22">
        <v>450000</v>
      </c>
      <c r="P23" s="96">
        <v>0</v>
      </c>
      <c r="Q23" s="88"/>
      <c r="R23" s="103"/>
      <c r="S23" s="23">
        <f t="shared" si="10"/>
        <v>1210000</v>
      </c>
      <c r="T23" s="116">
        <f t="shared" si="8"/>
        <v>0</v>
      </c>
      <c r="U23" s="21" t="e">
        <f t="shared" ref="U23:U25" si="11">S23/T23</f>
        <v>#DIV/0!</v>
      </c>
      <c r="V23" s="24">
        <f t="shared" si="9"/>
        <v>121000</v>
      </c>
      <c r="Y23" s="117">
        <v>0</v>
      </c>
      <c r="Z23" s="117">
        <v>0</v>
      </c>
      <c r="AA23" s="117">
        <f t="shared" si="2"/>
        <v>0</v>
      </c>
    </row>
    <row r="24" spans="1:28" x14ac:dyDescent="0.25">
      <c r="A24" s="26"/>
      <c r="B24" s="27"/>
      <c r="C24" s="61"/>
      <c r="D24" s="27"/>
      <c r="E24" s="28" t="s">
        <v>22</v>
      </c>
      <c r="F24" s="29"/>
      <c r="G24" s="32">
        <v>1150000</v>
      </c>
      <c r="H24" s="32">
        <v>730000</v>
      </c>
      <c r="I24" s="32">
        <v>445000</v>
      </c>
      <c r="J24" s="32">
        <v>4379500</v>
      </c>
      <c r="K24" s="32">
        <v>580000</v>
      </c>
      <c r="L24" s="32">
        <v>880000</v>
      </c>
      <c r="M24" s="32">
        <v>800000</v>
      </c>
      <c r="N24" s="32">
        <v>942000</v>
      </c>
      <c r="O24" s="32">
        <v>2125000</v>
      </c>
      <c r="P24" s="97">
        <v>3740000</v>
      </c>
      <c r="Q24" s="91"/>
      <c r="R24" s="106"/>
      <c r="S24" s="23">
        <f t="shared" ref="S24" si="12">SUM(G24:R24)</f>
        <v>15771500</v>
      </c>
      <c r="T24" s="116">
        <f t="shared" si="8"/>
        <v>15000000</v>
      </c>
      <c r="U24" s="21">
        <f t="shared" ref="U24" si="13">S24/T24</f>
        <v>1.0514333333333334</v>
      </c>
      <c r="V24" s="24">
        <f t="shared" si="9"/>
        <v>1577150</v>
      </c>
      <c r="Y24" s="117">
        <v>13500000</v>
      </c>
      <c r="Z24" s="117">
        <v>1500000</v>
      </c>
      <c r="AA24" s="117">
        <f t="shared" si="2"/>
        <v>15000000</v>
      </c>
    </row>
    <row r="25" spans="1:28" ht="15.75" thickBot="1" x14ac:dyDescent="0.3">
      <c r="A25" s="26"/>
      <c r="B25" s="27"/>
      <c r="C25" s="61"/>
      <c r="D25" s="27"/>
      <c r="E25" s="28" t="s">
        <v>48</v>
      </c>
      <c r="F25" s="29"/>
      <c r="G25" s="32">
        <v>0</v>
      </c>
      <c r="H25" s="32">
        <v>210000</v>
      </c>
      <c r="I25" s="32">
        <v>200000</v>
      </c>
      <c r="J25" s="32">
        <v>25000</v>
      </c>
      <c r="K25" s="32">
        <v>285000</v>
      </c>
      <c r="L25" s="32">
        <v>275000</v>
      </c>
      <c r="M25" s="32">
        <v>385000</v>
      </c>
      <c r="N25" s="32">
        <v>911500</v>
      </c>
      <c r="O25" s="32">
        <v>625000</v>
      </c>
      <c r="P25" s="97">
        <v>10000</v>
      </c>
      <c r="Q25" s="91"/>
      <c r="R25" s="106"/>
      <c r="S25" s="23">
        <f t="shared" si="10"/>
        <v>2926500</v>
      </c>
      <c r="T25" s="116">
        <f t="shared" si="8"/>
        <v>3000000</v>
      </c>
      <c r="U25" s="21">
        <f t="shared" si="11"/>
        <v>0.97550000000000003</v>
      </c>
      <c r="V25" s="24">
        <f t="shared" si="9"/>
        <v>292650</v>
      </c>
      <c r="Y25" s="117">
        <v>2700000</v>
      </c>
      <c r="Z25" s="117">
        <v>300000</v>
      </c>
      <c r="AA25" s="117">
        <f t="shared" si="2"/>
        <v>3000000</v>
      </c>
    </row>
    <row r="26" spans="1:28" s="51" customFormat="1" ht="15.75" thickBot="1" x14ac:dyDescent="0.3">
      <c r="A26" s="43"/>
      <c r="B26" s="44"/>
      <c r="C26" s="60"/>
      <c r="D26" s="44"/>
      <c r="E26" s="45"/>
      <c r="F26" s="46"/>
      <c r="G26" s="77">
        <f>SUM(G18:G25)</f>
        <v>33479640</v>
      </c>
      <c r="H26" s="77">
        <f t="shared" ref="H26:S26" si="14">SUM(H18:H25)</f>
        <v>31671600</v>
      </c>
      <c r="I26" s="77">
        <f t="shared" si="14"/>
        <v>17925250</v>
      </c>
      <c r="J26" s="77">
        <f t="shared" si="14"/>
        <v>28546000</v>
      </c>
      <c r="K26" s="77">
        <f t="shared" si="14"/>
        <v>21466000</v>
      </c>
      <c r="L26" s="77">
        <f t="shared" si="14"/>
        <v>27696500</v>
      </c>
      <c r="M26" s="77">
        <f t="shared" si="14"/>
        <v>30844500</v>
      </c>
      <c r="N26" s="77">
        <f t="shared" si="14"/>
        <v>21984500</v>
      </c>
      <c r="O26" s="77">
        <f t="shared" si="14"/>
        <v>25790984</v>
      </c>
      <c r="P26" s="52">
        <f t="shared" si="14"/>
        <v>25138000</v>
      </c>
      <c r="Q26" s="94">
        <f t="shared" si="14"/>
        <v>0</v>
      </c>
      <c r="R26" s="77">
        <f t="shared" si="14"/>
        <v>0</v>
      </c>
      <c r="S26" s="48">
        <f t="shared" si="14"/>
        <v>264542974</v>
      </c>
      <c r="T26" s="48">
        <f>SUM(T18:T25)</f>
        <v>344500000</v>
      </c>
      <c r="U26" s="49">
        <f>S26/T26</f>
        <v>0.7679041335268505</v>
      </c>
      <c r="V26" s="50">
        <f>SUM(V18:V25)</f>
        <v>26454297.399999999</v>
      </c>
      <c r="Y26" s="119">
        <v>0</v>
      </c>
      <c r="Z26" s="117"/>
      <c r="AA26" s="117">
        <f t="shared" si="2"/>
        <v>0</v>
      </c>
      <c r="AB26" s="119"/>
    </row>
    <row r="27" spans="1:28" s="51" customFormat="1" ht="15.75" thickBot="1" x14ac:dyDescent="0.3">
      <c r="A27" s="54"/>
      <c r="B27" s="70"/>
      <c r="C27" s="71"/>
      <c r="D27" s="70"/>
      <c r="E27" s="72"/>
      <c r="F27" s="55"/>
      <c r="G27" s="73">
        <f t="shared" ref="G27:R27" si="15">G15+G26</f>
        <v>60707640</v>
      </c>
      <c r="H27" s="73">
        <f t="shared" si="15"/>
        <v>60004600</v>
      </c>
      <c r="I27" s="73">
        <f t="shared" si="15"/>
        <v>36990750</v>
      </c>
      <c r="J27" s="73">
        <f t="shared" si="15"/>
        <v>56602000</v>
      </c>
      <c r="K27" s="73">
        <f t="shared" si="15"/>
        <v>55728000</v>
      </c>
      <c r="L27" s="73">
        <f t="shared" si="15"/>
        <v>50236000</v>
      </c>
      <c r="M27" s="73">
        <f t="shared" si="15"/>
        <v>53315500</v>
      </c>
      <c r="N27" s="73">
        <f t="shared" si="15"/>
        <v>42358654</v>
      </c>
      <c r="O27" s="73">
        <f t="shared" si="15"/>
        <v>48736984</v>
      </c>
      <c r="P27" s="73">
        <f t="shared" si="15"/>
        <v>51511134</v>
      </c>
      <c r="Q27" s="73">
        <f t="shared" si="15"/>
        <v>0</v>
      </c>
      <c r="R27" s="121">
        <f t="shared" si="15"/>
        <v>0</v>
      </c>
      <c r="S27" s="85">
        <f>S15+S26</f>
        <v>516191262</v>
      </c>
      <c r="T27" s="122">
        <f>T15+T26</f>
        <v>622579166.66666687</v>
      </c>
      <c r="U27" s="79">
        <f>S27/T27</f>
        <v>0.82911746752421023</v>
      </c>
      <c r="V27" s="73">
        <f>S27/10</f>
        <v>51619126.200000003</v>
      </c>
      <c r="Y27" s="119">
        <v>0</v>
      </c>
      <c r="Z27" s="117"/>
      <c r="AA27" s="117">
        <f t="shared" si="2"/>
        <v>0</v>
      </c>
      <c r="AB27" s="119"/>
    </row>
    <row r="28" spans="1:28" x14ac:dyDescent="0.25">
      <c r="A28" s="8">
        <v>4</v>
      </c>
      <c r="B28" s="9" t="s">
        <v>117</v>
      </c>
      <c r="C28" s="59" t="s">
        <v>118</v>
      </c>
      <c r="D28" s="40" t="s">
        <v>38</v>
      </c>
      <c r="E28" s="10"/>
      <c r="F28" s="11"/>
      <c r="G28" s="12"/>
      <c r="H28" s="12"/>
      <c r="I28" s="12"/>
      <c r="J28" s="12"/>
      <c r="K28" s="12"/>
      <c r="L28" s="12"/>
      <c r="M28" s="12"/>
      <c r="N28" s="12"/>
      <c r="O28" s="12"/>
      <c r="P28" s="10"/>
      <c r="Q28" s="11"/>
      <c r="R28" s="9"/>
      <c r="S28" s="13"/>
      <c r="T28" s="115"/>
      <c r="U28" s="14"/>
      <c r="V28" s="13"/>
      <c r="Y28" s="117">
        <v>0</v>
      </c>
      <c r="AA28" s="117">
        <f t="shared" si="2"/>
        <v>0</v>
      </c>
    </row>
    <row r="29" spans="1:28" x14ac:dyDescent="0.25">
      <c r="A29" s="15"/>
      <c r="B29" s="16"/>
      <c r="C29" s="59"/>
      <c r="D29" s="16"/>
      <c r="E29" s="17" t="s">
        <v>39</v>
      </c>
      <c r="F29" s="18"/>
      <c r="G29" s="22">
        <v>722000</v>
      </c>
      <c r="H29" s="22">
        <v>55000</v>
      </c>
      <c r="I29" s="22">
        <v>220000</v>
      </c>
      <c r="J29" s="22">
        <v>605000</v>
      </c>
      <c r="K29" s="22">
        <v>25000</v>
      </c>
      <c r="L29" s="22">
        <v>410000</v>
      </c>
      <c r="M29" s="22">
        <v>161500</v>
      </c>
      <c r="N29" s="22">
        <v>460000</v>
      </c>
      <c r="O29" s="22">
        <v>175000</v>
      </c>
      <c r="P29" s="96">
        <v>70000</v>
      </c>
      <c r="Q29" s="88"/>
      <c r="R29" s="103"/>
      <c r="S29" s="23">
        <f t="shared" ref="S29:S32" si="16">SUM(G29:R29)</f>
        <v>2903500</v>
      </c>
      <c r="T29" s="116">
        <f t="shared" ref="T29:T32" si="17">AA29</f>
        <v>1070000</v>
      </c>
      <c r="U29" s="21">
        <f t="shared" ref="U29:U32" si="18">S29/T29</f>
        <v>2.7135514018691587</v>
      </c>
      <c r="V29" s="24">
        <f t="shared" ref="V29:V32" si="19">S29/10</f>
        <v>290350</v>
      </c>
      <c r="Y29" s="117">
        <v>950000</v>
      </c>
      <c r="Z29" s="117">
        <v>120000</v>
      </c>
      <c r="AA29" s="117">
        <f t="shared" si="2"/>
        <v>1070000</v>
      </c>
    </row>
    <row r="30" spans="1:28" x14ac:dyDescent="0.25">
      <c r="A30" s="15"/>
      <c r="B30" s="16"/>
      <c r="C30" s="59"/>
      <c r="D30" s="16"/>
      <c r="E30" s="17" t="s">
        <v>40</v>
      </c>
      <c r="F30" s="18"/>
      <c r="G30" s="22">
        <v>4555000</v>
      </c>
      <c r="H30" s="22">
        <v>4616000</v>
      </c>
      <c r="I30" s="22">
        <v>3675000</v>
      </c>
      <c r="J30" s="22">
        <v>4690000</v>
      </c>
      <c r="K30" s="22">
        <v>6652000</v>
      </c>
      <c r="L30" s="22">
        <v>6663000</v>
      </c>
      <c r="M30" s="22">
        <v>4817500</v>
      </c>
      <c r="N30" s="22">
        <v>4952000</v>
      </c>
      <c r="O30" s="22">
        <v>7126600</v>
      </c>
      <c r="P30" s="96">
        <v>6756500</v>
      </c>
      <c r="Q30" s="88"/>
      <c r="R30" s="103"/>
      <c r="S30" s="23">
        <f>SUM(G30:R30)</f>
        <v>54503600</v>
      </c>
      <c r="T30" s="116">
        <f t="shared" si="17"/>
        <v>58050000</v>
      </c>
      <c r="U30" s="21">
        <f t="shared" si="18"/>
        <v>0.93890783807062872</v>
      </c>
      <c r="V30" s="24">
        <f t="shared" si="19"/>
        <v>5450360</v>
      </c>
      <c r="Y30" s="117">
        <v>51050000</v>
      </c>
      <c r="Z30" s="117">
        <v>7000000</v>
      </c>
      <c r="AA30" s="117">
        <f t="shared" si="2"/>
        <v>58050000</v>
      </c>
    </row>
    <row r="31" spans="1:28" x14ac:dyDescent="0.25">
      <c r="A31" s="15"/>
      <c r="B31" s="16"/>
      <c r="C31" s="59"/>
      <c r="D31" s="16"/>
      <c r="E31" s="17" t="s">
        <v>41</v>
      </c>
      <c r="F31" s="18"/>
      <c r="G31" s="22">
        <v>4448500</v>
      </c>
      <c r="H31" s="22">
        <v>4226000</v>
      </c>
      <c r="I31" s="22">
        <v>4162000</v>
      </c>
      <c r="J31" s="22">
        <v>5537000</v>
      </c>
      <c r="K31" s="22">
        <v>6856000</v>
      </c>
      <c r="L31" s="22">
        <v>6109000</v>
      </c>
      <c r="M31" s="22">
        <v>6757000</v>
      </c>
      <c r="N31" s="22">
        <v>7189000</v>
      </c>
      <c r="O31" s="22">
        <v>7280500</v>
      </c>
      <c r="P31" s="96">
        <v>10338000</v>
      </c>
      <c r="Q31" s="88"/>
      <c r="R31" s="103"/>
      <c r="S31" s="23">
        <f>SUM(G31:R31)</f>
        <v>62903000</v>
      </c>
      <c r="T31" s="116">
        <f t="shared" si="17"/>
        <v>57000000</v>
      </c>
      <c r="U31" s="21">
        <f t="shared" si="18"/>
        <v>1.103561403508772</v>
      </c>
      <c r="V31" s="24">
        <f t="shared" si="19"/>
        <v>6290300</v>
      </c>
      <c r="Y31" s="117">
        <v>51000000</v>
      </c>
      <c r="Z31" s="117">
        <v>6000000</v>
      </c>
      <c r="AA31" s="117">
        <f t="shared" si="2"/>
        <v>57000000</v>
      </c>
    </row>
    <row r="32" spans="1:28" ht="15.75" thickBot="1" x14ac:dyDescent="0.3">
      <c r="A32" s="26"/>
      <c r="B32" s="27"/>
      <c r="C32" s="61"/>
      <c r="D32" s="27"/>
      <c r="E32" s="28" t="s">
        <v>42</v>
      </c>
      <c r="F32" s="29"/>
      <c r="G32" s="32">
        <v>1944000</v>
      </c>
      <c r="H32" s="32">
        <v>2094000</v>
      </c>
      <c r="I32" s="32">
        <v>2014000</v>
      </c>
      <c r="J32" s="32">
        <v>2104000</v>
      </c>
      <c r="K32" s="32">
        <v>3952000</v>
      </c>
      <c r="L32" s="32">
        <v>4476000</v>
      </c>
      <c r="M32" s="32">
        <v>1900000</v>
      </c>
      <c r="N32" s="32">
        <v>2288000</v>
      </c>
      <c r="O32" s="32">
        <v>3140700</v>
      </c>
      <c r="P32" s="97">
        <v>3132000</v>
      </c>
      <c r="Q32" s="91"/>
      <c r="R32" s="106"/>
      <c r="S32" s="23">
        <f t="shared" si="16"/>
        <v>27044700</v>
      </c>
      <c r="T32" s="116">
        <f t="shared" si="17"/>
        <v>43000000</v>
      </c>
      <c r="U32" s="21">
        <f t="shared" si="18"/>
        <v>0.62894651162790693</v>
      </c>
      <c r="V32" s="24">
        <f t="shared" si="19"/>
        <v>2704470</v>
      </c>
      <c r="Y32" s="117">
        <v>38000000</v>
      </c>
      <c r="Z32" s="117">
        <v>5000000</v>
      </c>
      <c r="AA32" s="117">
        <f t="shared" si="2"/>
        <v>43000000</v>
      </c>
    </row>
    <row r="33" spans="1:28" s="51" customFormat="1" ht="15.75" thickBot="1" x14ac:dyDescent="0.3">
      <c r="A33" s="43"/>
      <c r="B33" s="44"/>
      <c r="C33" s="60"/>
      <c r="D33" s="44"/>
      <c r="E33" s="45"/>
      <c r="F33" s="46"/>
      <c r="G33" s="52">
        <f t="shared" ref="G33:S33" si="20">SUM(G29:G32)</f>
        <v>11669500</v>
      </c>
      <c r="H33" s="52">
        <f t="shared" ref="H33:I33" si="21">SUM(H29:H32)</f>
        <v>10991000</v>
      </c>
      <c r="I33" s="52">
        <f t="shared" si="21"/>
        <v>10071000</v>
      </c>
      <c r="J33" s="52">
        <f t="shared" ref="J33:P33" si="22">SUM(J29:J32)</f>
        <v>12936000</v>
      </c>
      <c r="K33" s="52">
        <f t="shared" si="22"/>
        <v>17485000</v>
      </c>
      <c r="L33" s="52">
        <f t="shared" si="22"/>
        <v>17658000</v>
      </c>
      <c r="M33" s="52">
        <f t="shared" si="22"/>
        <v>13636000</v>
      </c>
      <c r="N33" s="52">
        <f t="shared" si="22"/>
        <v>14889000</v>
      </c>
      <c r="O33" s="52">
        <f t="shared" si="22"/>
        <v>17722800</v>
      </c>
      <c r="P33" s="52">
        <f t="shared" si="22"/>
        <v>20296500</v>
      </c>
      <c r="Q33" s="94">
        <f t="shared" ref="Q33:R33" si="23">SUM(Q29:Q32)</f>
        <v>0</v>
      </c>
      <c r="R33" s="52">
        <f t="shared" si="23"/>
        <v>0</v>
      </c>
      <c r="S33" s="48">
        <f t="shared" si="20"/>
        <v>147354800</v>
      </c>
      <c r="T33" s="48">
        <f>SUM(T29:T32)</f>
        <v>159120000</v>
      </c>
      <c r="U33" s="49">
        <f>S33/T33</f>
        <v>0.92606083459024635</v>
      </c>
      <c r="V33" s="48">
        <f>SUM(V29:V32)</f>
        <v>14735480</v>
      </c>
      <c r="Y33" s="119">
        <v>0</v>
      </c>
      <c r="Z33" s="117"/>
      <c r="AA33" s="117">
        <f t="shared" si="2"/>
        <v>0</v>
      </c>
      <c r="AB33" s="119"/>
    </row>
    <row r="34" spans="1:28" x14ac:dyDescent="0.25">
      <c r="A34" s="8"/>
      <c r="B34" s="9"/>
      <c r="C34" s="58"/>
      <c r="D34" s="9"/>
      <c r="E34" s="10"/>
      <c r="F34" s="11"/>
      <c r="G34" s="12"/>
      <c r="H34" s="12"/>
      <c r="I34" s="12"/>
      <c r="J34" s="12"/>
      <c r="K34" s="12"/>
      <c r="L34" s="12"/>
      <c r="M34" s="12"/>
      <c r="N34" s="12"/>
      <c r="O34" s="12"/>
      <c r="P34" s="10"/>
      <c r="Q34" s="11"/>
      <c r="R34" s="9"/>
      <c r="S34" s="13"/>
      <c r="T34" s="13"/>
      <c r="U34" s="14"/>
      <c r="V34" s="13"/>
      <c r="Y34" s="117">
        <v>0</v>
      </c>
      <c r="AA34" s="117">
        <f t="shared" si="2"/>
        <v>0</v>
      </c>
    </row>
    <row r="35" spans="1:28" x14ac:dyDescent="0.25">
      <c r="A35" s="15">
        <v>5</v>
      </c>
      <c r="B35" s="16" t="s">
        <v>69</v>
      </c>
      <c r="C35" s="59" t="s">
        <v>71</v>
      </c>
      <c r="D35" s="38" t="s">
        <v>38</v>
      </c>
      <c r="E35" s="17"/>
      <c r="F35" s="18"/>
      <c r="G35" s="19"/>
      <c r="H35" s="19"/>
      <c r="I35" s="19"/>
      <c r="J35" s="19"/>
      <c r="K35" s="19"/>
      <c r="L35" s="19"/>
      <c r="M35" s="19"/>
      <c r="N35" s="19"/>
      <c r="O35" s="19"/>
      <c r="P35" s="17"/>
      <c r="Q35" s="18"/>
      <c r="R35" s="16"/>
      <c r="S35" s="20"/>
      <c r="T35" s="20"/>
      <c r="U35" s="21"/>
      <c r="V35" s="20"/>
      <c r="Y35" s="117">
        <v>0</v>
      </c>
      <c r="AA35" s="117">
        <f t="shared" si="2"/>
        <v>0</v>
      </c>
    </row>
    <row r="36" spans="1:28" x14ac:dyDescent="0.25">
      <c r="A36" s="15"/>
      <c r="B36" s="16"/>
      <c r="C36" s="59"/>
      <c r="D36" s="16"/>
      <c r="E36" s="17" t="s">
        <v>43</v>
      </c>
      <c r="F36" s="18"/>
      <c r="G36" s="22">
        <v>18056500</v>
      </c>
      <c r="H36" s="22">
        <v>14978000</v>
      </c>
      <c r="I36" s="22">
        <v>15425000</v>
      </c>
      <c r="J36" s="22">
        <v>23980000</v>
      </c>
      <c r="K36" s="22">
        <v>17802500</v>
      </c>
      <c r="L36" s="22">
        <v>11734500</v>
      </c>
      <c r="M36" s="22">
        <v>14141000</v>
      </c>
      <c r="N36" s="22">
        <v>12746500</v>
      </c>
      <c r="O36" s="22">
        <v>13074000</v>
      </c>
      <c r="P36" s="96">
        <v>11635000</v>
      </c>
      <c r="Q36" s="88"/>
      <c r="R36" s="103"/>
      <c r="S36" s="23">
        <f t="shared" ref="S36:S39" si="24">SUM(G36:R36)</f>
        <v>153573000</v>
      </c>
      <c r="T36" s="116">
        <f t="shared" ref="T36:T39" si="25">AA36</f>
        <v>96240000</v>
      </c>
      <c r="U36" s="21">
        <f t="shared" ref="U36:U39" si="26">S36/T36</f>
        <v>1.5957294264339152</v>
      </c>
      <c r="V36" s="24">
        <f t="shared" ref="V36:V38" si="27">S36/10</f>
        <v>15357300</v>
      </c>
      <c r="Y36" s="117">
        <v>86640000</v>
      </c>
      <c r="Z36" s="117">
        <v>9600000</v>
      </c>
      <c r="AA36" s="117">
        <f t="shared" si="2"/>
        <v>96240000</v>
      </c>
    </row>
    <row r="37" spans="1:28" x14ac:dyDescent="0.25">
      <c r="A37" s="15"/>
      <c r="B37" s="16"/>
      <c r="C37" s="59"/>
      <c r="D37" s="16"/>
      <c r="E37" s="17" t="s">
        <v>44</v>
      </c>
      <c r="F37" s="18"/>
      <c r="G37" s="22">
        <v>13264000</v>
      </c>
      <c r="H37" s="22">
        <v>10131000</v>
      </c>
      <c r="I37" s="22">
        <v>9155000</v>
      </c>
      <c r="J37" s="22">
        <v>13090000</v>
      </c>
      <c r="K37" s="22">
        <v>9532000</v>
      </c>
      <c r="L37" s="22">
        <v>3551500</v>
      </c>
      <c r="M37" s="22">
        <v>3774000</v>
      </c>
      <c r="N37" s="22">
        <v>7516000</v>
      </c>
      <c r="O37" s="22">
        <v>7207000</v>
      </c>
      <c r="P37" s="96">
        <v>8128500</v>
      </c>
      <c r="Q37" s="88"/>
      <c r="R37" s="103"/>
      <c r="S37" s="23">
        <f>SUM(G37:R37)</f>
        <v>85349000</v>
      </c>
      <c r="T37" s="116">
        <f t="shared" si="25"/>
        <v>146800000</v>
      </c>
      <c r="U37" s="21">
        <f t="shared" si="26"/>
        <v>0.58139645776566762</v>
      </c>
      <c r="V37" s="24">
        <f t="shared" si="27"/>
        <v>8534900</v>
      </c>
      <c r="Y37" s="117">
        <v>130800000</v>
      </c>
      <c r="Z37" s="117">
        <v>16000000</v>
      </c>
      <c r="AA37" s="117">
        <f t="shared" si="2"/>
        <v>146800000</v>
      </c>
    </row>
    <row r="38" spans="1:28" x14ac:dyDescent="0.25">
      <c r="A38" s="15"/>
      <c r="B38" s="16"/>
      <c r="C38" s="59"/>
      <c r="D38" s="16"/>
      <c r="E38" s="17" t="s">
        <v>45</v>
      </c>
      <c r="F38" s="18"/>
      <c r="G38" s="22">
        <v>50000</v>
      </c>
      <c r="H38" s="22">
        <v>1530000</v>
      </c>
      <c r="I38" s="22">
        <v>0</v>
      </c>
      <c r="J38" s="22">
        <v>150000</v>
      </c>
      <c r="K38" s="22">
        <v>0</v>
      </c>
      <c r="L38" s="22">
        <v>0</v>
      </c>
      <c r="M38" s="22">
        <v>0</v>
      </c>
      <c r="N38" s="22">
        <v>1198000</v>
      </c>
      <c r="O38" s="22">
        <v>30000</v>
      </c>
      <c r="P38" s="96">
        <v>0</v>
      </c>
      <c r="Q38" s="88"/>
      <c r="R38" s="103"/>
      <c r="S38" s="23">
        <f t="shared" si="24"/>
        <v>2958000</v>
      </c>
      <c r="T38" s="116">
        <f t="shared" si="25"/>
        <v>0</v>
      </c>
      <c r="U38" s="21" t="e">
        <f t="shared" si="26"/>
        <v>#DIV/0!</v>
      </c>
      <c r="V38" s="24">
        <f t="shared" si="27"/>
        <v>295800</v>
      </c>
      <c r="Y38" s="117">
        <v>0</v>
      </c>
      <c r="Z38" s="117">
        <v>0</v>
      </c>
      <c r="AA38" s="117">
        <f t="shared" si="2"/>
        <v>0</v>
      </c>
    </row>
    <row r="39" spans="1:28" ht="15.75" thickBot="1" x14ac:dyDescent="0.3">
      <c r="A39" s="15"/>
      <c r="B39" s="16"/>
      <c r="C39" s="59"/>
      <c r="D39" s="16"/>
      <c r="E39" s="28" t="s">
        <v>46</v>
      </c>
      <c r="F39" s="18"/>
      <c r="G39" s="22">
        <v>2559000</v>
      </c>
      <c r="H39" s="22">
        <v>1378000</v>
      </c>
      <c r="I39" s="22">
        <v>1287000</v>
      </c>
      <c r="J39" s="22">
        <v>635000</v>
      </c>
      <c r="K39" s="22">
        <v>340000</v>
      </c>
      <c r="L39" s="22">
        <v>400000</v>
      </c>
      <c r="M39" s="22">
        <v>2077000</v>
      </c>
      <c r="N39" s="22">
        <v>4339500</v>
      </c>
      <c r="O39" s="22">
        <v>5724000</v>
      </c>
      <c r="P39" s="96">
        <v>2869000</v>
      </c>
      <c r="Q39" s="88"/>
      <c r="R39" s="103"/>
      <c r="S39" s="23">
        <f t="shared" si="24"/>
        <v>21608500</v>
      </c>
      <c r="T39" s="116">
        <f t="shared" si="25"/>
        <v>23600000</v>
      </c>
      <c r="U39" s="21">
        <f t="shared" si="26"/>
        <v>0.91561440677966099</v>
      </c>
      <c r="V39" s="24">
        <f>S39/10</f>
        <v>2160850</v>
      </c>
      <c r="Y39" s="117">
        <v>19600000</v>
      </c>
      <c r="Z39" s="117">
        <v>4000000</v>
      </c>
      <c r="AA39" s="117">
        <f t="shared" si="2"/>
        <v>23600000</v>
      </c>
    </row>
    <row r="40" spans="1:28" s="51" customFormat="1" ht="15.75" thickBot="1" x14ac:dyDescent="0.3">
      <c r="A40" s="43"/>
      <c r="B40" s="44"/>
      <c r="C40" s="60"/>
      <c r="D40" s="44"/>
      <c r="E40" s="45"/>
      <c r="F40" s="46"/>
      <c r="G40" s="52">
        <f t="shared" ref="G40:T40" si="28">SUM(G36:G39)</f>
        <v>33929500</v>
      </c>
      <c r="H40" s="52">
        <f t="shared" si="28"/>
        <v>28017000</v>
      </c>
      <c r="I40" s="52">
        <f t="shared" si="28"/>
        <v>25867000</v>
      </c>
      <c r="J40" s="52">
        <f t="shared" si="28"/>
        <v>37855000</v>
      </c>
      <c r="K40" s="52">
        <f t="shared" si="28"/>
        <v>27674500</v>
      </c>
      <c r="L40" s="52">
        <f t="shared" si="28"/>
        <v>15686000</v>
      </c>
      <c r="M40" s="52">
        <f t="shared" si="28"/>
        <v>19992000</v>
      </c>
      <c r="N40" s="52">
        <f t="shared" si="28"/>
        <v>25800000</v>
      </c>
      <c r="O40" s="52">
        <f t="shared" si="28"/>
        <v>26035000</v>
      </c>
      <c r="P40" s="52">
        <f t="shared" si="28"/>
        <v>22632500</v>
      </c>
      <c r="Q40" s="94">
        <f t="shared" si="28"/>
        <v>0</v>
      </c>
      <c r="R40" s="52">
        <f t="shared" si="28"/>
        <v>0</v>
      </c>
      <c r="S40" s="123">
        <f t="shared" si="28"/>
        <v>263488500</v>
      </c>
      <c r="T40" s="53">
        <f t="shared" si="28"/>
        <v>266640000</v>
      </c>
      <c r="U40" s="49">
        <f>S40/T40</f>
        <v>0.98818069306930689</v>
      </c>
      <c r="V40" s="52">
        <f>SUM(V36:V39)</f>
        <v>26348850</v>
      </c>
      <c r="Y40" s="119">
        <v>0</v>
      </c>
      <c r="Z40" s="117"/>
      <c r="AA40" s="117">
        <f t="shared" si="2"/>
        <v>0</v>
      </c>
      <c r="AB40" s="119"/>
    </row>
    <row r="41" spans="1:28" x14ac:dyDescent="0.25">
      <c r="A41" s="8"/>
      <c r="B41" s="9"/>
      <c r="C41" s="58"/>
      <c r="D41" s="9"/>
      <c r="E41" s="10"/>
      <c r="F41" s="11"/>
      <c r="G41" s="12"/>
      <c r="H41" s="12"/>
      <c r="I41" s="12"/>
      <c r="J41" s="12"/>
      <c r="K41" s="12"/>
      <c r="L41" s="12"/>
      <c r="M41" s="12"/>
      <c r="N41" s="12"/>
      <c r="O41" s="12"/>
      <c r="P41" s="10"/>
      <c r="Q41" s="11"/>
      <c r="R41" s="9"/>
      <c r="S41" s="13"/>
      <c r="T41" s="13"/>
      <c r="U41" s="14"/>
      <c r="V41" s="13"/>
      <c r="Y41" s="117">
        <v>0</v>
      </c>
      <c r="AA41" s="117">
        <f t="shared" ref="AA41:AA51" si="29">Y41+Z41</f>
        <v>0</v>
      </c>
    </row>
    <row r="42" spans="1:28" x14ac:dyDescent="0.25">
      <c r="A42" s="15">
        <v>3</v>
      </c>
      <c r="B42" s="16" t="s">
        <v>69</v>
      </c>
      <c r="C42" s="59" t="s">
        <v>70</v>
      </c>
      <c r="D42" s="38" t="s">
        <v>28</v>
      </c>
      <c r="E42" s="17"/>
      <c r="F42" s="18" t="s">
        <v>8</v>
      </c>
      <c r="G42" s="19"/>
      <c r="H42" s="19"/>
      <c r="I42" s="19"/>
      <c r="J42" s="19"/>
      <c r="K42" s="19"/>
      <c r="L42" s="19"/>
      <c r="M42" s="19"/>
      <c r="N42" s="19"/>
      <c r="O42" s="19"/>
      <c r="P42" s="17"/>
      <c r="Q42" s="18"/>
      <c r="R42" s="16"/>
      <c r="S42" s="20"/>
      <c r="T42" s="112"/>
      <c r="U42" s="21"/>
      <c r="V42" s="20"/>
      <c r="Y42" s="117">
        <v>0</v>
      </c>
      <c r="AA42" s="117">
        <f t="shared" si="29"/>
        <v>0</v>
      </c>
    </row>
    <row r="43" spans="1:28" x14ac:dyDescent="0.25">
      <c r="A43" s="15"/>
      <c r="B43" s="16"/>
      <c r="C43" s="59"/>
      <c r="D43" s="16"/>
      <c r="E43" s="17" t="s">
        <v>29</v>
      </c>
      <c r="F43" s="18" t="s">
        <v>11</v>
      </c>
      <c r="G43" s="22">
        <v>4036000</v>
      </c>
      <c r="H43" s="22">
        <v>4756000</v>
      </c>
      <c r="I43" s="22">
        <v>4209000</v>
      </c>
      <c r="J43" s="22">
        <v>3790000</v>
      </c>
      <c r="K43" s="22">
        <v>3895000</v>
      </c>
      <c r="L43" s="22">
        <v>3252500</v>
      </c>
      <c r="M43" s="22">
        <v>5095500</v>
      </c>
      <c r="N43" s="22">
        <v>4385500</v>
      </c>
      <c r="O43" s="22">
        <v>3176500</v>
      </c>
      <c r="P43" s="96">
        <v>4638000</v>
      </c>
      <c r="Q43" s="88"/>
      <c r="R43" s="103"/>
      <c r="S43" s="23">
        <f>SUM(G43:R43)</f>
        <v>41234000</v>
      </c>
      <c r="T43" s="116">
        <f t="shared" ref="T43:T50" si="30">AA43</f>
        <v>52000000</v>
      </c>
      <c r="U43" s="21">
        <f t="shared" ref="U43:U50" si="31">S43/T43</f>
        <v>0.7929615384615385</v>
      </c>
      <c r="V43" s="24">
        <f t="shared" ref="V43:V50" si="32">S43/10</f>
        <v>4123400</v>
      </c>
      <c r="Y43" s="117">
        <v>46400000</v>
      </c>
      <c r="Z43" s="117">
        <v>5600000</v>
      </c>
      <c r="AA43" s="117">
        <f t="shared" si="29"/>
        <v>52000000</v>
      </c>
    </row>
    <row r="44" spans="1:28" x14ac:dyDescent="0.25">
      <c r="A44" s="15"/>
      <c r="B44" s="16"/>
      <c r="C44" s="59"/>
      <c r="D44" s="16"/>
      <c r="E44" s="17" t="s">
        <v>30</v>
      </c>
      <c r="F44" s="18" t="s">
        <v>11</v>
      </c>
      <c r="G44" s="22">
        <v>1590000</v>
      </c>
      <c r="H44" s="22">
        <v>919000</v>
      </c>
      <c r="I44" s="22">
        <v>1962000</v>
      </c>
      <c r="J44" s="22">
        <v>2035000</v>
      </c>
      <c r="K44" s="22">
        <v>2623500</v>
      </c>
      <c r="L44" s="22">
        <v>1025000</v>
      </c>
      <c r="M44" s="22">
        <v>2611000</v>
      </c>
      <c r="N44" s="22">
        <v>1182000</v>
      </c>
      <c r="O44" s="22">
        <v>3108000</v>
      </c>
      <c r="P44" s="96">
        <v>2458500</v>
      </c>
      <c r="Q44" s="88"/>
      <c r="R44" s="103"/>
      <c r="S44" s="23">
        <f>SUM(G44:R44)</f>
        <v>19514000</v>
      </c>
      <c r="T44" s="116">
        <f t="shared" si="30"/>
        <v>52000000</v>
      </c>
      <c r="U44" s="21">
        <f t="shared" si="31"/>
        <v>0.37526923076923074</v>
      </c>
      <c r="V44" s="24">
        <f t="shared" si="32"/>
        <v>1951400</v>
      </c>
      <c r="Y44" s="117">
        <v>46400000</v>
      </c>
      <c r="Z44" s="117">
        <v>5600000</v>
      </c>
      <c r="AA44" s="117">
        <f t="shared" si="29"/>
        <v>52000000</v>
      </c>
    </row>
    <row r="45" spans="1:28" x14ac:dyDescent="0.25">
      <c r="A45" s="15"/>
      <c r="B45" s="16"/>
      <c r="C45" s="59"/>
      <c r="D45" s="16"/>
      <c r="E45" s="17" t="s">
        <v>31</v>
      </c>
      <c r="F45" s="18" t="s">
        <v>11</v>
      </c>
      <c r="G45" s="22">
        <v>1460000</v>
      </c>
      <c r="H45" s="22">
        <v>1191000</v>
      </c>
      <c r="I45" s="22">
        <v>865000</v>
      </c>
      <c r="J45" s="22">
        <v>2540000</v>
      </c>
      <c r="K45" s="22">
        <v>6569500</v>
      </c>
      <c r="L45" s="22">
        <v>3262500</v>
      </c>
      <c r="M45" s="22">
        <v>2584500</v>
      </c>
      <c r="N45" s="22">
        <v>5216500</v>
      </c>
      <c r="O45" s="22">
        <v>5103000</v>
      </c>
      <c r="P45" s="96">
        <v>3763500</v>
      </c>
      <c r="Q45" s="88"/>
      <c r="R45" s="103"/>
      <c r="S45" s="23">
        <f t="shared" ref="S45:S50" si="33">SUM(G45:R45)</f>
        <v>32555500</v>
      </c>
      <c r="T45" s="116">
        <f t="shared" si="30"/>
        <v>32000000</v>
      </c>
      <c r="U45" s="21">
        <f t="shared" si="31"/>
        <v>1.0173593750000001</v>
      </c>
      <c r="V45" s="24">
        <f t="shared" si="32"/>
        <v>3255550</v>
      </c>
      <c r="Y45" s="117">
        <v>28800000</v>
      </c>
      <c r="Z45" s="117">
        <v>3200000</v>
      </c>
      <c r="AA45" s="117">
        <f t="shared" si="29"/>
        <v>32000000</v>
      </c>
    </row>
    <row r="46" spans="1:28" x14ac:dyDescent="0.25">
      <c r="A46" s="15"/>
      <c r="B46" s="16"/>
      <c r="C46" s="59"/>
      <c r="D46" s="16"/>
      <c r="E46" s="17" t="s">
        <v>32</v>
      </c>
      <c r="F46" s="18"/>
      <c r="G46" s="22">
        <v>0</v>
      </c>
      <c r="H46" s="22">
        <v>400000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96">
        <v>0</v>
      </c>
      <c r="Q46" s="88"/>
      <c r="R46" s="103"/>
      <c r="S46" s="23">
        <f t="shared" si="33"/>
        <v>400000</v>
      </c>
      <c r="T46" s="116">
        <f t="shared" si="30"/>
        <v>0</v>
      </c>
      <c r="U46" s="21" t="e">
        <f t="shared" si="31"/>
        <v>#DIV/0!</v>
      </c>
      <c r="V46" s="24">
        <f t="shared" si="32"/>
        <v>40000</v>
      </c>
      <c r="Y46" s="117">
        <v>0</v>
      </c>
      <c r="Z46" s="117">
        <v>0</v>
      </c>
      <c r="AA46" s="117">
        <f t="shared" si="29"/>
        <v>0</v>
      </c>
    </row>
    <row r="47" spans="1:28" x14ac:dyDescent="0.25">
      <c r="A47" s="15"/>
      <c r="B47" s="16"/>
      <c r="C47" s="59"/>
      <c r="D47" s="16"/>
      <c r="E47" s="17" t="s">
        <v>33</v>
      </c>
      <c r="F47" s="18"/>
      <c r="G47" s="22">
        <v>2068000</v>
      </c>
      <c r="H47" s="22">
        <v>2227000</v>
      </c>
      <c r="I47" s="22">
        <v>1813000</v>
      </c>
      <c r="J47" s="22">
        <v>1682000</v>
      </c>
      <c r="K47" s="22">
        <v>973000</v>
      </c>
      <c r="L47" s="22">
        <v>961000</v>
      </c>
      <c r="M47" s="22">
        <v>2360000</v>
      </c>
      <c r="N47" s="22">
        <v>3132000</v>
      </c>
      <c r="O47" s="22">
        <v>983000</v>
      </c>
      <c r="P47" s="96">
        <v>1150000</v>
      </c>
      <c r="Q47" s="88"/>
      <c r="R47" s="103"/>
      <c r="S47" s="23">
        <f t="shared" si="33"/>
        <v>17349000</v>
      </c>
      <c r="T47" s="116">
        <f t="shared" si="30"/>
        <v>52000000</v>
      </c>
      <c r="U47" s="21">
        <f t="shared" si="31"/>
        <v>0.33363461538461536</v>
      </c>
      <c r="V47" s="24">
        <f t="shared" si="32"/>
        <v>1734900</v>
      </c>
      <c r="Y47" s="117">
        <v>46400000</v>
      </c>
      <c r="Z47" s="117">
        <v>5600000</v>
      </c>
      <c r="AA47" s="117">
        <f t="shared" si="29"/>
        <v>52000000</v>
      </c>
    </row>
    <row r="48" spans="1:28" x14ac:dyDescent="0.25">
      <c r="A48" s="15"/>
      <c r="B48" s="16"/>
      <c r="C48" s="59"/>
      <c r="D48" s="16"/>
      <c r="E48" s="17" t="s">
        <v>34</v>
      </c>
      <c r="F48" s="18"/>
      <c r="G48" s="22">
        <v>1682000</v>
      </c>
      <c r="H48" s="22">
        <v>0</v>
      </c>
      <c r="I48" s="22">
        <v>0</v>
      </c>
      <c r="J48" s="22">
        <v>0</v>
      </c>
      <c r="K48" s="22">
        <v>818000</v>
      </c>
      <c r="L48" s="22">
        <v>0</v>
      </c>
      <c r="M48" s="22">
        <v>455000</v>
      </c>
      <c r="N48" s="22">
        <v>0</v>
      </c>
      <c r="O48" s="22">
        <v>273000</v>
      </c>
      <c r="P48" s="96">
        <v>682000</v>
      </c>
      <c r="Q48" s="88"/>
      <c r="R48" s="103"/>
      <c r="S48" s="23">
        <f t="shared" si="33"/>
        <v>3910000</v>
      </c>
      <c r="T48" s="116">
        <f t="shared" si="30"/>
        <v>9000000</v>
      </c>
      <c r="U48" s="21">
        <f t="shared" si="31"/>
        <v>0.43444444444444447</v>
      </c>
      <c r="V48" s="24">
        <f t="shared" si="32"/>
        <v>391000</v>
      </c>
      <c r="Y48" s="117">
        <v>8100000</v>
      </c>
      <c r="Z48" s="117">
        <v>900000</v>
      </c>
      <c r="AA48" s="117">
        <f t="shared" si="29"/>
        <v>9000000</v>
      </c>
    </row>
    <row r="49" spans="1:28" x14ac:dyDescent="0.25">
      <c r="A49" s="15"/>
      <c r="B49" s="16"/>
      <c r="C49" s="59"/>
      <c r="D49" s="16"/>
      <c r="E49" s="17" t="s">
        <v>35</v>
      </c>
      <c r="F49" s="18"/>
      <c r="G49" s="22">
        <v>0</v>
      </c>
      <c r="H49" s="22">
        <v>393000</v>
      </c>
      <c r="I49" s="22">
        <v>272000</v>
      </c>
      <c r="J49" s="22">
        <v>539000</v>
      </c>
      <c r="K49" s="22">
        <v>819000</v>
      </c>
      <c r="L49" s="22">
        <v>227000</v>
      </c>
      <c r="M49" s="22">
        <v>1243000</v>
      </c>
      <c r="N49" s="22">
        <v>0</v>
      </c>
      <c r="O49" s="22">
        <v>1000000</v>
      </c>
      <c r="P49" s="96">
        <v>150000</v>
      </c>
      <c r="Q49" s="88"/>
      <c r="R49" s="103"/>
      <c r="S49" s="23">
        <f t="shared" si="33"/>
        <v>4643000</v>
      </c>
      <c r="T49" s="116">
        <f t="shared" si="30"/>
        <v>15000000</v>
      </c>
      <c r="U49" s="21">
        <f t="shared" si="31"/>
        <v>0.30953333333333333</v>
      </c>
      <c r="V49" s="24">
        <f t="shared" si="32"/>
        <v>464300</v>
      </c>
      <c r="Y49" s="117">
        <v>13000000</v>
      </c>
      <c r="Z49" s="117">
        <v>2000000</v>
      </c>
      <c r="AA49" s="117">
        <f t="shared" si="29"/>
        <v>15000000</v>
      </c>
    </row>
    <row r="50" spans="1:28" ht="15.75" thickBot="1" x14ac:dyDescent="0.3">
      <c r="A50" s="26"/>
      <c r="B50" s="27"/>
      <c r="C50" s="61"/>
      <c r="D50" s="27"/>
      <c r="E50" s="28" t="s">
        <v>36</v>
      </c>
      <c r="F50" s="29"/>
      <c r="G50" s="32">
        <v>0</v>
      </c>
      <c r="H50" s="32">
        <v>0</v>
      </c>
      <c r="I50" s="32">
        <v>0</v>
      </c>
      <c r="J50" s="32">
        <v>0</v>
      </c>
      <c r="K50" s="32">
        <v>200000</v>
      </c>
      <c r="L50" s="32">
        <v>0</v>
      </c>
      <c r="M50" s="32">
        <v>0</v>
      </c>
      <c r="N50" s="32">
        <v>0</v>
      </c>
      <c r="O50" s="32">
        <v>130000</v>
      </c>
      <c r="P50" s="97">
        <v>0</v>
      </c>
      <c r="Q50" s="91"/>
      <c r="R50" s="106"/>
      <c r="S50" s="23">
        <f t="shared" si="33"/>
        <v>330000</v>
      </c>
      <c r="T50" s="116">
        <f t="shared" si="30"/>
        <v>3000000</v>
      </c>
      <c r="U50" s="21">
        <f t="shared" si="31"/>
        <v>0.11</v>
      </c>
      <c r="V50" s="24">
        <f t="shared" si="32"/>
        <v>33000</v>
      </c>
      <c r="Y50" s="117">
        <v>2700000</v>
      </c>
      <c r="Z50" s="117">
        <v>300000</v>
      </c>
      <c r="AA50" s="117">
        <f t="shared" si="29"/>
        <v>3000000</v>
      </c>
    </row>
    <row r="51" spans="1:28" s="51" customFormat="1" ht="15.75" thickBot="1" x14ac:dyDescent="0.3">
      <c r="A51" s="43"/>
      <c r="B51" s="44"/>
      <c r="C51" s="60"/>
      <c r="D51" s="44"/>
      <c r="E51" s="45"/>
      <c r="F51" s="46"/>
      <c r="G51" s="52">
        <f>SUM(G43:G50)</f>
        <v>10836000</v>
      </c>
      <c r="H51" s="52">
        <f>SUM(H43:H50)</f>
        <v>9886000</v>
      </c>
      <c r="I51" s="52">
        <f t="shared" ref="I51:T51" si="34">SUM(I43:I50)</f>
        <v>9121000</v>
      </c>
      <c r="J51" s="52">
        <f t="shared" si="34"/>
        <v>10586000</v>
      </c>
      <c r="K51" s="52">
        <f t="shared" si="34"/>
        <v>15898000</v>
      </c>
      <c r="L51" s="52">
        <f t="shared" si="34"/>
        <v>8728000</v>
      </c>
      <c r="M51" s="52">
        <f t="shared" si="34"/>
        <v>14349000</v>
      </c>
      <c r="N51" s="52">
        <f t="shared" si="34"/>
        <v>13916000</v>
      </c>
      <c r="O51" s="52">
        <f t="shared" si="34"/>
        <v>13773500</v>
      </c>
      <c r="P51" s="52">
        <f t="shared" si="34"/>
        <v>12842000</v>
      </c>
      <c r="Q51" s="94">
        <f t="shared" si="34"/>
        <v>0</v>
      </c>
      <c r="R51" s="52">
        <f t="shared" si="34"/>
        <v>0</v>
      </c>
      <c r="S51" s="53">
        <f t="shared" si="34"/>
        <v>119935500</v>
      </c>
      <c r="T51" s="53">
        <f t="shared" si="34"/>
        <v>215000000</v>
      </c>
      <c r="U51" s="49">
        <f>S51/T51</f>
        <v>0.55783953488372096</v>
      </c>
      <c r="V51" s="53">
        <f>SUM(V43:V50)</f>
        <v>11993550</v>
      </c>
      <c r="Y51" s="119">
        <v>0</v>
      </c>
      <c r="Z51" s="117"/>
      <c r="AA51" s="117">
        <f t="shared" si="29"/>
        <v>0</v>
      </c>
      <c r="AB51" s="119"/>
    </row>
    <row r="52" spans="1:28" x14ac:dyDescent="0.25">
      <c r="A52" s="8"/>
      <c r="B52" s="9"/>
      <c r="C52" s="58"/>
      <c r="D52" s="9"/>
      <c r="E52" s="10"/>
      <c r="F52" s="11"/>
      <c r="G52" s="33"/>
      <c r="H52" s="33"/>
      <c r="I52" s="33"/>
      <c r="J52" s="33"/>
      <c r="K52" s="33"/>
      <c r="L52" s="33"/>
      <c r="M52" s="33"/>
      <c r="N52" s="33"/>
      <c r="O52" s="33"/>
      <c r="P52" s="98"/>
      <c r="Q52" s="92"/>
      <c r="R52" s="107"/>
      <c r="S52" s="13"/>
      <c r="T52" s="13"/>
      <c r="U52" s="14"/>
      <c r="V52" s="13"/>
      <c r="Y52" s="117">
        <v>0</v>
      </c>
      <c r="AA52" s="117">
        <f t="shared" si="2"/>
        <v>0</v>
      </c>
    </row>
    <row r="53" spans="1:28" x14ac:dyDescent="0.25">
      <c r="A53" s="15">
        <v>6</v>
      </c>
      <c r="B53" s="16" t="s">
        <v>69</v>
      </c>
      <c r="C53" s="59" t="s">
        <v>70</v>
      </c>
      <c r="D53" s="38" t="s">
        <v>119</v>
      </c>
      <c r="E53" s="17"/>
      <c r="F53" s="34" t="s">
        <v>8</v>
      </c>
      <c r="G53" s="19"/>
      <c r="H53" s="19"/>
      <c r="I53" s="19"/>
      <c r="J53" s="19"/>
      <c r="K53" s="19"/>
      <c r="L53" s="19"/>
      <c r="M53" s="19"/>
      <c r="N53" s="19"/>
      <c r="O53" s="19"/>
      <c r="P53" s="17"/>
      <c r="Q53" s="18"/>
      <c r="R53" s="16"/>
      <c r="S53" s="20"/>
      <c r="T53" s="112"/>
      <c r="U53" s="21"/>
      <c r="V53" s="20"/>
      <c r="Y53" s="117">
        <v>0</v>
      </c>
      <c r="AA53" s="117">
        <f t="shared" si="2"/>
        <v>0</v>
      </c>
    </row>
    <row r="54" spans="1:28" x14ac:dyDescent="0.25">
      <c r="A54" s="15"/>
      <c r="B54" s="16"/>
      <c r="C54" s="59"/>
      <c r="D54" s="16"/>
      <c r="E54" s="17" t="s">
        <v>24</v>
      </c>
      <c r="F54" s="18" t="s">
        <v>11</v>
      </c>
      <c r="G54" s="22">
        <v>7330000</v>
      </c>
      <c r="H54" s="22">
        <v>4200500</v>
      </c>
      <c r="I54" s="22">
        <v>3056000</v>
      </c>
      <c r="J54" s="22">
        <v>4252000</v>
      </c>
      <c r="K54" s="22">
        <v>5108000</v>
      </c>
      <c r="L54" s="22">
        <v>4577000</v>
      </c>
      <c r="M54" s="22">
        <v>3279000</v>
      </c>
      <c r="N54" s="22">
        <v>3227000</v>
      </c>
      <c r="O54" s="22">
        <v>4045500</v>
      </c>
      <c r="P54" s="96">
        <v>4969000</v>
      </c>
      <c r="Q54" s="88"/>
      <c r="R54" s="103"/>
      <c r="S54" s="23">
        <f t="shared" ref="S54:S56" si="35">SUM(G54:R54)</f>
        <v>44044000</v>
      </c>
      <c r="T54" s="116">
        <f t="shared" ref="T54:T56" si="36">AA54</f>
        <v>38400000</v>
      </c>
      <c r="U54" s="21">
        <f>S54/T54</f>
        <v>1.1469791666666667</v>
      </c>
      <c r="V54" s="24">
        <f t="shared" ref="V54:V56" si="37">S54/10</f>
        <v>4404400</v>
      </c>
      <c r="Y54" s="117">
        <v>34400000</v>
      </c>
      <c r="Z54" s="117">
        <v>4000000</v>
      </c>
      <c r="AA54" s="117">
        <f t="shared" si="2"/>
        <v>38400000</v>
      </c>
    </row>
    <row r="55" spans="1:28" x14ac:dyDescent="0.25">
      <c r="A55" s="26"/>
      <c r="B55" s="27"/>
      <c r="C55" s="61"/>
      <c r="D55" s="27"/>
      <c r="E55" s="28" t="s">
        <v>23</v>
      </c>
      <c r="F55" s="29"/>
      <c r="G55" s="30">
        <v>2110000</v>
      </c>
      <c r="H55" s="30">
        <v>2160000</v>
      </c>
      <c r="I55" s="30">
        <v>1550000</v>
      </c>
      <c r="J55" s="30">
        <v>2410000</v>
      </c>
      <c r="K55" s="30">
        <v>500000</v>
      </c>
      <c r="L55" s="30">
        <v>350000</v>
      </c>
      <c r="M55" s="30">
        <v>460000</v>
      </c>
      <c r="N55" s="30">
        <v>320000</v>
      </c>
      <c r="O55" s="30">
        <v>0</v>
      </c>
      <c r="P55" s="99">
        <v>280000</v>
      </c>
      <c r="Q55" s="93"/>
      <c r="R55" s="108"/>
      <c r="S55" s="23">
        <f t="shared" ref="S55" si="38">SUM(G55:R55)</f>
        <v>10140000</v>
      </c>
      <c r="T55" s="116">
        <f t="shared" ref="T55" si="39">AA55</f>
        <v>34200000</v>
      </c>
      <c r="U55" s="21">
        <f t="shared" ref="U55" si="40">S55/T55</f>
        <v>0.29649122807017542</v>
      </c>
      <c r="V55" s="24">
        <f t="shared" si="37"/>
        <v>1014000</v>
      </c>
      <c r="Y55" s="117">
        <v>30200000</v>
      </c>
      <c r="Z55" s="117">
        <v>4000000</v>
      </c>
      <c r="AA55" s="117">
        <f t="shared" ref="AA55" si="41">Y55+Z55</f>
        <v>34200000</v>
      </c>
    </row>
    <row r="56" spans="1:28" ht="15.75" thickBot="1" x14ac:dyDescent="0.3">
      <c r="A56" s="15"/>
      <c r="B56" s="16"/>
      <c r="C56" s="59"/>
      <c r="D56" s="16"/>
      <c r="E56" s="17" t="s">
        <v>25</v>
      </c>
      <c r="F56" s="18"/>
      <c r="G56" s="22">
        <v>9926500</v>
      </c>
      <c r="H56" s="22">
        <v>7053000</v>
      </c>
      <c r="I56" s="22">
        <v>4112000</v>
      </c>
      <c r="J56" s="22">
        <v>10426500</v>
      </c>
      <c r="K56" s="22">
        <v>10270000</v>
      </c>
      <c r="L56" s="22">
        <v>10495000</v>
      </c>
      <c r="M56" s="22">
        <v>9285000</v>
      </c>
      <c r="N56" s="22">
        <v>10344500</v>
      </c>
      <c r="O56" s="22">
        <v>10835000</v>
      </c>
      <c r="P56" s="96">
        <v>17292634</v>
      </c>
      <c r="Q56" s="88"/>
      <c r="R56" s="103"/>
      <c r="S56" s="23">
        <f t="shared" si="35"/>
        <v>100040134</v>
      </c>
      <c r="T56" s="116">
        <f t="shared" si="36"/>
        <v>72000000</v>
      </c>
      <c r="U56" s="21">
        <f t="shared" ref="U56" si="42">S56/T56</f>
        <v>1.3894463055555555</v>
      </c>
      <c r="V56" s="24">
        <f t="shared" si="37"/>
        <v>10004013.4</v>
      </c>
      <c r="Y56" s="117">
        <v>63800000</v>
      </c>
      <c r="Z56" s="117">
        <v>8200000</v>
      </c>
      <c r="AA56" s="117">
        <f t="shared" si="2"/>
        <v>72000000</v>
      </c>
    </row>
    <row r="57" spans="1:28" s="51" customFormat="1" ht="15.75" thickBot="1" x14ac:dyDescent="0.3">
      <c r="A57" s="43"/>
      <c r="B57" s="44"/>
      <c r="C57" s="60"/>
      <c r="D57" s="44"/>
      <c r="E57" s="45"/>
      <c r="F57" s="46"/>
      <c r="G57" s="52">
        <f t="shared" ref="G57:T57" si="43">SUM(G54:G56)</f>
        <v>19366500</v>
      </c>
      <c r="H57" s="52">
        <f t="shared" si="43"/>
        <v>13413500</v>
      </c>
      <c r="I57" s="52">
        <f t="shared" si="43"/>
        <v>8718000</v>
      </c>
      <c r="J57" s="52">
        <f t="shared" si="43"/>
        <v>17088500</v>
      </c>
      <c r="K57" s="52">
        <f t="shared" si="43"/>
        <v>15878000</v>
      </c>
      <c r="L57" s="52">
        <f t="shared" si="43"/>
        <v>15422000</v>
      </c>
      <c r="M57" s="52">
        <f t="shared" si="43"/>
        <v>13024000</v>
      </c>
      <c r="N57" s="52">
        <f t="shared" si="43"/>
        <v>13891500</v>
      </c>
      <c r="O57" s="52">
        <f t="shared" si="43"/>
        <v>14880500</v>
      </c>
      <c r="P57" s="52">
        <f t="shared" si="43"/>
        <v>22541634</v>
      </c>
      <c r="Q57" s="52">
        <f t="shared" si="43"/>
        <v>0</v>
      </c>
      <c r="R57" s="52">
        <f t="shared" si="43"/>
        <v>0</v>
      </c>
      <c r="S57" s="52">
        <f t="shared" si="43"/>
        <v>154224134</v>
      </c>
      <c r="T57" s="52">
        <f t="shared" si="43"/>
        <v>144600000</v>
      </c>
      <c r="U57" s="49">
        <f>S57/T57</f>
        <v>1.0665569432918396</v>
      </c>
      <c r="V57" s="53">
        <f>SUM(V54:V56)</f>
        <v>15422413.4</v>
      </c>
      <c r="Y57" s="119">
        <v>0</v>
      </c>
      <c r="Z57" s="117"/>
      <c r="AA57" s="117">
        <f t="shared" si="2"/>
        <v>0</v>
      </c>
      <c r="AB57" s="119"/>
    </row>
    <row r="58" spans="1:28" x14ac:dyDescent="0.25">
      <c r="A58" s="15">
        <v>6</v>
      </c>
      <c r="B58" s="16" t="s">
        <v>69</v>
      </c>
      <c r="C58" s="59" t="s">
        <v>71</v>
      </c>
      <c r="D58" s="38" t="s">
        <v>120</v>
      </c>
      <c r="E58" s="17"/>
      <c r="F58" s="34" t="s">
        <v>8</v>
      </c>
      <c r="G58" s="19"/>
      <c r="H58" s="19"/>
      <c r="I58" s="19"/>
      <c r="J58" s="19"/>
      <c r="K58" s="19"/>
      <c r="L58" s="19"/>
      <c r="M58" s="19"/>
      <c r="N58" s="19"/>
      <c r="O58" s="19"/>
      <c r="P58" s="17"/>
      <c r="Q58" s="18"/>
      <c r="R58" s="16"/>
      <c r="S58" s="20"/>
      <c r="T58" s="112"/>
      <c r="U58" s="21"/>
      <c r="V58" s="20"/>
      <c r="Y58" s="117">
        <v>0</v>
      </c>
      <c r="AA58" s="117">
        <f t="shared" ref="AA58" si="44">Y58+Z58</f>
        <v>0</v>
      </c>
    </row>
    <row r="59" spans="1:28" x14ac:dyDescent="0.25">
      <c r="A59" s="15"/>
      <c r="B59" s="16"/>
      <c r="C59" s="59"/>
      <c r="D59" s="16"/>
      <c r="E59" s="17" t="s">
        <v>26</v>
      </c>
      <c r="F59" s="18"/>
      <c r="G59" s="22">
        <v>5474000</v>
      </c>
      <c r="H59" s="22">
        <v>3843000</v>
      </c>
      <c r="I59" s="22">
        <v>3304000</v>
      </c>
      <c r="J59" s="22">
        <v>2849500</v>
      </c>
      <c r="K59" s="22">
        <v>4312000</v>
      </c>
      <c r="L59" s="22">
        <v>2959500</v>
      </c>
      <c r="M59" s="22">
        <v>3390000</v>
      </c>
      <c r="N59" s="22">
        <v>3678000</v>
      </c>
      <c r="O59" s="22">
        <v>3733000</v>
      </c>
      <c r="P59" s="96">
        <v>3761000</v>
      </c>
      <c r="Q59" s="88"/>
      <c r="R59" s="103"/>
      <c r="S59" s="23">
        <f>SUM(G59:R59)</f>
        <v>37304000</v>
      </c>
      <c r="T59" s="116">
        <f>AA59</f>
        <v>31600000</v>
      </c>
      <c r="U59" s="21">
        <f>S59/T59</f>
        <v>1.1805063291139239</v>
      </c>
      <c r="V59" s="24">
        <f t="shared" ref="V59:V60" si="45">S59/10</f>
        <v>3730400</v>
      </c>
      <c r="Y59" s="117">
        <v>28600000</v>
      </c>
      <c r="Z59" s="117">
        <v>3000000</v>
      </c>
      <c r="AA59" s="117">
        <f>Y59+Z59</f>
        <v>31600000</v>
      </c>
    </row>
    <row r="60" spans="1:28" ht="15.75" thickBot="1" x14ac:dyDescent="0.3">
      <c r="A60" s="26"/>
      <c r="B60" s="27"/>
      <c r="C60" s="61"/>
      <c r="D60" s="27"/>
      <c r="E60" s="28" t="s">
        <v>27</v>
      </c>
      <c r="F60" s="29"/>
      <c r="G60" s="32">
        <v>3913000</v>
      </c>
      <c r="H60" s="32">
        <v>6181000</v>
      </c>
      <c r="I60" s="32">
        <v>2089000</v>
      </c>
      <c r="J60" s="32">
        <v>1892000</v>
      </c>
      <c r="K60" s="32">
        <v>1972400</v>
      </c>
      <c r="L60" s="32">
        <v>1856500</v>
      </c>
      <c r="M60" s="32">
        <v>3863000</v>
      </c>
      <c r="N60" s="32">
        <v>2619000</v>
      </c>
      <c r="O60" s="32">
        <v>1620000</v>
      </c>
      <c r="P60" s="97">
        <v>1367000</v>
      </c>
      <c r="Q60" s="91"/>
      <c r="R60" s="106"/>
      <c r="S60" s="23">
        <f>SUM(G60:R60)</f>
        <v>27372900</v>
      </c>
      <c r="T60" s="116">
        <f>AA60</f>
        <v>33400000</v>
      </c>
      <c r="U60" s="21">
        <f>S60/T60</f>
        <v>0.81954790419161672</v>
      </c>
      <c r="V60" s="24">
        <f t="shared" si="45"/>
        <v>2737290</v>
      </c>
      <c r="Y60" s="117">
        <v>29800000</v>
      </c>
      <c r="Z60" s="117">
        <v>3600000</v>
      </c>
      <c r="AA60" s="117">
        <f>Y60+Z60</f>
        <v>33400000</v>
      </c>
    </row>
    <row r="61" spans="1:28" s="51" customFormat="1" ht="15.75" thickBot="1" x14ac:dyDescent="0.3">
      <c r="A61" s="43"/>
      <c r="B61" s="44"/>
      <c r="C61" s="60"/>
      <c r="D61" s="44"/>
      <c r="E61" s="45"/>
      <c r="F61" s="46"/>
      <c r="G61" s="82">
        <f>SUM(G59:G60)</f>
        <v>9387000</v>
      </c>
      <c r="H61" s="82">
        <f t="shared" ref="H61:R61" si="46">SUM(H59:H60)</f>
        <v>10024000</v>
      </c>
      <c r="I61" s="82">
        <f t="shared" si="46"/>
        <v>5393000</v>
      </c>
      <c r="J61" s="82">
        <f t="shared" si="46"/>
        <v>4741500</v>
      </c>
      <c r="K61" s="82">
        <f t="shared" si="46"/>
        <v>6284400</v>
      </c>
      <c r="L61" s="82">
        <f>SUM(L59:L60)</f>
        <v>4816000</v>
      </c>
      <c r="M61" s="82">
        <f t="shared" si="46"/>
        <v>7253000</v>
      </c>
      <c r="N61" s="82">
        <f t="shared" si="46"/>
        <v>6297000</v>
      </c>
      <c r="O61" s="82">
        <f t="shared" si="46"/>
        <v>5353000</v>
      </c>
      <c r="P61" s="82">
        <f t="shared" si="46"/>
        <v>5128000</v>
      </c>
      <c r="Q61" s="82">
        <f t="shared" si="46"/>
        <v>0</v>
      </c>
      <c r="R61" s="82">
        <f t="shared" si="46"/>
        <v>0</v>
      </c>
      <c r="S61" s="82">
        <f>SUM(S59:S60)</f>
        <v>64676900</v>
      </c>
      <c r="T61" s="82">
        <f>SUM(T59:T60)</f>
        <v>65000000</v>
      </c>
      <c r="U61" s="49">
        <f>S61/T61</f>
        <v>0.99502923076923078</v>
      </c>
      <c r="V61" s="48">
        <f>SUM(V59:V60)</f>
        <v>6467690</v>
      </c>
      <c r="Y61" s="119">
        <v>0</v>
      </c>
      <c r="Z61" s="117"/>
      <c r="AA61" s="117">
        <f t="shared" si="2"/>
        <v>0</v>
      </c>
      <c r="AB61" s="119"/>
    </row>
    <row r="62" spans="1:28" s="51" customFormat="1" ht="15.75" thickBot="1" x14ac:dyDescent="0.3">
      <c r="A62" s="54"/>
      <c r="B62" s="70"/>
      <c r="C62" s="71"/>
      <c r="D62" s="70"/>
      <c r="E62" s="72"/>
      <c r="F62" s="55"/>
      <c r="G62" s="73">
        <f t="shared" ref="G62:T62" si="47">G33+G40+G51+G57+G61</f>
        <v>85188500</v>
      </c>
      <c r="H62" s="73">
        <f t="shared" si="47"/>
        <v>72331500</v>
      </c>
      <c r="I62" s="73">
        <f t="shared" si="47"/>
        <v>59170000</v>
      </c>
      <c r="J62" s="73">
        <f t="shared" si="47"/>
        <v>83207000</v>
      </c>
      <c r="K62" s="73">
        <f t="shared" si="47"/>
        <v>83219900</v>
      </c>
      <c r="L62" s="73">
        <f t="shared" si="47"/>
        <v>62310000</v>
      </c>
      <c r="M62" s="73">
        <f t="shared" si="47"/>
        <v>68254000</v>
      </c>
      <c r="N62" s="73">
        <f t="shared" si="47"/>
        <v>74793500</v>
      </c>
      <c r="O62" s="73">
        <f t="shared" si="47"/>
        <v>77764800</v>
      </c>
      <c r="P62" s="73">
        <f t="shared" si="47"/>
        <v>83440634</v>
      </c>
      <c r="Q62" s="73">
        <f t="shared" si="47"/>
        <v>0</v>
      </c>
      <c r="R62" s="73">
        <f t="shared" si="47"/>
        <v>0</v>
      </c>
      <c r="S62" s="73">
        <f t="shared" si="47"/>
        <v>749679834</v>
      </c>
      <c r="T62" s="73">
        <f t="shared" si="47"/>
        <v>850360000</v>
      </c>
      <c r="U62" s="79">
        <f>S62/T62</f>
        <v>0.88160289054047702</v>
      </c>
      <c r="V62" s="73">
        <f>S62/10</f>
        <v>74967983.400000006</v>
      </c>
      <c r="Y62" s="119">
        <v>0</v>
      </c>
      <c r="Z62" s="117"/>
      <c r="AA62" s="117">
        <f t="shared" si="2"/>
        <v>0</v>
      </c>
      <c r="AB62" s="119"/>
    </row>
    <row r="63" spans="1:28" x14ac:dyDescent="0.25">
      <c r="A63" s="8">
        <v>7</v>
      </c>
      <c r="B63" s="9"/>
      <c r="C63" s="58"/>
      <c r="D63" s="38" t="s">
        <v>115</v>
      </c>
      <c r="E63" s="10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0"/>
      <c r="Q63" s="11"/>
      <c r="R63" s="9"/>
      <c r="S63" s="23"/>
      <c r="T63" s="113"/>
      <c r="U63" s="21"/>
      <c r="V63" s="23"/>
      <c r="Y63" s="117">
        <v>0</v>
      </c>
      <c r="AA63" s="117">
        <f t="shared" si="2"/>
        <v>0</v>
      </c>
    </row>
    <row r="64" spans="1:28" x14ac:dyDescent="0.25">
      <c r="A64" s="8"/>
      <c r="B64" s="9"/>
      <c r="C64" s="58"/>
      <c r="D64" s="86"/>
      <c r="E64" s="17" t="s">
        <v>67</v>
      </c>
      <c r="F64" s="12"/>
      <c r="G64" s="22">
        <v>20000</v>
      </c>
      <c r="H64" s="22">
        <v>0</v>
      </c>
      <c r="I64" s="22">
        <v>1650000</v>
      </c>
      <c r="J64" s="22">
        <v>0</v>
      </c>
      <c r="K64" s="22">
        <v>0</v>
      </c>
      <c r="L64" s="22">
        <v>0</v>
      </c>
      <c r="M64" s="22">
        <v>825000</v>
      </c>
      <c r="N64" s="22">
        <v>900000</v>
      </c>
      <c r="O64" s="22">
        <v>150000</v>
      </c>
      <c r="P64" s="96">
        <v>557000</v>
      </c>
      <c r="Q64" s="88"/>
      <c r="R64" s="103"/>
      <c r="S64" s="23">
        <f t="shared" ref="S64:S86" si="48">SUM(G64:R64)</f>
        <v>4102000</v>
      </c>
      <c r="T64" s="116">
        <f t="shared" ref="T64:T86" si="49">AA64</f>
        <v>6000000</v>
      </c>
      <c r="U64" s="21">
        <f>S64/T64</f>
        <v>0.68366666666666664</v>
      </c>
      <c r="V64" s="24">
        <f t="shared" ref="V64:V72" si="50">S64/10</f>
        <v>410200</v>
      </c>
      <c r="Y64" s="117">
        <v>4500000</v>
      </c>
      <c r="Z64" s="117">
        <v>1500000</v>
      </c>
      <c r="AA64" s="117">
        <f t="shared" si="2"/>
        <v>6000000</v>
      </c>
    </row>
    <row r="65" spans="1:27" x14ac:dyDescent="0.25">
      <c r="A65" s="15"/>
      <c r="B65" s="16"/>
      <c r="C65" s="59"/>
      <c r="D65" s="16"/>
      <c r="E65" s="28" t="s">
        <v>101</v>
      </c>
      <c r="F65" s="18"/>
      <c r="G65" s="22">
        <v>1000000</v>
      </c>
      <c r="H65" s="22">
        <v>0</v>
      </c>
      <c r="I65" s="22">
        <v>0</v>
      </c>
      <c r="J65" s="22">
        <v>4157700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96">
        <v>50000</v>
      </c>
      <c r="Q65" s="88"/>
      <c r="R65" s="103"/>
      <c r="S65" s="23">
        <f>SUM(G65:R65)</f>
        <v>5207700</v>
      </c>
      <c r="T65" s="116">
        <f>AA65</f>
        <v>28000000</v>
      </c>
      <c r="U65" s="21">
        <f>S65/T65</f>
        <v>0.18598928571428572</v>
      </c>
      <c r="V65" s="24">
        <f t="shared" si="50"/>
        <v>520770</v>
      </c>
      <c r="Y65" s="117">
        <v>27000000</v>
      </c>
      <c r="Z65" s="117">
        <v>1000000</v>
      </c>
      <c r="AA65" s="117">
        <f>Y65+Z65</f>
        <v>28000000</v>
      </c>
    </row>
    <row r="66" spans="1:27" x14ac:dyDescent="0.25">
      <c r="A66" s="26"/>
      <c r="B66" s="27"/>
      <c r="C66" s="61"/>
      <c r="D66" s="27"/>
      <c r="E66" s="17" t="s">
        <v>66</v>
      </c>
      <c r="F66" s="29"/>
      <c r="G66" s="32">
        <v>0</v>
      </c>
      <c r="H66" s="32">
        <v>12533850</v>
      </c>
      <c r="I66" s="32">
        <v>0</v>
      </c>
      <c r="J66" s="32">
        <v>0</v>
      </c>
      <c r="K66" s="32">
        <v>0</v>
      </c>
      <c r="L66" s="32">
        <v>1350000</v>
      </c>
      <c r="M66" s="32">
        <v>0</v>
      </c>
      <c r="N66" s="32">
        <v>820000</v>
      </c>
      <c r="O66" s="32">
        <v>0</v>
      </c>
      <c r="P66" s="97">
        <v>330000</v>
      </c>
      <c r="Q66" s="91"/>
      <c r="R66" s="106"/>
      <c r="S66" s="23">
        <f t="shared" si="48"/>
        <v>15033850</v>
      </c>
      <c r="T66" s="116">
        <f t="shared" si="49"/>
        <v>102000000</v>
      </c>
      <c r="U66" s="21">
        <f t="shared" ref="U66:U71" si="51">S66/T66</f>
        <v>0.1473906862745098</v>
      </c>
      <c r="V66" s="24">
        <f t="shared" si="50"/>
        <v>1503385</v>
      </c>
      <c r="Y66" s="117">
        <v>96000000</v>
      </c>
      <c r="Z66" s="117">
        <v>6000000</v>
      </c>
      <c r="AA66" s="117">
        <f t="shared" si="2"/>
        <v>102000000</v>
      </c>
    </row>
    <row r="67" spans="1:27" x14ac:dyDescent="0.25">
      <c r="A67" s="26"/>
      <c r="B67" s="27"/>
      <c r="C67" s="61"/>
      <c r="D67" s="27"/>
      <c r="E67" s="28" t="s">
        <v>104</v>
      </c>
      <c r="F67" s="29"/>
      <c r="G67" s="32">
        <v>0</v>
      </c>
      <c r="H67" s="32">
        <v>2500000</v>
      </c>
      <c r="I67" s="32">
        <v>0</v>
      </c>
      <c r="J67" s="32">
        <v>1000000</v>
      </c>
      <c r="K67" s="32">
        <v>1405000</v>
      </c>
      <c r="L67" s="32">
        <v>0</v>
      </c>
      <c r="M67" s="32">
        <v>0</v>
      </c>
      <c r="N67" s="32">
        <v>1080000</v>
      </c>
      <c r="O67" s="32">
        <v>3080000</v>
      </c>
      <c r="P67" s="97">
        <v>910000</v>
      </c>
      <c r="Q67" s="91"/>
      <c r="R67" s="106"/>
      <c r="S67" s="23">
        <f t="shared" si="48"/>
        <v>9975000</v>
      </c>
      <c r="T67" s="116">
        <f t="shared" si="49"/>
        <v>17500000</v>
      </c>
      <c r="U67" s="21">
        <f t="shared" si="51"/>
        <v>0.56999999999999995</v>
      </c>
      <c r="V67" s="24">
        <f t="shared" si="50"/>
        <v>997500</v>
      </c>
      <c r="Y67" s="117">
        <v>15000000</v>
      </c>
      <c r="Z67" s="117">
        <v>2500000</v>
      </c>
      <c r="AA67" s="117">
        <f t="shared" si="2"/>
        <v>17500000</v>
      </c>
    </row>
    <row r="68" spans="1:27" x14ac:dyDescent="0.25">
      <c r="A68" s="125"/>
      <c r="B68" s="126"/>
      <c r="C68" s="127"/>
      <c r="D68" s="6"/>
      <c r="E68" s="28" t="s">
        <v>128</v>
      </c>
      <c r="F68" s="6"/>
      <c r="G68" s="32">
        <v>0</v>
      </c>
      <c r="H68" s="32">
        <v>6250074</v>
      </c>
      <c r="I68" s="32">
        <v>5713600</v>
      </c>
      <c r="J68" s="32">
        <v>21638000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97">
        <v>550000</v>
      </c>
      <c r="Q68" s="91"/>
      <c r="R68" s="106"/>
      <c r="S68" s="23">
        <f t="shared" si="48"/>
        <v>34151674</v>
      </c>
      <c r="T68" s="116">
        <f t="shared" si="49"/>
        <v>0</v>
      </c>
      <c r="U68" s="21" t="e">
        <f t="shared" si="51"/>
        <v>#DIV/0!</v>
      </c>
      <c r="V68" s="24">
        <f t="shared" si="50"/>
        <v>3415167.4</v>
      </c>
      <c r="Z68" s="117">
        <v>0</v>
      </c>
    </row>
    <row r="69" spans="1:27" x14ac:dyDescent="0.25">
      <c r="A69" s="125"/>
      <c r="B69" s="126"/>
      <c r="C69" s="127"/>
      <c r="D69" s="6"/>
      <c r="E69" s="28" t="s">
        <v>129</v>
      </c>
      <c r="F69" s="6"/>
      <c r="G69" s="32">
        <v>9500000</v>
      </c>
      <c r="H69" s="32">
        <v>3350000</v>
      </c>
      <c r="I69" s="32">
        <v>1500000</v>
      </c>
      <c r="J69" s="32">
        <v>1800000</v>
      </c>
      <c r="K69" s="32">
        <v>0</v>
      </c>
      <c r="L69" s="32">
        <v>0</v>
      </c>
      <c r="M69" s="32">
        <v>0</v>
      </c>
      <c r="N69" s="32">
        <v>4800000</v>
      </c>
      <c r="O69" s="32">
        <v>3100000</v>
      </c>
      <c r="P69" s="97">
        <v>0</v>
      </c>
      <c r="Q69" s="91"/>
      <c r="R69" s="106"/>
      <c r="S69" s="23">
        <f t="shared" si="48"/>
        <v>24050000</v>
      </c>
      <c r="T69" s="116">
        <f t="shared" si="49"/>
        <v>0</v>
      </c>
      <c r="U69" s="21" t="e">
        <f t="shared" si="51"/>
        <v>#DIV/0!</v>
      </c>
      <c r="V69" s="24">
        <f t="shared" si="50"/>
        <v>2405000</v>
      </c>
      <c r="Z69" s="117">
        <v>0</v>
      </c>
    </row>
    <row r="70" spans="1:27" x14ac:dyDescent="0.25">
      <c r="A70" s="125"/>
      <c r="B70" s="126"/>
      <c r="C70" s="127"/>
      <c r="D70" s="6"/>
      <c r="E70" s="28" t="s">
        <v>130</v>
      </c>
      <c r="F70" s="6"/>
      <c r="G70" s="32">
        <v>0</v>
      </c>
      <c r="H70" s="32">
        <v>10437000</v>
      </c>
      <c r="I70" s="32">
        <v>6220800</v>
      </c>
      <c r="J70" s="32">
        <v>11040000</v>
      </c>
      <c r="K70" s="32">
        <v>5184000</v>
      </c>
      <c r="L70" s="32">
        <v>0</v>
      </c>
      <c r="M70" s="32">
        <v>0</v>
      </c>
      <c r="N70" s="32">
        <v>0</v>
      </c>
      <c r="O70" s="32">
        <v>0</v>
      </c>
      <c r="P70" s="97">
        <v>0</v>
      </c>
      <c r="Q70" s="91"/>
      <c r="R70" s="106"/>
      <c r="S70" s="23">
        <f t="shared" si="48"/>
        <v>32881800</v>
      </c>
      <c r="T70" s="116">
        <f t="shared" si="49"/>
        <v>0</v>
      </c>
      <c r="U70" s="21" t="e">
        <f t="shared" si="51"/>
        <v>#DIV/0!</v>
      </c>
      <c r="V70" s="24">
        <f t="shared" si="50"/>
        <v>3288180</v>
      </c>
      <c r="Z70" s="117">
        <v>0</v>
      </c>
    </row>
    <row r="71" spans="1:27" x14ac:dyDescent="0.25">
      <c r="A71" s="125"/>
      <c r="B71" s="126"/>
      <c r="C71" s="127"/>
      <c r="D71" s="6"/>
      <c r="E71" s="28" t="s">
        <v>131</v>
      </c>
      <c r="F71" s="6"/>
      <c r="G71" s="32">
        <v>2600000</v>
      </c>
      <c r="H71" s="32">
        <v>0</v>
      </c>
      <c r="I71" s="32">
        <v>1800000</v>
      </c>
      <c r="J71" s="32">
        <v>0</v>
      </c>
      <c r="K71" s="32">
        <v>0</v>
      </c>
      <c r="L71" s="32">
        <v>0</v>
      </c>
      <c r="M71" s="32">
        <v>0</v>
      </c>
      <c r="N71" s="32">
        <v>5100000</v>
      </c>
      <c r="O71" s="32">
        <v>2980000</v>
      </c>
      <c r="P71" s="97">
        <v>0</v>
      </c>
      <c r="Q71" s="91"/>
      <c r="R71" s="106"/>
      <c r="S71" s="23">
        <f t="shared" si="48"/>
        <v>12480000</v>
      </c>
      <c r="T71" s="116">
        <f t="shared" si="49"/>
        <v>0</v>
      </c>
      <c r="U71" s="21" t="e">
        <f t="shared" si="51"/>
        <v>#DIV/0!</v>
      </c>
      <c r="V71" s="24">
        <f t="shared" si="50"/>
        <v>1248000</v>
      </c>
      <c r="Z71" s="117">
        <v>0</v>
      </c>
    </row>
    <row r="72" spans="1:27" ht="15.75" thickBot="1" x14ac:dyDescent="0.3">
      <c r="A72" s="8"/>
      <c r="B72" s="9"/>
      <c r="C72" s="58"/>
      <c r="E72" s="111" t="s">
        <v>68</v>
      </c>
      <c r="F72" s="12"/>
      <c r="G72" s="22">
        <v>2000</v>
      </c>
      <c r="H72" s="22">
        <v>0</v>
      </c>
      <c r="I72" s="22">
        <v>2000</v>
      </c>
      <c r="J72" s="22">
        <v>0</v>
      </c>
      <c r="K72" s="22">
        <v>0</v>
      </c>
      <c r="L72" s="22">
        <v>2000</v>
      </c>
      <c r="M72" s="22">
        <v>0</v>
      </c>
      <c r="N72" s="22">
        <v>0</v>
      </c>
      <c r="O72" s="22">
        <v>31000</v>
      </c>
      <c r="P72" s="96">
        <v>3200</v>
      </c>
      <c r="Q72" s="88"/>
      <c r="R72" s="103"/>
      <c r="S72" s="23">
        <f t="shared" si="48"/>
        <v>40200</v>
      </c>
      <c r="T72" s="116">
        <f t="shared" ref="T72" si="52">AA72</f>
        <v>295000</v>
      </c>
      <c r="U72" s="21">
        <f t="shared" ref="U72" si="53">S72/T72</f>
        <v>0.13627118644067795</v>
      </c>
      <c r="V72" s="24">
        <f t="shared" si="50"/>
        <v>4020</v>
      </c>
      <c r="Y72" s="117">
        <v>195000</v>
      </c>
      <c r="Z72" s="117">
        <v>100000</v>
      </c>
      <c r="AA72" s="117">
        <f t="shared" si="2"/>
        <v>295000</v>
      </c>
    </row>
    <row r="73" spans="1:27" ht="15.75" thickBot="1" x14ac:dyDescent="0.3">
      <c r="A73" s="54"/>
      <c r="B73" s="70"/>
      <c r="C73" s="71"/>
      <c r="D73" s="70"/>
      <c r="E73" s="72"/>
      <c r="F73" s="55"/>
      <c r="G73" s="76">
        <f t="shared" ref="G73:T73" si="54">SUM(G64:G72)</f>
        <v>13122000</v>
      </c>
      <c r="H73" s="76">
        <f t="shared" si="54"/>
        <v>35070924</v>
      </c>
      <c r="I73" s="76">
        <f t="shared" si="54"/>
        <v>16886400</v>
      </c>
      <c r="J73" s="76">
        <f t="shared" si="54"/>
        <v>39635700</v>
      </c>
      <c r="K73" s="76">
        <f t="shared" si="54"/>
        <v>6589000</v>
      </c>
      <c r="L73" s="76">
        <f t="shared" si="54"/>
        <v>1352000</v>
      </c>
      <c r="M73" s="76">
        <f t="shared" si="54"/>
        <v>825000</v>
      </c>
      <c r="N73" s="76">
        <f t="shared" si="54"/>
        <v>12700000</v>
      </c>
      <c r="O73" s="76">
        <f t="shared" si="54"/>
        <v>9341000</v>
      </c>
      <c r="P73" s="76">
        <f t="shared" si="54"/>
        <v>2400200</v>
      </c>
      <c r="Q73" s="76">
        <f t="shared" si="54"/>
        <v>0</v>
      </c>
      <c r="R73" s="76">
        <f t="shared" si="54"/>
        <v>0</v>
      </c>
      <c r="S73" s="76">
        <f t="shared" si="54"/>
        <v>137922224</v>
      </c>
      <c r="T73" s="76">
        <f t="shared" si="54"/>
        <v>153795000</v>
      </c>
      <c r="U73" s="79">
        <f>S73/T73</f>
        <v>0.89679263955265121</v>
      </c>
      <c r="V73" s="76">
        <f>SUM(V64:V72)</f>
        <v>13792222.4</v>
      </c>
      <c r="W73" s="83" t="s">
        <v>77</v>
      </c>
      <c r="Y73" s="117">
        <v>0</v>
      </c>
      <c r="AA73" s="117">
        <f t="shared" si="2"/>
        <v>0</v>
      </c>
    </row>
    <row r="74" spans="1:27" x14ac:dyDescent="0.25">
      <c r="A74" s="8">
        <v>8</v>
      </c>
      <c r="B74" s="9"/>
      <c r="C74" s="58"/>
      <c r="D74" s="38" t="s">
        <v>116</v>
      </c>
      <c r="E74" s="10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0"/>
      <c r="Q74" s="11"/>
      <c r="R74" s="9"/>
      <c r="S74" s="23"/>
      <c r="T74" s="113"/>
      <c r="U74" s="21"/>
      <c r="V74" s="23"/>
      <c r="Y74" s="117">
        <v>0</v>
      </c>
      <c r="AA74" s="117">
        <f t="shared" ref="AA74" si="55">Y74+Z74</f>
        <v>0</v>
      </c>
    </row>
    <row r="75" spans="1:27" x14ac:dyDescent="0.25">
      <c r="A75" s="8"/>
      <c r="B75" s="9"/>
      <c r="C75" s="58"/>
      <c r="D75" s="16"/>
      <c r="E75" s="28" t="s">
        <v>79</v>
      </c>
      <c r="F75" s="11"/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2200000</v>
      </c>
      <c r="M75" s="110">
        <v>0</v>
      </c>
      <c r="N75" s="22">
        <v>0</v>
      </c>
      <c r="O75" s="22">
        <v>0</v>
      </c>
      <c r="P75" s="96">
        <v>0</v>
      </c>
      <c r="Q75" s="88"/>
      <c r="R75" s="103"/>
      <c r="S75" s="23">
        <f t="shared" si="48"/>
        <v>2200000</v>
      </c>
      <c r="T75" s="116">
        <f t="shared" si="49"/>
        <v>20100000</v>
      </c>
      <c r="U75" s="21">
        <f t="shared" ref="U75:U86" si="56">S75/T75</f>
        <v>0.10945273631840796</v>
      </c>
      <c r="V75" s="24">
        <f t="shared" ref="V75:V86" si="57">S75/10</f>
        <v>220000</v>
      </c>
      <c r="Y75" s="117">
        <v>20100000</v>
      </c>
      <c r="Z75" s="117">
        <v>0</v>
      </c>
      <c r="AA75" s="117">
        <f t="shared" si="2"/>
        <v>20100000</v>
      </c>
    </row>
    <row r="76" spans="1:27" x14ac:dyDescent="0.25">
      <c r="A76" s="8"/>
      <c r="B76" s="9"/>
      <c r="C76" s="58"/>
      <c r="D76" s="16"/>
      <c r="E76" s="28" t="s">
        <v>93</v>
      </c>
      <c r="F76" s="11"/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4600000</v>
      </c>
      <c r="O76" s="22">
        <v>0</v>
      </c>
      <c r="P76" s="96">
        <v>0</v>
      </c>
      <c r="Q76" s="88"/>
      <c r="R76" s="103"/>
      <c r="S76" s="23">
        <f t="shared" si="48"/>
        <v>4600000</v>
      </c>
      <c r="T76" s="116">
        <f t="shared" si="49"/>
        <v>48600000</v>
      </c>
      <c r="U76" s="21">
        <f>S76/T76</f>
        <v>9.4650205761316872E-2</v>
      </c>
      <c r="V76" s="24">
        <f t="shared" si="57"/>
        <v>460000</v>
      </c>
      <c r="Y76" s="117">
        <v>36600000</v>
      </c>
      <c r="Z76" s="117">
        <v>12000000</v>
      </c>
      <c r="AA76" s="117">
        <f t="shared" si="2"/>
        <v>48600000</v>
      </c>
    </row>
    <row r="77" spans="1:27" x14ac:dyDescent="0.25">
      <c r="A77" s="8"/>
      <c r="B77" s="9"/>
      <c r="C77" s="58"/>
      <c r="D77" s="16"/>
      <c r="E77" s="28" t="s">
        <v>94</v>
      </c>
      <c r="F77" s="11"/>
      <c r="G77" s="22">
        <v>0</v>
      </c>
      <c r="H77" s="22">
        <v>0</v>
      </c>
      <c r="I77" s="22">
        <v>0</v>
      </c>
      <c r="J77" s="22">
        <v>9000000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96">
        <v>0</v>
      </c>
      <c r="Q77" s="88"/>
      <c r="R77" s="103"/>
      <c r="S77" s="23">
        <f>SUM(G77:R77)</f>
        <v>9000000</v>
      </c>
      <c r="T77" s="116">
        <f t="shared" si="49"/>
        <v>48000000</v>
      </c>
      <c r="U77" s="21">
        <f>S77/T77</f>
        <v>0.1875</v>
      </c>
      <c r="V77" s="24">
        <f t="shared" si="57"/>
        <v>900000</v>
      </c>
      <c r="Y77" s="117">
        <v>48000000</v>
      </c>
      <c r="Z77" s="117">
        <v>0</v>
      </c>
      <c r="AA77" s="117">
        <f t="shared" si="2"/>
        <v>48000000</v>
      </c>
    </row>
    <row r="78" spans="1:27" x14ac:dyDescent="0.25">
      <c r="A78" s="8"/>
      <c r="B78" s="9"/>
      <c r="C78" s="58"/>
      <c r="D78" s="16"/>
      <c r="E78" s="28" t="s">
        <v>113</v>
      </c>
      <c r="F78" s="11"/>
      <c r="G78" s="22">
        <v>0</v>
      </c>
      <c r="H78" s="22">
        <v>0</v>
      </c>
      <c r="I78" s="22">
        <v>15800000</v>
      </c>
      <c r="J78" s="22">
        <v>0</v>
      </c>
      <c r="K78" s="22">
        <v>0</v>
      </c>
      <c r="L78" s="22">
        <v>0</v>
      </c>
      <c r="M78" s="22">
        <v>0</v>
      </c>
      <c r="N78" s="22">
        <v>8500000</v>
      </c>
      <c r="O78" s="22">
        <v>7000000</v>
      </c>
      <c r="P78" s="96">
        <v>10200000</v>
      </c>
      <c r="Q78" s="88"/>
      <c r="R78" s="103"/>
      <c r="S78" s="23">
        <f t="shared" si="48"/>
        <v>41500000</v>
      </c>
      <c r="T78" s="116">
        <f t="shared" si="49"/>
        <v>68200000</v>
      </c>
      <c r="U78" s="21">
        <f t="shared" si="56"/>
        <v>0.60850439882697949</v>
      </c>
      <c r="V78" s="24">
        <f t="shared" si="57"/>
        <v>4150000</v>
      </c>
      <c r="Y78" s="117">
        <v>61050000</v>
      </c>
      <c r="Z78" s="117">
        <v>7150000</v>
      </c>
      <c r="AA78" s="117">
        <f t="shared" si="2"/>
        <v>68200000</v>
      </c>
    </row>
    <row r="79" spans="1:27" x14ac:dyDescent="0.25">
      <c r="A79" s="8"/>
      <c r="B79" s="9"/>
      <c r="C79" s="58"/>
      <c r="D79" s="16"/>
      <c r="E79" s="28" t="s">
        <v>114</v>
      </c>
      <c r="F79" s="11"/>
      <c r="G79" s="22">
        <v>0</v>
      </c>
      <c r="H79" s="22">
        <v>9900000</v>
      </c>
      <c r="I79" s="22">
        <v>2400000</v>
      </c>
      <c r="J79" s="22">
        <v>0</v>
      </c>
      <c r="K79" s="22">
        <v>0</v>
      </c>
      <c r="L79" s="22">
        <v>0</v>
      </c>
      <c r="M79" s="22">
        <v>0</v>
      </c>
      <c r="N79" s="22">
        <v>1350000</v>
      </c>
      <c r="O79" s="22">
        <v>6800000</v>
      </c>
      <c r="P79" s="96">
        <v>0</v>
      </c>
      <c r="Q79" s="88"/>
      <c r="R79" s="103"/>
      <c r="S79" s="23">
        <f t="shared" si="48"/>
        <v>20450000</v>
      </c>
      <c r="T79" s="116">
        <f t="shared" si="49"/>
        <v>29700000</v>
      </c>
      <c r="U79" s="21">
        <f t="shared" si="56"/>
        <v>0.68855218855218858</v>
      </c>
      <c r="V79" s="24">
        <f t="shared" si="57"/>
        <v>2045000</v>
      </c>
      <c r="Y79" s="117">
        <v>29700000</v>
      </c>
      <c r="Z79" s="117">
        <v>0</v>
      </c>
      <c r="AA79" s="117">
        <f t="shared" si="2"/>
        <v>29700000</v>
      </c>
    </row>
    <row r="80" spans="1:27" x14ac:dyDescent="0.25">
      <c r="A80" s="8"/>
      <c r="B80" s="9"/>
      <c r="C80" s="58"/>
      <c r="D80" s="6"/>
      <c r="E80" s="114" t="s">
        <v>95</v>
      </c>
      <c r="F80" s="11"/>
      <c r="G80" s="22">
        <v>0</v>
      </c>
      <c r="H80" s="22">
        <v>1185000</v>
      </c>
      <c r="I80" s="22">
        <v>0</v>
      </c>
      <c r="J80" s="22">
        <v>11830000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96">
        <v>0</v>
      </c>
      <c r="Q80" s="88"/>
      <c r="R80" s="103"/>
      <c r="S80" s="23">
        <f t="shared" si="48"/>
        <v>13015000</v>
      </c>
      <c r="T80" s="116">
        <f t="shared" si="49"/>
        <v>26100000</v>
      </c>
      <c r="U80" s="21">
        <f t="shared" si="56"/>
        <v>0.49865900383141765</v>
      </c>
      <c r="V80" s="24">
        <f t="shared" si="57"/>
        <v>1301500</v>
      </c>
      <c r="Y80" s="117">
        <v>26100000</v>
      </c>
      <c r="Z80" s="117">
        <v>0</v>
      </c>
      <c r="AA80" s="117">
        <f t="shared" si="2"/>
        <v>26100000</v>
      </c>
    </row>
    <row r="81" spans="1:27" x14ac:dyDescent="0.25">
      <c r="A81" s="8"/>
      <c r="B81" s="9"/>
      <c r="C81" s="58"/>
      <c r="D81" s="6"/>
      <c r="E81" s="114" t="s">
        <v>96</v>
      </c>
      <c r="F81" s="11"/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96">
        <v>0</v>
      </c>
      <c r="Q81" s="88"/>
      <c r="R81" s="103"/>
      <c r="S81" s="23">
        <f t="shared" si="48"/>
        <v>0</v>
      </c>
      <c r="T81" s="116">
        <f t="shared" si="49"/>
        <v>1975000</v>
      </c>
      <c r="U81" s="21">
        <f t="shared" si="56"/>
        <v>0</v>
      </c>
      <c r="V81" s="24">
        <f t="shared" si="57"/>
        <v>0</v>
      </c>
      <c r="Y81" s="117">
        <v>1975000</v>
      </c>
      <c r="Z81" s="117">
        <v>0</v>
      </c>
      <c r="AA81" s="117">
        <f t="shared" ref="AA81:AA104" si="58">Y81+Z81</f>
        <v>1975000</v>
      </c>
    </row>
    <row r="82" spans="1:27" x14ac:dyDescent="0.25">
      <c r="A82" s="8"/>
      <c r="B82" s="9"/>
      <c r="C82" s="58"/>
      <c r="D82" s="6"/>
      <c r="E82" s="114" t="s">
        <v>97</v>
      </c>
      <c r="F82" s="11"/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15050000</v>
      </c>
      <c r="N82" s="22">
        <v>0</v>
      </c>
      <c r="O82" s="22">
        <v>0</v>
      </c>
      <c r="P82" s="96">
        <v>0</v>
      </c>
      <c r="Q82" s="88"/>
      <c r="R82" s="103"/>
      <c r="S82" s="23">
        <f t="shared" si="48"/>
        <v>15050000</v>
      </c>
      <c r="T82" s="116">
        <f t="shared" si="49"/>
        <v>28000000</v>
      </c>
      <c r="U82" s="21">
        <f t="shared" si="56"/>
        <v>0.53749999999999998</v>
      </c>
      <c r="V82" s="24">
        <f t="shared" si="57"/>
        <v>1505000</v>
      </c>
      <c r="Y82" s="117">
        <v>14000000</v>
      </c>
      <c r="Z82" s="117">
        <v>14000000</v>
      </c>
      <c r="AA82" s="117">
        <f t="shared" si="58"/>
        <v>28000000</v>
      </c>
    </row>
    <row r="83" spans="1:27" x14ac:dyDescent="0.25">
      <c r="A83" s="8"/>
      <c r="B83" s="9"/>
      <c r="C83" s="58"/>
      <c r="D83" s="6"/>
      <c r="E83" s="114" t="s">
        <v>123</v>
      </c>
      <c r="F83" s="11"/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96">
        <v>0</v>
      </c>
      <c r="Q83" s="88"/>
      <c r="R83" s="103"/>
      <c r="S83" s="23">
        <f t="shared" si="48"/>
        <v>0</v>
      </c>
      <c r="T83" s="116">
        <f>AA83</f>
        <v>10920000</v>
      </c>
      <c r="U83" s="21">
        <f t="shared" si="56"/>
        <v>0</v>
      </c>
      <c r="V83" s="24">
        <f t="shared" si="57"/>
        <v>0</v>
      </c>
      <c r="Y83" s="117">
        <v>10920000</v>
      </c>
      <c r="Z83" s="117">
        <v>0</v>
      </c>
      <c r="AA83" s="117">
        <f t="shared" si="58"/>
        <v>10920000</v>
      </c>
    </row>
    <row r="84" spans="1:27" x14ac:dyDescent="0.25">
      <c r="A84" s="8"/>
      <c r="B84" s="9"/>
      <c r="C84" s="58"/>
      <c r="D84" s="6"/>
      <c r="E84" s="114" t="s">
        <v>124</v>
      </c>
      <c r="F84" s="11"/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96">
        <v>0</v>
      </c>
      <c r="Q84" s="88"/>
      <c r="R84" s="103"/>
      <c r="S84" s="23">
        <f t="shared" si="48"/>
        <v>0</v>
      </c>
      <c r="T84" s="116">
        <f t="shared" si="49"/>
        <v>3900000</v>
      </c>
      <c r="U84" s="21">
        <f t="shared" si="56"/>
        <v>0</v>
      </c>
      <c r="V84" s="24">
        <f t="shared" si="57"/>
        <v>0</v>
      </c>
      <c r="Y84" s="117">
        <v>3900000</v>
      </c>
      <c r="Z84" s="117">
        <v>0</v>
      </c>
      <c r="AA84" s="117">
        <f t="shared" si="58"/>
        <v>3900000</v>
      </c>
    </row>
    <row r="85" spans="1:27" x14ac:dyDescent="0.25">
      <c r="A85" s="8"/>
      <c r="B85" s="9"/>
      <c r="C85" s="58"/>
      <c r="D85" s="6"/>
      <c r="E85" s="114" t="s">
        <v>125</v>
      </c>
      <c r="F85" s="11"/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96">
        <v>0</v>
      </c>
      <c r="Q85" s="88"/>
      <c r="R85" s="103"/>
      <c r="S85" s="23">
        <f t="shared" si="48"/>
        <v>0</v>
      </c>
      <c r="T85" s="116">
        <f t="shared" si="49"/>
        <v>6240000</v>
      </c>
      <c r="U85" s="21">
        <f t="shared" si="56"/>
        <v>0</v>
      </c>
      <c r="V85" s="24">
        <f t="shared" si="57"/>
        <v>0</v>
      </c>
      <c r="Y85" s="117">
        <v>6240000</v>
      </c>
      <c r="Z85" s="117">
        <v>0</v>
      </c>
      <c r="AA85" s="117">
        <f t="shared" si="58"/>
        <v>6240000</v>
      </c>
    </row>
    <row r="86" spans="1:27" ht="15.75" thickBot="1" x14ac:dyDescent="0.3">
      <c r="A86" s="8"/>
      <c r="B86" s="9"/>
      <c r="C86" s="58"/>
      <c r="D86" s="6"/>
      <c r="E86" s="114" t="s">
        <v>98</v>
      </c>
      <c r="F86" s="11"/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96">
        <v>0</v>
      </c>
      <c r="Q86" s="88"/>
      <c r="R86" s="103"/>
      <c r="S86" s="23">
        <f t="shared" si="48"/>
        <v>0</v>
      </c>
      <c r="T86" s="116">
        <f t="shared" si="49"/>
        <v>0</v>
      </c>
      <c r="U86" s="21" t="e">
        <f t="shared" si="56"/>
        <v>#DIV/0!</v>
      </c>
      <c r="V86" s="24">
        <f t="shared" si="57"/>
        <v>0</v>
      </c>
      <c r="Y86" s="117">
        <v>0</v>
      </c>
      <c r="Z86" s="117">
        <v>0</v>
      </c>
      <c r="AA86" s="117">
        <f t="shared" si="58"/>
        <v>0</v>
      </c>
    </row>
    <row r="87" spans="1:27" ht="15.75" thickBot="1" x14ac:dyDescent="0.3">
      <c r="A87" s="54"/>
      <c r="B87" s="70"/>
      <c r="C87" s="71"/>
      <c r="D87" s="70"/>
      <c r="E87" s="72"/>
      <c r="F87" s="55"/>
      <c r="G87" s="76">
        <f>SUM(G75:G86)</f>
        <v>0</v>
      </c>
      <c r="H87" s="76">
        <f t="shared" ref="H87:T87" si="59">SUM(H75:H86)</f>
        <v>11085000</v>
      </c>
      <c r="I87" s="76">
        <f t="shared" si="59"/>
        <v>18200000</v>
      </c>
      <c r="J87" s="76">
        <f t="shared" si="59"/>
        <v>20830000</v>
      </c>
      <c r="K87" s="76">
        <f t="shared" si="59"/>
        <v>0</v>
      </c>
      <c r="L87" s="76">
        <f t="shared" si="59"/>
        <v>2200000</v>
      </c>
      <c r="M87" s="76">
        <f t="shared" si="59"/>
        <v>15050000</v>
      </c>
      <c r="N87" s="76">
        <f t="shared" si="59"/>
        <v>14450000</v>
      </c>
      <c r="O87" s="76">
        <f t="shared" si="59"/>
        <v>13800000</v>
      </c>
      <c r="P87" s="76">
        <f t="shared" si="59"/>
        <v>10200000</v>
      </c>
      <c r="Q87" s="76">
        <f t="shared" si="59"/>
        <v>0</v>
      </c>
      <c r="R87" s="76">
        <f t="shared" si="59"/>
        <v>0</v>
      </c>
      <c r="S87" s="76">
        <f t="shared" si="59"/>
        <v>105815000</v>
      </c>
      <c r="T87" s="76">
        <f t="shared" si="59"/>
        <v>291735000</v>
      </c>
      <c r="U87" s="79">
        <f>S87/T87</f>
        <v>0.36270930810495827</v>
      </c>
      <c r="V87" s="76">
        <f>SUM(V75:V86)</f>
        <v>10581500</v>
      </c>
      <c r="W87" s="83" t="s">
        <v>77</v>
      </c>
      <c r="Y87" s="117">
        <v>0</v>
      </c>
      <c r="AA87" s="117">
        <f t="shared" si="58"/>
        <v>0</v>
      </c>
    </row>
    <row r="88" spans="1:27" x14ac:dyDescent="0.25">
      <c r="A88" s="15"/>
      <c r="B88" s="16"/>
      <c r="C88" s="59"/>
      <c r="D88" s="74"/>
      <c r="E88" s="17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7"/>
      <c r="Q88" s="18"/>
      <c r="R88" s="16"/>
      <c r="S88" s="23"/>
      <c r="T88" s="23"/>
      <c r="U88" s="21"/>
      <c r="V88" s="24"/>
      <c r="Y88" s="117">
        <v>0</v>
      </c>
      <c r="AA88" s="117">
        <f t="shared" si="58"/>
        <v>0</v>
      </c>
    </row>
    <row r="89" spans="1:27" x14ac:dyDescent="0.25">
      <c r="A89" s="15">
        <v>9</v>
      </c>
      <c r="B89" s="16"/>
      <c r="C89" s="59"/>
      <c r="D89" s="2" t="s">
        <v>47</v>
      </c>
      <c r="E89" s="17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7"/>
      <c r="Q89" s="18"/>
      <c r="R89" s="16"/>
      <c r="S89" s="23"/>
      <c r="T89" s="113"/>
      <c r="U89" s="21"/>
      <c r="V89" s="24"/>
      <c r="Y89" s="117">
        <v>0</v>
      </c>
      <c r="AA89" s="117">
        <f t="shared" si="58"/>
        <v>0</v>
      </c>
    </row>
    <row r="90" spans="1:27" x14ac:dyDescent="0.25">
      <c r="A90" s="15"/>
      <c r="B90" s="16"/>
      <c r="C90" s="59"/>
      <c r="D90" s="16"/>
      <c r="E90" s="41" t="s">
        <v>49</v>
      </c>
      <c r="F90" s="19"/>
      <c r="G90" s="22">
        <v>2135000</v>
      </c>
      <c r="H90" s="22">
        <v>1520000</v>
      </c>
      <c r="I90" s="22">
        <v>300000</v>
      </c>
      <c r="J90" s="22">
        <v>600000</v>
      </c>
      <c r="K90" s="22">
        <v>300000</v>
      </c>
      <c r="L90" s="22">
        <v>0</v>
      </c>
      <c r="M90" s="22">
        <v>0</v>
      </c>
      <c r="N90" s="22">
        <v>0</v>
      </c>
      <c r="O90" s="22">
        <v>300000</v>
      </c>
      <c r="P90" s="96">
        <v>0</v>
      </c>
      <c r="Q90" s="88"/>
      <c r="R90" s="103"/>
      <c r="S90" s="23">
        <f>SUM(G90:R90)</f>
        <v>5155000</v>
      </c>
      <c r="T90" s="116">
        <f t="shared" ref="T90:T103" si="60">AA90</f>
        <v>20000000</v>
      </c>
      <c r="U90" s="21">
        <f>S90/T90</f>
        <v>0.25774999999999998</v>
      </c>
      <c r="V90" s="24">
        <f t="shared" ref="V90:V104" si="61">S90/10</f>
        <v>515500</v>
      </c>
      <c r="Y90" s="117">
        <v>18000000</v>
      </c>
      <c r="Z90" s="117">
        <v>2000000</v>
      </c>
      <c r="AA90" s="117">
        <f t="shared" si="58"/>
        <v>20000000</v>
      </c>
    </row>
    <row r="91" spans="1:27" x14ac:dyDescent="0.25">
      <c r="A91" s="15"/>
      <c r="B91" s="16"/>
      <c r="C91" s="59"/>
      <c r="D91" s="16"/>
      <c r="E91" s="41" t="s">
        <v>50</v>
      </c>
      <c r="F91" s="19"/>
      <c r="G91" s="22">
        <v>1227500</v>
      </c>
      <c r="H91" s="22">
        <v>50000</v>
      </c>
      <c r="I91" s="22">
        <v>1125000</v>
      </c>
      <c r="J91" s="22">
        <v>0</v>
      </c>
      <c r="K91" s="22">
        <v>30000</v>
      </c>
      <c r="L91" s="22">
        <v>1150000</v>
      </c>
      <c r="M91" s="22">
        <v>141000</v>
      </c>
      <c r="N91" s="22">
        <v>0</v>
      </c>
      <c r="O91" s="22">
        <v>45000</v>
      </c>
      <c r="P91" s="96">
        <v>35000</v>
      </c>
      <c r="Q91" s="88"/>
      <c r="R91" s="103"/>
      <c r="S91" s="23">
        <f t="shared" ref="S91:S102" si="62">SUM(G91:R91)</f>
        <v>3803500</v>
      </c>
      <c r="T91" s="116">
        <f t="shared" si="60"/>
        <v>5000000</v>
      </c>
      <c r="U91" s="21">
        <f>S91/T91</f>
        <v>0.76070000000000004</v>
      </c>
      <c r="V91" s="24">
        <f t="shared" si="61"/>
        <v>380350</v>
      </c>
      <c r="Y91" s="117">
        <v>4500000</v>
      </c>
      <c r="Z91" s="117">
        <v>500000</v>
      </c>
      <c r="AA91" s="117">
        <f t="shared" si="58"/>
        <v>5000000</v>
      </c>
    </row>
    <row r="92" spans="1:27" x14ac:dyDescent="0.25">
      <c r="A92" s="15"/>
      <c r="B92" s="16"/>
      <c r="C92" s="59"/>
      <c r="D92" s="16"/>
      <c r="E92" s="41" t="s">
        <v>51</v>
      </c>
      <c r="F92" s="19"/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96">
        <v>0</v>
      </c>
      <c r="Q92" s="88"/>
      <c r="R92" s="103"/>
      <c r="S92" s="23">
        <f t="shared" si="62"/>
        <v>0</v>
      </c>
      <c r="T92" s="116">
        <f t="shared" si="60"/>
        <v>0</v>
      </c>
      <c r="U92" s="21" t="e">
        <f t="shared" ref="U92:U104" si="63">S92/T92</f>
        <v>#DIV/0!</v>
      </c>
      <c r="V92" s="24">
        <f t="shared" si="61"/>
        <v>0</v>
      </c>
      <c r="Y92" s="117">
        <v>0</v>
      </c>
      <c r="Z92" s="117">
        <v>0</v>
      </c>
      <c r="AA92" s="117">
        <f>Y92+Z92</f>
        <v>0</v>
      </c>
    </row>
    <row r="93" spans="1:27" x14ac:dyDescent="0.25">
      <c r="A93" s="15"/>
      <c r="B93" s="16"/>
      <c r="C93" s="59"/>
      <c r="D93" s="16"/>
      <c r="E93" s="41" t="s">
        <v>52</v>
      </c>
      <c r="F93" s="19"/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96">
        <v>0</v>
      </c>
      <c r="Q93" s="88"/>
      <c r="R93" s="103"/>
      <c r="S93" s="23">
        <f t="shared" si="62"/>
        <v>0</v>
      </c>
      <c r="T93" s="116">
        <f t="shared" si="60"/>
        <v>0</v>
      </c>
      <c r="U93" s="21" t="e">
        <f t="shared" si="63"/>
        <v>#DIV/0!</v>
      </c>
      <c r="V93" s="24">
        <f t="shared" si="61"/>
        <v>0</v>
      </c>
      <c r="Y93" s="117">
        <v>0</v>
      </c>
      <c r="Z93" s="117">
        <v>0</v>
      </c>
      <c r="AA93" s="117">
        <f t="shared" si="58"/>
        <v>0</v>
      </c>
    </row>
    <row r="94" spans="1:27" x14ac:dyDescent="0.25">
      <c r="A94" s="15"/>
      <c r="B94" s="16"/>
      <c r="C94" s="59"/>
      <c r="D94" s="16"/>
      <c r="E94" s="41" t="s">
        <v>53</v>
      </c>
      <c r="F94" s="19"/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96">
        <v>0</v>
      </c>
      <c r="Q94" s="88"/>
      <c r="R94" s="103"/>
      <c r="S94" s="23">
        <f t="shared" si="62"/>
        <v>0</v>
      </c>
      <c r="T94" s="116">
        <f t="shared" si="60"/>
        <v>0</v>
      </c>
      <c r="U94" s="21" t="e">
        <f t="shared" si="63"/>
        <v>#DIV/0!</v>
      </c>
      <c r="V94" s="24">
        <f t="shared" si="61"/>
        <v>0</v>
      </c>
      <c r="Y94" s="117">
        <v>0</v>
      </c>
      <c r="Z94" s="117">
        <v>0</v>
      </c>
      <c r="AA94" s="117">
        <f t="shared" si="58"/>
        <v>0</v>
      </c>
    </row>
    <row r="95" spans="1:27" x14ac:dyDescent="0.25">
      <c r="A95" s="15"/>
      <c r="B95" s="16"/>
      <c r="C95" s="59"/>
      <c r="D95" s="16"/>
      <c r="E95" s="41" t="s">
        <v>54</v>
      </c>
      <c r="F95" s="19"/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96">
        <v>0</v>
      </c>
      <c r="Q95" s="88"/>
      <c r="R95" s="103"/>
      <c r="S95" s="23">
        <f t="shared" si="62"/>
        <v>0</v>
      </c>
      <c r="T95" s="116">
        <f t="shared" si="60"/>
        <v>0</v>
      </c>
      <c r="U95" s="21" t="e">
        <f t="shared" si="63"/>
        <v>#DIV/0!</v>
      </c>
      <c r="V95" s="24">
        <f t="shared" si="61"/>
        <v>0</v>
      </c>
      <c r="Y95" s="117">
        <v>0</v>
      </c>
      <c r="Z95" s="117">
        <v>0</v>
      </c>
      <c r="AA95" s="117">
        <f t="shared" si="58"/>
        <v>0</v>
      </c>
    </row>
    <row r="96" spans="1:27" x14ac:dyDescent="0.25">
      <c r="A96" s="15"/>
      <c r="B96" s="16"/>
      <c r="C96" s="59"/>
      <c r="D96" s="16"/>
      <c r="E96" s="41" t="s">
        <v>55</v>
      </c>
      <c r="F96" s="19"/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96">
        <v>0</v>
      </c>
      <c r="Q96" s="88"/>
      <c r="R96" s="103"/>
      <c r="S96" s="23">
        <f t="shared" si="62"/>
        <v>0</v>
      </c>
      <c r="T96" s="116">
        <f t="shared" si="60"/>
        <v>0</v>
      </c>
      <c r="U96" s="21" t="e">
        <f t="shared" si="63"/>
        <v>#DIV/0!</v>
      </c>
      <c r="V96" s="24">
        <f t="shared" si="61"/>
        <v>0</v>
      </c>
      <c r="Y96" s="117">
        <v>0</v>
      </c>
      <c r="Z96" s="117">
        <v>0</v>
      </c>
      <c r="AA96" s="117">
        <f t="shared" si="58"/>
        <v>0</v>
      </c>
    </row>
    <row r="97" spans="1:28" x14ac:dyDescent="0.25">
      <c r="A97" s="15"/>
      <c r="B97" s="16"/>
      <c r="C97" s="59"/>
      <c r="D97" s="16"/>
      <c r="E97" s="41" t="s">
        <v>75</v>
      </c>
      <c r="F97" s="19"/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96">
        <v>0</v>
      </c>
      <c r="Q97" s="88"/>
      <c r="R97" s="103"/>
      <c r="S97" s="23">
        <f t="shared" si="62"/>
        <v>0</v>
      </c>
      <c r="T97" s="116">
        <f t="shared" si="60"/>
        <v>0</v>
      </c>
      <c r="U97" s="21" t="e">
        <f t="shared" si="63"/>
        <v>#DIV/0!</v>
      </c>
      <c r="V97" s="24">
        <f t="shared" si="61"/>
        <v>0</v>
      </c>
      <c r="Y97" s="117">
        <v>0</v>
      </c>
      <c r="Z97" s="117">
        <v>0</v>
      </c>
      <c r="AA97" s="117">
        <f t="shared" si="58"/>
        <v>0</v>
      </c>
    </row>
    <row r="98" spans="1:28" x14ac:dyDescent="0.25">
      <c r="A98" s="15"/>
      <c r="B98" s="16"/>
      <c r="C98" s="59"/>
      <c r="D98" s="16"/>
      <c r="E98" s="41" t="s">
        <v>56</v>
      </c>
      <c r="F98" s="19"/>
      <c r="G98" s="22">
        <v>0</v>
      </c>
      <c r="H98" s="22">
        <v>0</v>
      </c>
      <c r="I98" s="22">
        <v>0</v>
      </c>
      <c r="J98" s="22">
        <v>0</v>
      </c>
      <c r="K98" s="22">
        <v>300000</v>
      </c>
      <c r="L98" s="22">
        <v>0</v>
      </c>
      <c r="M98" s="22">
        <v>0</v>
      </c>
      <c r="N98" s="22">
        <v>0</v>
      </c>
      <c r="O98" s="22">
        <v>0</v>
      </c>
      <c r="P98" s="96">
        <v>0</v>
      </c>
      <c r="Q98" s="88"/>
      <c r="R98" s="103"/>
      <c r="S98" s="23">
        <f t="shared" si="62"/>
        <v>300000</v>
      </c>
      <c r="T98" s="116">
        <f>AA98</f>
        <v>1000000</v>
      </c>
      <c r="U98" s="21">
        <f>S98/T98</f>
        <v>0.3</v>
      </c>
      <c r="V98" s="24">
        <f t="shared" si="61"/>
        <v>30000</v>
      </c>
      <c r="Y98" s="117">
        <v>900000</v>
      </c>
      <c r="Z98" s="117">
        <v>100000</v>
      </c>
      <c r="AA98" s="117">
        <f t="shared" si="58"/>
        <v>1000000</v>
      </c>
    </row>
    <row r="99" spans="1:28" x14ac:dyDescent="0.25">
      <c r="A99" s="15"/>
      <c r="B99" s="16"/>
      <c r="C99" s="59"/>
      <c r="D99" s="16"/>
      <c r="E99" s="41" t="s">
        <v>76</v>
      </c>
      <c r="F99" s="19"/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200000</v>
      </c>
      <c r="P99" s="96">
        <v>0</v>
      </c>
      <c r="Q99" s="88"/>
      <c r="R99" s="103"/>
      <c r="S99" s="23">
        <f t="shared" si="62"/>
        <v>200000</v>
      </c>
      <c r="T99" s="116">
        <f t="shared" si="60"/>
        <v>0</v>
      </c>
      <c r="U99" s="21" t="e">
        <f>S99/T99</f>
        <v>#DIV/0!</v>
      </c>
      <c r="V99" s="24">
        <f t="shared" si="61"/>
        <v>20000</v>
      </c>
      <c r="Y99" s="117">
        <v>0</v>
      </c>
      <c r="Z99" s="117">
        <v>0</v>
      </c>
      <c r="AA99" s="117">
        <f t="shared" si="58"/>
        <v>0</v>
      </c>
    </row>
    <row r="100" spans="1:28" x14ac:dyDescent="0.25">
      <c r="A100" s="15"/>
      <c r="B100" s="16"/>
      <c r="C100" s="59"/>
      <c r="D100" s="16"/>
      <c r="E100" s="41" t="s">
        <v>57</v>
      </c>
      <c r="F100" s="19"/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96">
        <v>0</v>
      </c>
      <c r="Q100" s="88"/>
      <c r="R100" s="103"/>
      <c r="S100" s="23">
        <f t="shared" si="62"/>
        <v>0</v>
      </c>
      <c r="T100" s="116">
        <f t="shared" si="60"/>
        <v>0</v>
      </c>
      <c r="U100" s="21" t="e">
        <f t="shared" si="63"/>
        <v>#DIV/0!</v>
      </c>
      <c r="V100" s="24">
        <f t="shared" si="61"/>
        <v>0</v>
      </c>
      <c r="Y100" s="117">
        <v>0</v>
      </c>
      <c r="Z100" s="117">
        <v>0</v>
      </c>
      <c r="AA100" s="117">
        <f t="shared" si="58"/>
        <v>0</v>
      </c>
    </row>
    <row r="101" spans="1:28" x14ac:dyDescent="0.25">
      <c r="A101" s="15"/>
      <c r="B101" s="16"/>
      <c r="C101" s="59"/>
      <c r="D101" s="16"/>
      <c r="E101" s="41" t="s">
        <v>58</v>
      </c>
      <c r="F101" s="19"/>
      <c r="G101" s="22">
        <v>220000</v>
      </c>
      <c r="H101" s="22">
        <v>405000</v>
      </c>
      <c r="I101" s="22">
        <v>115000</v>
      </c>
      <c r="J101" s="22">
        <v>0</v>
      </c>
      <c r="K101" s="22">
        <v>490000</v>
      </c>
      <c r="L101" s="22">
        <v>190000</v>
      </c>
      <c r="M101" s="22">
        <v>0</v>
      </c>
      <c r="N101" s="22">
        <v>415000</v>
      </c>
      <c r="O101" s="22">
        <v>245000</v>
      </c>
      <c r="P101" s="96">
        <v>215000</v>
      </c>
      <c r="Q101" s="88"/>
      <c r="R101" s="103"/>
      <c r="S101" s="23">
        <f t="shared" si="62"/>
        <v>2295000</v>
      </c>
      <c r="T101" s="116">
        <f t="shared" si="60"/>
        <v>1000000</v>
      </c>
      <c r="U101" s="21">
        <f t="shared" si="63"/>
        <v>2.2949999999999999</v>
      </c>
      <c r="V101" s="24">
        <f t="shared" si="61"/>
        <v>229500</v>
      </c>
      <c r="Y101" s="117">
        <v>900000</v>
      </c>
      <c r="Z101" s="117">
        <v>100000</v>
      </c>
      <c r="AA101" s="117">
        <f t="shared" si="58"/>
        <v>1000000</v>
      </c>
    </row>
    <row r="102" spans="1:28" x14ac:dyDescent="0.25">
      <c r="A102" s="15"/>
      <c r="B102" s="16"/>
      <c r="C102" s="59"/>
      <c r="D102" s="16"/>
      <c r="E102" s="41" t="s">
        <v>59</v>
      </c>
      <c r="F102" s="19"/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96">
        <v>0</v>
      </c>
      <c r="Q102" s="88"/>
      <c r="R102" s="103"/>
      <c r="S102" s="23">
        <f t="shared" si="62"/>
        <v>0</v>
      </c>
      <c r="T102" s="116">
        <f t="shared" si="60"/>
        <v>0</v>
      </c>
      <c r="U102" s="21" t="e">
        <f t="shared" si="63"/>
        <v>#DIV/0!</v>
      </c>
      <c r="V102" s="24">
        <f t="shared" si="61"/>
        <v>0</v>
      </c>
      <c r="Y102" s="117">
        <v>0</v>
      </c>
      <c r="Z102" s="117">
        <v>0</v>
      </c>
      <c r="AA102" s="117">
        <f t="shared" si="58"/>
        <v>0</v>
      </c>
    </row>
    <row r="103" spans="1:28" x14ac:dyDescent="0.25">
      <c r="A103" s="15"/>
      <c r="B103" s="16"/>
      <c r="C103" s="59"/>
      <c r="D103" s="16"/>
      <c r="E103" s="41" t="s">
        <v>60</v>
      </c>
      <c r="F103" s="19"/>
      <c r="G103" s="22">
        <v>8521000</v>
      </c>
      <c r="H103" s="22">
        <v>1700000</v>
      </c>
      <c r="I103" s="22">
        <v>14175000</v>
      </c>
      <c r="J103" s="22">
        <v>9000000</v>
      </c>
      <c r="K103" s="22">
        <v>4630000</v>
      </c>
      <c r="L103" s="22">
        <v>2630000</v>
      </c>
      <c r="M103" s="22">
        <v>1287000</v>
      </c>
      <c r="N103" s="22">
        <v>8515000</v>
      </c>
      <c r="O103" s="22">
        <v>1835000</v>
      </c>
      <c r="P103" s="96">
        <v>3400000</v>
      </c>
      <c r="Q103" s="88"/>
      <c r="R103" s="103"/>
      <c r="S103" s="23">
        <f>SUM(G103:R103)</f>
        <v>55693000</v>
      </c>
      <c r="T103" s="116">
        <f t="shared" si="60"/>
        <v>45000000</v>
      </c>
      <c r="U103" s="21">
        <f t="shared" si="63"/>
        <v>1.2376222222222222</v>
      </c>
      <c r="V103" s="24">
        <f t="shared" si="61"/>
        <v>5569300</v>
      </c>
      <c r="Y103" s="117">
        <v>40500000</v>
      </c>
      <c r="Z103" s="117">
        <v>4500000</v>
      </c>
      <c r="AA103" s="117">
        <f t="shared" si="58"/>
        <v>45000000</v>
      </c>
    </row>
    <row r="104" spans="1:28" ht="15.75" thickBot="1" x14ac:dyDescent="0.3">
      <c r="A104" s="35"/>
      <c r="B104" s="36"/>
      <c r="C104" s="62"/>
      <c r="D104" s="36"/>
      <c r="E104" s="42" t="s">
        <v>61</v>
      </c>
      <c r="F104" s="37"/>
      <c r="G104" s="32">
        <v>4532850</v>
      </c>
      <c r="H104" s="32">
        <v>0</v>
      </c>
      <c r="I104" s="32">
        <v>3036000</v>
      </c>
      <c r="J104" s="32">
        <v>2586500</v>
      </c>
      <c r="K104" s="32">
        <v>760000</v>
      </c>
      <c r="L104" s="32">
        <v>200000</v>
      </c>
      <c r="M104" s="32">
        <v>325000</v>
      </c>
      <c r="N104" s="32">
        <v>1976505</v>
      </c>
      <c r="O104" s="32">
        <v>80000</v>
      </c>
      <c r="P104" s="100">
        <v>290000</v>
      </c>
      <c r="Q104" s="91"/>
      <c r="R104" s="109"/>
      <c r="S104" s="23">
        <f>SUM(G104:R104)</f>
        <v>13786855</v>
      </c>
      <c r="T104" s="116">
        <f>AA104</f>
        <v>6000000</v>
      </c>
      <c r="U104" s="21">
        <f t="shared" si="63"/>
        <v>2.2978091666666667</v>
      </c>
      <c r="V104" s="24">
        <f t="shared" si="61"/>
        <v>1378685.5</v>
      </c>
      <c r="Y104" s="117">
        <v>5400000</v>
      </c>
      <c r="Z104" s="117">
        <v>600000</v>
      </c>
      <c r="AA104" s="117">
        <f t="shared" si="58"/>
        <v>6000000</v>
      </c>
    </row>
    <row r="105" spans="1:28" s="51" customFormat="1" ht="15.75" thickBot="1" x14ac:dyDescent="0.3">
      <c r="A105" s="54"/>
      <c r="B105" s="55"/>
      <c r="C105" s="64"/>
      <c r="D105" s="55"/>
      <c r="E105" s="55"/>
      <c r="F105" s="55"/>
      <c r="G105" s="75">
        <f t="shared" ref="G105:I105" si="64">SUM(G90:G104)</f>
        <v>16636350</v>
      </c>
      <c r="H105" s="75">
        <f t="shared" si="64"/>
        <v>3675000</v>
      </c>
      <c r="I105" s="75">
        <f t="shared" si="64"/>
        <v>18751000</v>
      </c>
      <c r="J105" s="75">
        <f>SUM(J90:J104)</f>
        <v>12186500</v>
      </c>
      <c r="K105" s="75">
        <f t="shared" ref="K105" si="65">SUM(K90:K104)</f>
        <v>6510000</v>
      </c>
      <c r="L105" s="75">
        <f t="shared" ref="L105:P105" si="66">SUM(L90:L104)</f>
        <v>4170000</v>
      </c>
      <c r="M105" s="75">
        <f>SUM(M90:M104)</f>
        <v>1753000</v>
      </c>
      <c r="N105" s="75">
        <f t="shared" si="66"/>
        <v>10906505</v>
      </c>
      <c r="O105" s="75">
        <f t="shared" si="66"/>
        <v>2705000</v>
      </c>
      <c r="P105" s="75">
        <f t="shared" si="66"/>
        <v>3940000</v>
      </c>
      <c r="Q105" s="75">
        <f>SUM(Q90:Q104)</f>
        <v>0</v>
      </c>
      <c r="R105" s="75">
        <f>SUM(R90:R104)</f>
        <v>0</v>
      </c>
      <c r="S105" s="56">
        <f>SUM(S90:S104)</f>
        <v>81233355</v>
      </c>
      <c r="T105" s="78">
        <f>SUM(T90:T104)</f>
        <v>78000000</v>
      </c>
      <c r="U105" s="79">
        <f>S105/T105</f>
        <v>1.0414532692307692</v>
      </c>
      <c r="V105" s="75">
        <f>SUM(V90:V104)</f>
        <v>8123335.5</v>
      </c>
      <c r="Y105" s="119"/>
      <c r="Z105" s="119"/>
      <c r="AA105" s="119"/>
      <c r="AB105" s="119"/>
    </row>
    <row r="106" spans="1:28" s="51" customFormat="1" ht="15.75" thickBot="1" x14ac:dyDescent="0.3">
      <c r="A106" s="43"/>
      <c r="B106" s="46"/>
      <c r="C106" s="63"/>
      <c r="D106" s="46"/>
      <c r="E106" s="46"/>
      <c r="F106" s="46"/>
      <c r="G106" s="81">
        <f t="shared" ref="G106:T106" si="67">G27+G62+G73+G87+G105</f>
        <v>175654490</v>
      </c>
      <c r="H106" s="81">
        <f t="shared" si="67"/>
        <v>182167024</v>
      </c>
      <c r="I106" s="81">
        <f t="shared" si="67"/>
        <v>149998150</v>
      </c>
      <c r="J106" s="81">
        <f t="shared" si="67"/>
        <v>212461200</v>
      </c>
      <c r="K106" s="81">
        <f t="shared" si="67"/>
        <v>152046900</v>
      </c>
      <c r="L106" s="81">
        <f t="shared" si="67"/>
        <v>120268000</v>
      </c>
      <c r="M106" s="81">
        <f t="shared" si="67"/>
        <v>139197500</v>
      </c>
      <c r="N106" s="81">
        <f t="shared" si="67"/>
        <v>155208659</v>
      </c>
      <c r="O106" s="81">
        <f t="shared" si="67"/>
        <v>152347784</v>
      </c>
      <c r="P106" s="81">
        <f t="shared" si="67"/>
        <v>151491968</v>
      </c>
      <c r="Q106" s="81">
        <f t="shared" si="67"/>
        <v>0</v>
      </c>
      <c r="R106" s="81">
        <f t="shared" si="67"/>
        <v>0</v>
      </c>
      <c r="S106" s="81">
        <f>S27+S62+S73+S87+S105</f>
        <v>1590841675</v>
      </c>
      <c r="T106" s="81">
        <f t="shared" si="67"/>
        <v>1996469166.666667</v>
      </c>
      <c r="U106" s="124">
        <f>S106/T106</f>
        <v>0.79682757017284256</v>
      </c>
      <c r="V106" s="48">
        <f>S106/10</f>
        <v>159084167.5</v>
      </c>
      <c r="Y106" s="119">
        <f>SUM(Y8:Y104)</f>
        <v>1786681250.0000002</v>
      </c>
      <c r="Z106" s="119">
        <f>SUM(Z8:Z104)</f>
        <v>209787916.66666669</v>
      </c>
      <c r="AA106" s="119">
        <f>SUM(AA8:AA104)</f>
        <v>1996469166.666667</v>
      </c>
      <c r="AB106" s="119"/>
    </row>
    <row r="107" spans="1:28" x14ac:dyDescent="0.25">
      <c r="A107" s="5"/>
      <c r="B107" s="6"/>
      <c r="C107" s="57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7"/>
      <c r="V107" s="6"/>
    </row>
    <row r="108" spans="1:28" ht="9" customHeight="1" x14ac:dyDescent="0.25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131"/>
      <c r="V108" s="131"/>
    </row>
    <row r="109" spans="1:28" ht="1.5" hidden="1" customHeight="1" x14ac:dyDescent="0.25">
      <c r="B109" s="67" t="s">
        <v>92</v>
      </c>
      <c r="C109" s="57"/>
      <c r="D109" s="6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84"/>
      <c r="V109" s="84"/>
    </row>
    <row r="110" spans="1:28" ht="15" hidden="1" customHeight="1" x14ac:dyDescent="0.25">
      <c r="B110" s="6" t="s">
        <v>73</v>
      </c>
      <c r="C110" s="57">
        <v>299775369</v>
      </c>
      <c r="D110" s="6"/>
      <c r="E110" s="65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84"/>
      <c r="V110" s="84"/>
    </row>
    <row r="111" spans="1:28" ht="15" hidden="1" customHeight="1" thickBot="1" x14ac:dyDescent="0.3">
      <c r="B111" s="6" t="s">
        <v>74</v>
      </c>
      <c r="C111" s="66">
        <v>2941444</v>
      </c>
      <c r="D111" s="6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84"/>
      <c r="V111" s="84"/>
    </row>
    <row r="112" spans="1:28" ht="15" hidden="1" customHeight="1" thickTop="1" x14ac:dyDescent="0.25">
      <c r="B112" s="6"/>
      <c r="C112" s="68">
        <f>SUM(C110:C111)</f>
        <v>302716813</v>
      </c>
      <c r="D112" s="6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84"/>
      <c r="V112" s="84"/>
    </row>
    <row r="113" spans="2:22" ht="15" hidden="1" customHeight="1" x14ac:dyDescent="0.25">
      <c r="B113" s="6"/>
      <c r="C113" s="57"/>
      <c r="D113" s="6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84"/>
      <c r="V113" s="84"/>
    </row>
    <row r="114" spans="2:22" ht="15" hidden="1" customHeight="1" x14ac:dyDescent="0.25">
      <c r="B114" s="6"/>
      <c r="C114" s="69">
        <f>C112-R106</f>
        <v>302716813</v>
      </c>
      <c r="D114" s="6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84"/>
      <c r="V114" s="84"/>
    </row>
    <row r="115" spans="2:22" ht="15" hidden="1" customHeight="1" x14ac:dyDescent="0.25">
      <c r="B115" s="67" t="s">
        <v>112</v>
      </c>
      <c r="C115" s="57"/>
      <c r="D115" s="6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84"/>
      <c r="V115" s="84"/>
    </row>
    <row r="116" spans="2:22" ht="15" hidden="1" customHeight="1" x14ac:dyDescent="0.25">
      <c r="B116" s="6" t="s">
        <v>73</v>
      </c>
      <c r="C116" s="57">
        <v>0</v>
      </c>
      <c r="D116" s="6"/>
      <c r="E116" s="65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84"/>
      <c r="V116" s="84"/>
    </row>
    <row r="117" spans="2:22" ht="15" hidden="1" customHeight="1" thickBot="1" x14ac:dyDescent="0.3">
      <c r="B117" s="6" t="s">
        <v>74</v>
      </c>
      <c r="C117" s="66">
        <v>0</v>
      </c>
      <c r="D117" s="6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84"/>
      <c r="V117" s="84"/>
    </row>
    <row r="118" spans="2:22" ht="15" hidden="1" customHeight="1" thickTop="1" x14ac:dyDescent="0.25">
      <c r="B118" s="6"/>
      <c r="C118" s="68">
        <f>SUM(C116:C117)</f>
        <v>0</v>
      </c>
      <c r="D118" s="6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84"/>
      <c r="V118" s="84"/>
    </row>
    <row r="119" spans="2:22" ht="15" hidden="1" customHeight="1" x14ac:dyDescent="0.25">
      <c r="B119" s="6"/>
      <c r="C119" s="57"/>
      <c r="D119" s="6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84"/>
      <c r="V119" s="84"/>
    </row>
    <row r="120" spans="2:22" ht="15" hidden="1" customHeight="1" x14ac:dyDescent="0.25">
      <c r="B120" s="6"/>
      <c r="C120" s="69">
        <f>C118-Q106</f>
        <v>0</v>
      </c>
      <c r="D120" s="6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84"/>
      <c r="V120" s="84"/>
    </row>
    <row r="121" spans="2:22" ht="15" hidden="1" customHeight="1" x14ac:dyDescent="0.25">
      <c r="B121" s="67" t="s">
        <v>111</v>
      </c>
      <c r="C121" s="57"/>
      <c r="D121" s="6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84"/>
      <c r="V121" s="84"/>
    </row>
    <row r="122" spans="2:22" ht="15" hidden="1" customHeight="1" x14ac:dyDescent="0.25">
      <c r="B122" s="6" t="s">
        <v>73</v>
      </c>
      <c r="C122" s="57">
        <v>235451500</v>
      </c>
      <c r="D122" s="6"/>
      <c r="E122" s="65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84"/>
      <c r="V122" s="84"/>
    </row>
    <row r="123" spans="2:22" ht="15" hidden="1" customHeight="1" thickBot="1" x14ac:dyDescent="0.3">
      <c r="B123" s="6" t="s">
        <v>74</v>
      </c>
      <c r="C123" s="66">
        <v>415000</v>
      </c>
      <c r="D123" s="6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84"/>
      <c r="V123" s="84"/>
    </row>
    <row r="124" spans="2:22" ht="3" customHeight="1" x14ac:dyDescent="0.25">
      <c r="B124" s="6"/>
      <c r="C124" s="68">
        <f>SUM(C122:C123)</f>
        <v>235866500</v>
      </c>
      <c r="D124" s="6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84"/>
      <c r="V124" s="84"/>
    </row>
    <row r="125" spans="2:22" ht="15" hidden="1" customHeight="1" x14ac:dyDescent="0.25">
      <c r="B125" s="6"/>
      <c r="C125" s="57"/>
      <c r="D125" s="6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84"/>
      <c r="V125" s="84"/>
    </row>
    <row r="126" spans="2:22" ht="15" hidden="1" customHeight="1" x14ac:dyDescent="0.25">
      <c r="B126" s="6"/>
      <c r="C126" s="69">
        <f>C124-P106</f>
        <v>84374532</v>
      </c>
      <c r="D126" s="6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84"/>
      <c r="V126" s="84"/>
    </row>
    <row r="127" spans="2:22" ht="15" hidden="1" customHeight="1" x14ac:dyDescent="0.25">
      <c r="B127" s="67" t="s">
        <v>110</v>
      </c>
      <c r="C127" s="57"/>
      <c r="D127" s="6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84"/>
      <c r="V127" s="84"/>
    </row>
    <row r="128" spans="2:22" ht="15" hidden="1" customHeight="1" x14ac:dyDescent="0.25">
      <c r="B128" s="6" t="s">
        <v>73</v>
      </c>
      <c r="C128" s="57">
        <v>211947090</v>
      </c>
      <c r="D128" s="6"/>
      <c r="E128" s="65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84"/>
      <c r="V128" s="84"/>
    </row>
    <row r="129" spans="2:22" ht="15" hidden="1" customHeight="1" thickBot="1" x14ac:dyDescent="0.3">
      <c r="B129" s="6" t="s">
        <v>74</v>
      </c>
      <c r="C129" s="66">
        <v>597000</v>
      </c>
      <c r="D129" s="6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84"/>
      <c r="V129" s="84"/>
    </row>
    <row r="130" spans="2:22" ht="15" hidden="1" customHeight="1" thickTop="1" x14ac:dyDescent="0.25">
      <c r="B130" s="6"/>
      <c r="C130" s="68">
        <f>SUM(C128:C129)</f>
        <v>212544090</v>
      </c>
      <c r="D130" s="6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84"/>
      <c r="V130" s="84"/>
    </row>
    <row r="131" spans="2:22" ht="15" hidden="1" customHeight="1" x14ac:dyDescent="0.25">
      <c r="B131" s="6"/>
      <c r="C131" s="57"/>
      <c r="D131" s="6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84"/>
      <c r="V131" s="84"/>
    </row>
    <row r="132" spans="2:22" ht="15" hidden="1" customHeight="1" x14ac:dyDescent="0.25">
      <c r="B132" s="6"/>
      <c r="C132" s="69">
        <f>C130-O106</f>
        <v>60196306</v>
      </c>
      <c r="D132" s="6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84"/>
      <c r="V132" s="84"/>
    </row>
    <row r="133" spans="2:22" ht="15" hidden="1" customHeight="1" x14ac:dyDescent="0.25">
      <c r="B133" s="67" t="s">
        <v>108</v>
      </c>
      <c r="C133" s="57"/>
      <c r="D133" s="6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84"/>
      <c r="V133" s="84"/>
    </row>
    <row r="134" spans="2:22" ht="12.75" hidden="1" customHeight="1" x14ac:dyDescent="0.25">
      <c r="B134" s="6" t="s">
        <v>73</v>
      </c>
      <c r="C134" s="57">
        <v>262329032</v>
      </c>
      <c r="D134" s="6"/>
      <c r="E134" s="65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84"/>
      <c r="V134" s="84"/>
    </row>
    <row r="135" spans="2:22" ht="12.75" hidden="1" customHeight="1" thickBot="1" x14ac:dyDescent="0.3">
      <c r="B135" s="6" t="s">
        <v>74</v>
      </c>
      <c r="C135" s="66">
        <v>1012000</v>
      </c>
      <c r="D135" s="6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84"/>
      <c r="V135" s="84"/>
    </row>
    <row r="136" spans="2:22" ht="12.75" hidden="1" customHeight="1" thickTop="1" x14ac:dyDescent="0.25">
      <c r="B136" s="6"/>
      <c r="C136" s="68">
        <f>SUM(C134:C135)</f>
        <v>263341032</v>
      </c>
      <c r="D136" s="6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84"/>
      <c r="V136" s="84"/>
    </row>
    <row r="137" spans="2:22" ht="12.75" hidden="1" customHeight="1" x14ac:dyDescent="0.25">
      <c r="B137" s="6"/>
      <c r="C137" s="57"/>
      <c r="D137" s="6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84"/>
      <c r="V137" s="84"/>
    </row>
    <row r="138" spans="2:22" ht="12.75" hidden="1" customHeight="1" x14ac:dyDescent="0.25">
      <c r="B138" s="6"/>
      <c r="C138" s="69">
        <f>C136-N106</f>
        <v>108132373</v>
      </c>
      <c r="D138" s="6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84"/>
      <c r="V138" s="84"/>
    </row>
    <row r="139" spans="2:22" ht="12.75" hidden="1" customHeight="1" x14ac:dyDescent="0.25">
      <c r="B139" s="67" t="s">
        <v>109</v>
      </c>
      <c r="C139" s="57"/>
      <c r="D139" s="6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84"/>
      <c r="V139" s="84"/>
    </row>
    <row r="140" spans="2:22" ht="17.25" hidden="1" customHeight="1" x14ac:dyDescent="0.25">
      <c r="B140" s="6" t="s">
        <v>73</v>
      </c>
      <c r="C140" s="57">
        <v>242017050</v>
      </c>
      <c r="D140" s="6"/>
      <c r="E140" s="65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84"/>
      <c r="V140" s="84"/>
    </row>
    <row r="141" spans="2:22" ht="15" hidden="1" customHeight="1" thickBot="1" x14ac:dyDescent="0.3">
      <c r="B141" s="6" t="s">
        <v>74</v>
      </c>
      <c r="C141" s="66">
        <v>1380500</v>
      </c>
      <c r="D141" s="6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84"/>
      <c r="V141" s="84"/>
    </row>
    <row r="142" spans="2:22" ht="15.75" hidden="1" customHeight="1" thickTop="1" x14ac:dyDescent="0.25">
      <c r="B142" s="6"/>
      <c r="C142" s="68">
        <f>SUM(C140:C141)</f>
        <v>243397550</v>
      </c>
      <c r="D142" s="6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84"/>
      <c r="V142" s="84"/>
    </row>
    <row r="143" spans="2:22" ht="18" hidden="1" customHeight="1" x14ac:dyDescent="0.25">
      <c r="B143" s="6"/>
      <c r="C143" s="57"/>
      <c r="D143" s="6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84"/>
      <c r="V143" s="84"/>
    </row>
    <row r="144" spans="2:22" ht="15" hidden="1" customHeight="1" x14ac:dyDescent="0.25">
      <c r="B144" s="6"/>
      <c r="C144" s="69">
        <f>C142-M106</f>
        <v>104200050</v>
      </c>
      <c r="D144" s="6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84"/>
      <c r="V144" s="84"/>
    </row>
    <row r="145" spans="2:22" ht="12" hidden="1" customHeight="1" x14ac:dyDescent="0.25">
      <c r="B145" s="67" t="s">
        <v>107</v>
      </c>
      <c r="C145" s="57"/>
      <c r="D145" s="6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84"/>
      <c r="V145" s="84"/>
    </row>
    <row r="146" spans="2:22" ht="15" hidden="1" customHeight="1" x14ac:dyDescent="0.25">
      <c r="B146" s="6" t="s">
        <v>73</v>
      </c>
      <c r="C146" s="57">
        <v>249253500</v>
      </c>
      <c r="D146" s="6"/>
      <c r="E146" s="65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84"/>
      <c r="V146" s="84"/>
    </row>
    <row r="147" spans="2:22" ht="15" hidden="1" customHeight="1" thickBot="1" x14ac:dyDescent="0.3">
      <c r="B147" s="6" t="s">
        <v>74</v>
      </c>
      <c r="C147" s="66">
        <v>710000</v>
      </c>
      <c r="D147" s="6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84"/>
      <c r="V147" s="84"/>
    </row>
    <row r="148" spans="2:22" ht="15" hidden="1" customHeight="1" thickTop="1" x14ac:dyDescent="0.25">
      <c r="B148" s="6"/>
      <c r="C148" s="68">
        <f>SUM(C146:C147)</f>
        <v>249963500</v>
      </c>
      <c r="D148" s="6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84"/>
      <c r="V148" s="84"/>
    </row>
    <row r="149" spans="2:22" ht="15" hidden="1" customHeight="1" x14ac:dyDescent="0.25">
      <c r="B149" s="6"/>
      <c r="C149" s="57"/>
      <c r="D149" s="6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84"/>
      <c r="V149" s="84"/>
    </row>
    <row r="150" spans="2:22" ht="15" hidden="1" customHeight="1" x14ac:dyDescent="0.25">
      <c r="B150" s="6"/>
      <c r="C150" s="69">
        <f>C148-L106</f>
        <v>129695500</v>
      </c>
      <c r="D150" s="6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84"/>
      <c r="V150" s="84"/>
    </row>
    <row r="151" spans="2:22" ht="15" hidden="1" customHeight="1" x14ac:dyDescent="0.25">
      <c r="B151" s="67" t="s">
        <v>106</v>
      </c>
      <c r="C151" s="57"/>
      <c r="D151" s="6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84"/>
      <c r="V151" s="84"/>
    </row>
    <row r="152" spans="2:22" ht="15" hidden="1" customHeight="1" x14ac:dyDescent="0.25">
      <c r="B152" s="6" t="s">
        <v>73</v>
      </c>
      <c r="C152" s="57">
        <v>278921700</v>
      </c>
      <c r="D152" s="6"/>
      <c r="E152" s="65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84"/>
      <c r="V152" s="84"/>
    </row>
    <row r="153" spans="2:22" ht="6" hidden="1" customHeight="1" thickBot="1" x14ac:dyDescent="0.3">
      <c r="B153" s="6" t="s">
        <v>74</v>
      </c>
      <c r="C153" s="66">
        <v>1867000</v>
      </c>
      <c r="D153" s="6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84"/>
      <c r="V153" s="84"/>
    </row>
    <row r="154" spans="2:22" ht="15" hidden="1" customHeight="1" thickTop="1" x14ac:dyDescent="0.25">
      <c r="B154" s="6"/>
      <c r="C154" s="68">
        <f>SUM(C152:C153)</f>
        <v>280788700</v>
      </c>
      <c r="D154" s="6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84"/>
      <c r="V154" s="84"/>
    </row>
    <row r="155" spans="2:22" ht="15" hidden="1" customHeight="1" x14ac:dyDescent="0.25">
      <c r="B155" s="6"/>
      <c r="C155" s="57"/>
      <c r="D155" s="6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84"/>
      <c r="V155" s="84"/>
    </row>
    <row r="156" spans="2:22" ht="15" hidden="1" customHeight="1" x14ac:dyDescent="0.25">
      <c r="B156" s="6"/>
      <c r="C156" s="69">
        <f>C154-K106</f>
        <v>128741800</v>
      </c>
      <c r="D156" s="6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84"/>
      <c r="V156" s="84"/>
    </row>
    <row r="157" spans="2:22" ht="15" hidden="1" customHeight="1" x14ac:dyDescent="0.25">
      <c r="B157" s="67" t="s">
        <v>105</v>
      </c>
      <c r="C157" s="57"/>
      <c r="D157" s="6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84"/>
      <c r="V157" s="84"/>
    </row>
    <row r="158" spans="2:22" ht="15" hidden="1" customHeight="1" x14ac:dyDescent="0.25">
      <c r="B158" s="6" t="s">
        <v>73</v>
      </c>
      <c r="C158" s="57">
        <v>274646065</v>
      </c>
      <c r="D158" s="6"/>
      <c r="E158" s="65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84"/>
      <c r="V158" s="84"/>
    </row>
    <row r="159" spans="2:22" ht="15" hidden="1" customHeight="1" thickBot="1" x14ac:dyDescent="0.3">
      <c r="B159" s="6" t="s">
        <v>74</v>
      </c>
      <c r="C159" s="66">
        <v>2400400</v>
      </c>
      <c r="D159" s="6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84"/>
      <c r="V159" s="84"/>
    </row>
    <row r="160" spans="2:22" ht="15" hidden="1" customHeight="1" thickTop="1" x14ac:dyDescent="0.25">
      <c r="B160" s="6"/>
      <c r="C160" s="68">
        <f>SUM(C158:C159)</f>
        <v>277046465</v>
      </c>
      <c r="D160" s="6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84"/>
      <c r="V160" s="84"/>
    </row>
    <row r="161" spans="2:22" ht="15" hidden="1" customHeight="1" x14ac:dyDescent="0.25">
      <c r="B161" s="6"/>
      <c r="C161" s="57"/>
      <c r="D161" s="6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84"/>
      <c r="V161" s="84"/>
    </row>
    <row r="162" spans="2:22" ht="15" hidden="1" customHeight="1" x14ac:dyDescent="0.25">
      <c r="B162" s="6"/>
      <c r="C162" s="69">
        <f>C160-J106</f>
        <v>64585265</v>
      </c>
      <c r="D162" s="6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84"/>
      <c r="V162" s="84"/>
    </row>
    <row r="163" spans="2:22" ht="15" hidden="1" customHeight="1" x14ac:dyDescent="0.25">
      <c r="B163" s="67" t="s">
        <v>103</v>
      </c>
      <c r="C163" s="57"/>
      <c r="D163" s="6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84"/>
      <c r="V163" s="84"/>
    </row>
    <row r="164" spans="2:22" ht="15" hidden="1" customHeight="1" x14ac:dyDescent="0.25">
      <c r="B164" s="6" t="s">
        <v>73</v>
      </c>
      <c r="C164" s="57">
        <v>304986400</v>
      </c>
      <c r="D164" s="6"/>
      <c r="E164" s="65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84"/>
      <c r="V164" s="84"/>
    </row>
    <row r="165" spans="2:22" ht="15" hidden="1" customHeight="1" thickBot="1" x14ac:dyDescent="0.3">
      <c r="B165" s="6" t="s">
        <v>74</v>
      </c>
      <c r="C165" s="66">
        <v>2300600</v>
      </c>
      <c r="D165" s="6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84"/>
      <c r="V165" s="84"/>
    </row>
    <row r="166" spans="2:22" ht="15" hidden="1" customHeight="1" thickTop="1" x14ac:dyDescent="0.25">
      <c r="B166" s="6"/>
      <c r="C166" s="68">
        <f>SUM(C164:C165)</f>
        <v>307287000</v>
      </c>
      <c r="D166" s="6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84"/>
      <c r="V166" s="84"/>
    </row>
    <row r="167" spans="2:22" ht="15" hidden="1" customHeight="1" x14ac:dyDescent="0.25">
      <c r="B167" s="6"/>
      <c r="C167" s="57"/>
      <c r="D167" s="6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84"/>
      <c r="V167" s="84"/>
    </row>
    <row r="168" spans="2:22" ht="15" hidden="1" customHeight="1" x14ac:dyDescent="0.25">
      <c r="B168" s="6"/>
      <c r="C168" s="69">
        <f>C166-I106</f>
        <v>157288850</v>
      </c>
      <c r="D168" s="6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84"/>
      <c r="V168" s="84"/>
    </row>
    <row r="169" spans="2:22" ht="15" hidden="1" customHeight="1" x14ac:dyDescent="0.25">
      <c r="B169" s="67" t="s">
        <v>102</v>
      </c>
      <c r="C169" s="57"/>
      <c r="D169" s="6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84"/>
      <c r="V169" s="84"/>
    </row>
    <row r="170" spans="2:22" ht="15" hidden="1" customHeight="1" x14ac:dyDescent="0.25">
      <c r="B170" s="6" t="s">
        <v>73</v>
      </c>
      <c r="C170" s="57">
        <v>276617850</v>
      </c>
      <c r="D170" s="6"/>
      <c r="E170" s="65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84"/>
      <c r="V170" s="84"/>
    </row>
    <row r="171" spans="2:22" ht="15" hidden="1" customHeight="1" thickBot="1" x14ac:dyDescent="0.3">
      <c r="B171" s="6" t="s">
        <v>74</v>
      </c>
      <c r="C171" s="66">
        <v>1626000</v>
      </c>
      <c r="D171" s="6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84"/>
      <c r="V171" s="84"/>
    </row>
    <row r="172" spans="2:22" ht="15" hidden="1" customHeight="1" thickTop="1" x14ac:dyDescent="0.25">
      <c r="B172" s="6"/>
      <c r="C172" s="68">
        <f>SUM(C170:C171)</f>
        <v>278243850</v>
      </c>
      <c r="D172" s="6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84"/>
      <c r="V172" s="84"/>
    </row>
    <row r="173" spans="2:22" ht="15" hidden="1" customHeight="1" x14ac:dyDescent="0.25">
      <c r="B173" s="6"/>
      <c r="C173" s="57"/>
      <c r="D173" s="6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84"/>
      <c r="V173" s="84"/>
    </row>
    <row r="174" spans="2:22" ht="15" hidden="1" customHeight="1" x14ac:dyDescent="0.25">
      <c r="B174" s="6"/>
      <c r="C174" s="69">
        <f>C172-H106</f>
        <v>96076826</v>
      </c>
      <c r="D174" s="6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84"/>
      <c r="V174" s="84"/>
    </row>
    <row r="175" spans="2:22" ht="15" hidden="1" customHeight="1" x14ac:dyDescent="0.25">
      <c r="B175" s="67" t="s">
        <v>100</v>
      </c>
      <c r="C175" s="57"/>
      <c r="D175" s="6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84"/>
      <c r="V175" s="84"/>
    </row>
    <row r="176" spans="2:22" ht="15" hidden="1" customHeight="1" x14ac:dyDescent="0.25">
      <c r="B176" s="6" t="s">
        <v>73</v>
      </c>
      <c r="C176" s="57">
        <v>326557071</v>
      </c>
      <c r="D176" s="6"/>
      <c r="E176" s="65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84"/>
      <c r="V176" s="84"/>
    </row>
    <row r="177" spans="1:28" ht="15.75" hidden="1" thickBot="1" x14ac:dyDescent="0.3">
      <c r="B177" s="6" t="s">
        <v>74</v>
      </c>
      <c r="C177" s="66">
        <v>2561200</v>
      </c>
      <c r="D177" s="6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84"/>
      <c r="V177" s="84"/>
    </row>
    <row r="178" spans="1:28" ht="15.75" hidden="1" thickTop="1" x14ac:dyDescent="0.25">
      <c r="B178" s="6"/>
      <c r="C178" s="68">
        <f>SUM(C176:C177)</f>
        <v>329118271</v>
      </c>
      <c r="D178" s="6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84"/>
      <c r="V178" s="84"/>
    </row>
    <row r="179" spans="1:28" hidden="1" x14ac:dyDescent="0.25">
      <c r="B179" s="6"/>
      <c r="C179" s="57"/>
      <c r="D179" s="6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84"/>
      <c r="V179" s="84"/>
    </row>
    <row r="180" spans="1:28" hidden="1" x14ac:dyDescent="0.25">
      <c r="B180" s="6"/>
      <c r="C180" s="69">
        <f>C178-G106</f>
        <v>153463781</v>
      </c>
      <c r="D180" s="6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84"/>
      <c r="V180" s="84"/>
    </row>
    <row r="181" spans="1:28" s="6" customFormat="1" ht="14.25" hidden="1" x14ac:dyDescent="0.2">
      <c r="A181" s="5"/>
      <c r="C181" s="57"/>
      <c r="U181" s="7"/>
      <c r="Y181" s="120"/>
      <c r="Z181" s="120"/>
      <c r="AA181" s="120"/>
      <c r="AB181" s="120"/>
    </row>
    <row r="182" spans="1:28" s="6" customFormat="1" hidden="1" thickTop="1" x14ac:dyDescent="0.2">
      <c r="A182" s="5"/>
      <c r="C182" s="57"/>
      <c r="U182" s="7"/>
      <c r="Y182" s="120"/>
      <c r="Z182" s="120"/>
      <c r="AA182" s="120"/>
      <c r="AB182" s="120"/>
    </row>
    <row r="183" spans="1:28" s="6" customFormat="1" x14ac:dyDescent="0.25">
      <c r="A183" s="5"/>
      <c r="C183" s="57"/>
      <c r="E183" s="6" t="s">
        <v>4</v>
      </c>
      <c r="G183" s="120">
        <v>173627916.66666669</v>
      </c>
      <c r="H183" s="120">
        <v>205857916.66666669</v>
      </c>
      <c r="I183" s="120">
        <v>209147916.66666669</v>
      </c>
      <c r="J183" s="120">
        <v>206807916.66666669</v>
      </c>
      <c r="K183" s="120">
        <v>185952916.66666669</v>
      </c>
      <c r="L183" s="120">
        <v>178487916.66666669</v>
      </c>
      <c r="M183" s="128">
        <v>198047916.66666669</v>
      </c>
      <c r="N183" s="128">
        <v>193812916.66666669</v>
      </c>
      <c r="O183" s="128">
        <v>234937916.66666669</v>
      </c>
      <c r="P183" s="128">
        <v>209787916.66666669</v>
      </c>
      <c r="T183" s="57">
        <f>Y106+Z106</f>
        <v>1996469166.666667</v>
      </c>
      <c r="U183" s="7"/>
      <c r="Y183" s="120"/>
      <c r="Z183" s="119"/>
      <c r="AA183" s="120"/>
      <c r="AB183" s="120"/>
    </row>
    <row r="184" spans="1:28" x14ac:dyDescent="0.25">
      <c r="E184" s="51" t="s">
        <v>133</v>
      </c>
      <c r="G184" s="129">
        <f>G106-G183</f>
        <v>2026573.3333333135</v>
      </c>
      <c r="H184" s="130">
        <f t="shared" ref="H184:P184" si="68">H106-H183</f>
        <v>-23690892.666666687</v>
      </c>
      <c r="I184" s="130">
        <f t="shared" si="68"/>
        <v>-59149766.666666687</v>
      </c>
      <c r="J184" s="129">
        <f t="shared" si="68"/>
        <v>5653283.3333333135</v>
      </c>
      <c r="K184" s="130">
        <f t="shared" si="68"/>
        <v>-33906016.666666687</v>
      </c>
      <c r="L184" s="130">
        <f t="shared" si="68"/>
        <v>-58219916.666666687</v>
      </c>
      <c r="M184" s="130">
        <f t="shared" si="68"/>
        <v>-58850416.666666687</v>
      </c>
      <c r="N184" s="130">
        <f t="shared" si="68"/>
        <v>-38604257.666666687</v>
      </c>
      <c r="O184" s="130">
        <f t="shared" si="68"/>
        <v>-82590132.666666687</v>
      </c>
      <c r="P184" s="130">
        <f t="shared" si="68"/>
        <v>-58295948.666666687</v>
      </c>
      <c r="T184" s="65">
        <f>T183-AA106</f>
        <v>0</v>
      </c>
      <c r="Z184" s="117">
        <v>209787916.66666701</v>
      </c>
    </row>
    <row r="185" spans="1:28" x14ac:dyDescent="0.25">
      <c r="S185" s="117"/>
      <c r="T185" s="65"/>
    </row>
    <row r="186" spans="1:28" x14ac:dyDescent="0.25">
      <c r="S186" s="3"/>
      <c r="T186" s="117"/>
    </row>
    <row r="188" spans="1:28" x14ac:dyDescent="0.25">
      <c r="T188" s="65"/>
    </row>
    <row r="189" spans="1:28" x14ac:dyDescent="0.25">
      <c r="S189" s="57"/>
    </row>
    <row r="192" spans="1:28" x14ac:dyDescent="0.25">
      <c r="S192" s="65"/>
    </row>
  </sheetData>
  <mergeCells count="12">
    <mergeCell ref="U108:V108"/>
    <mergeCell ref="U4:U5"/>
    <mergeCell ref="A2:V2"/>
    <mergeCell ref="A1:V1"/>
    <mergeCell ref="A4:A5"/>
    <mergeCell ref="B4:C5"/>
    <mergeCell ref="D4:E5"/>
    <mergeCell ref="F4:F5"/>
    <mergeCell ref="S4:S5"/>
    <mergeCell ref="V4:V5"/>
    <mergeCell ref="T4:T5"/>
    <mergeCell ref="G4:R4"/>
  </mergeCells>
  <printOptions horizontalCentered="1"/>
  <pageMargins left="0.11811023622047245" right="0.15748031496062992" top="0.15748031496062992" bottom="0.15" header="0.11811023622047245" footer="0.11811023622047245"/>
  <pageSetup paperSize="9" scale="45" fitToHeight="0" orientation="landscape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RPD 2024</vt:lpstr>
      <vt:lpstr>Sheet5</vt:lpstr>
      <vt:lpstr>'RPD 2024'!Print_Area</vt:lpstr>
      <vt:lpstr>'RPD 2024'!Print_Titles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Andi Shirat Maqbul</cp:lastModifiedBy>
  <cp:lastPrinted>2025-11-02T03:34:13Z</cp:lastPrinted>
  <dcterms:created xsi:type="dcterms:W3CDTF">2020-01-06T01:47:07Z</dcterms:created>
  <dcterms:modified xsi:type="dcterms:W3CDTF">2025-11-08T01:53:18Z</dcterms:modified>
</cp:coreProperties>
</file>