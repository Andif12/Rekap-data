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\Arshaka Maherza Zaldy\05. File Lap. Keuangan 2023\03. Lap. Akhir Bulan\Lap. Ke Pak Direktur Keuangan\12. Lap. Akhir Bulan Per Desember 2023\"/>
    </mc:Choice>
  </mc:AlternateContent>
  <xr:revisionPtr revIDLastSave="0" documentId="13_ncr:1_{079D5753-2A32-493B-B2FD-70A5DC5B4F1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PD 2023" sheetId="1" r:id="rId1"/>
    <sheet name="Sheet5" sheetId="5" r:id="rId2"/>
  </sheets>
  <definedNames>
    <definedName name="_xlnm.Print_Area" localSheetId="0">'RPD 2023'!$A$1:$V$104</definedName>
    <definedName name="_xlnm.Print_Titles" localSheetId="0">'RPD 2023'!$4:$5</definedName>
  </definedNames>
  <calcPr calcId="181029"/>
</workbook>
</file>

<file path=xl/calcChain.xml><?xml version="1.0" encoding="utf-8"?>
<calcChain xmlns="http://schemas.openxmlformats.org/spreadsheetml/2006/main">
  <c r="V92" i="1" l="1"/>
  <c r="S8" i="1"/>
  <c r="V8" i="1" s="1"/>
  <c r="T101" i="1" l="1"/>
  <c r="C150" i="1"/>
  <c r="J101" i="1" l="1"/>
  <c r="S65" i="1"/>
  <c r="V65" i="1" s="1"/>
  <c r="U65" i="1" l="1"/>
  <c r="T15" i="1"/>
  <c r="T26" i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I83" i="1"/>
  <c r="G83" i="1"/>
  <c r="C108" i="1"/>
  <c r="T83" i="1"/>
  <c r="R15" i="1"/>
  <c r="S56" i="1"/>
  <c r="V56" i="1" s="1"/>
  <c r="S48" i="1"/>
  <c r="V48" i="1" s="1"/>
  <c r="S42" i="1"/>
  <c r="V42" i="1" s="1"/>
  <c r="S30" i="1"/>
  <c r="V30" i="1" s="1"/>
  <c r="S20" i="1"/>
  <c r="V20" i="1" s="1"/>
  <c r="C114" i="1"/>
  <c r="S24" i="1"/>
  <c r="V24" i="1" s="1"/>
  <c r="U75" i="1" l="1"/>
  <c r="U74" i="1"/>
  <c r="U77" i="1"/>
  <c r="U80" i="1"/>
  <c r="U79" i="1"/>
  <c r="U78" i="1"/>
  <c r="U76" i="1"/>
  <c r="U81" i="1"/>
  <c r="U24" i="1"/>
  <c r="C120" i="1" l="1"/>
  <c r="C126" i="1"/>
  <c r="U8" i="1" l="1"/>
  <c r="S21" i="1"/>
  <c r="V21" i="1" s="1"/>
  <c r="U21" i="1" l="1"/>
  <c r="S69" i="1"/>
  <c r="V69" i="1" s="1"/>
  <c r="S9" i="1"/>
  <c r="V9" i="1" s="1"/>
  <c r="S41" i="1"/>
  <c r="V41" i="1" s="1"/>
  <c r="S18" i="1"/>
  <c r="V18" i="1" s="1"/>
  <c r="S29" i="1"/>
  <c r="V29" i="1" s="1"/>
  <c r="C132" i="1"/>
  <c r="S100" i="1"/>
  <c r="V100" i="1" s="1"/>
  <c r="S99" i="1"/>
  <c r="V99" i="1" s="1"/>
  <c r="S98" i="1"/>
  <c r="V98" i="1" s="1"/>
  <c r="S97" i="1"/>
  <c r="V97" i="1" s="1"/>
  <c r="S96" i="1"/>
  <c r="V96" i="1" s="1"/>
  <c r="S95" i="1"/>
  <c r="V95" i="1" s="1"/>
  <c r="S94" i="1"/>
  <c r="V94" i="1" s="1"/>
  <c r="S93" i="1"/>
  <c r="V93" i="1" s="1"/>
  <c r="S92" i="1"/>
  <c r="S91" i="1"/>
  <c r="V91" i="1" s="1"/>
  <c r="S90" i="1"/>
  <c r="V90" i="1" s="1"/>
  <c r="S89" i="1"/>
  <c r="V89" i="1" s="1"/>
  <c r="S88" i="1"/>
  <c r="V88" i="1" s="1"/>
  <c r="S87" i="1"/>
  <c r="V87" i="1" s="1"/>
  <c r="S86" i="1"/>
  <c r="V86" i="1" s="1"/>
  <c r="S82" i="1"/>
  <c r="V82" i="1" s="1"/>
  <c r="S73" i="1"/>
  <c r="V73" i="1" s="1"/>
  <c r="S72" i="1"/>
  <c r="V72" i="1" s="1"/>
  <c r="S71" i="1"/>
  <c r="V71" i="1" s="1"/>
  <c r="S70" i="1"/>
  <c r="V70" i="1" s="1"/>
  <c r="S68" i="1"/>
  <c r="V68" i="1" s="1"/>
  <c r="S67" i="1"/>
  <c r="V67" i="1" s="1"/>
  <c r="S66" i="1"/>
  <c r="V66" i="1" s="1"/>
  <c r="S64" i="1"/>
  <c r="V64" i="1" s="1"/>
  <c r="S63" i="1"/>
  <c r="V63" i="1" s="1"/>
  <c r="S58" i="1"/>
  <c r="V58" i="1" s="1"/>
  <c r="S57" i="1"/>
  <c r="V57" i="1" s="1"/>
  <c r="S55" i="1"/>
  <c r="V55" i="1" s="1"/>
  <c r="S54" i="1"/>
  <c r="V54" i="1" s="1"/>
  <c r="S50" i="1"/>
  <c r="V50" i="1" s="1"/>
  <c r="S49" i="1"/>
  <c r="V49" i="1" s="1"/>
  <c r="S47" i="1"/>
  <c r="V47" i="1" s="1"/>
  <c r="S43" i="1"/>
  <c r="V43" i="1" s="1"/>
  <c r="S40" i="1"/>
  <c r="V40" i="1" s="1"/>
  <c r="S36" i="1"/>
  <c r="V36" i="1" s="1"/>
  <c r="S35" i="1"/>
  <c r="V35" i="1" s="1"/>
  <c r="S34" i="1"/>
  <c r="V34" i="1" s="1"/>
  <c r="S33" i="1"/>
  <c r="V33" i="1" s="1"/>
  <c r="S32" i="1"/>
  <c r="V32" i="1" s="1"/>
  <c r="S31" i="1"/>
  <c r="V31" i="1" s="1"/>
  <c r="S25" i="1"/>
  <c r="V25" i="1" s="1"/>
  <c r="S23" i="1"/>
  <c r="V23" i="1" s="1"/>
  <c r="S22" i="1"/>
  <c r="V22" i="1" s="1"/>
  <c r="S19" i="1"/>
  <c r="V19" i="1" s="1"/>
  <c r="S14" i="1"/>
  <c r="V14" i="1" s="1"/>
  <c r="S13" i="1"/>
  <c r="V13" i="1" s="1"/>
  <c r="S12" i="1"/>
  <c r="V12" i="1" s="1"/>
  <c r="S11" i="1"/>
  <c r="V11" i="1" s="1"/>
  <c r="S10" i="1"/>
  <c r="V10" i="1" s="1"/>
  <c r="V101" i="1" l="1"/>
  <c r="U82" i="1"/>
  <c r="V83" i="1"/>
  <c r="S83" i="1"/>
  <c r="U83" i="1" s="1"/>
  <c r="V15" i="1"/>
  <c r="U68" i="1"/>
  <c r="U69" i="1"/>
  <c r="M101" i="1" l="1"/>
  <c r="C138" i="1"/>
  <c r="C144" i="1" l="1"/>
  <c r="C156" i="1" l="1"/>
  <c r="C162" i="1"/>
  <c r="C168" i="1"/>
  <c r="R59" i="1" l="1"/>
  <c r="Q59" i="1"/>
  <c r="P59" i="1"/>
  <c r="O59" i="1"/>
  <c r="N59" i="1"/>
  <c r="M59" i="1"/>
  <c r="L59" i="1"/>
  <c r="K59" i="1"/>
  <c r="J59" i="1"/>
  <c r="I59" i="1"/>
  <c r="H59" i="1"/>
  <c r="G59" i="1"/>
  <c r="R26" i="1"/>
  <c r="R101" i="1"/>
  <c r="R83" i="1"/>
  <c r="R51" i="1"/>
  <c r="R44" i="1"/>
  <c r="R37" i="1"/>
  <c r="Q101" i="1"/>
  <c r="U57" i="1" l="1"/>
  <c r="R38" i="1"/>
  <c r="R60" i="1"/>
  <c r="T59" i="1"/>
  <c r="V59" i="1"/>
  <c r="U56" i="1"/>
  <c r="S59" i="1"/>
  <c r="U55" i="1"/>
  <c r="U54" i="1"/>
  <c r="U58" i="1"/>
  <c r="Q26" i="1"/>
  <c r="Q15" i="1"/>
  <c r="Q83" i="1"/>
  <c r="Q51" i="1"/>
  <c r="Q44" i="1"/>
  <c r="Q37" i="1"/>
  <c r="P101" i="1"/>
  <c r="P83" i="1"/>
  <c r="P51" i="1"/>
  <c r="P44" i="1"/>
  <c r="P37" i="1"/>
  <c r="P26" i="1"/>
  <c r="P15" i="1"/>
  <c r="O15" i="1"/>
  <c r="P60" i="1" l="1"/>
  <c r="P38" i="1"/>
  <c r="Q60" i="1"/>
  <c r="Q38" i="1"/>
  <c r="U59" i="1"/>
  <c r="R102" i="1"/>
  <c r="C110" i="1" s="1"/>
  <c r="S15" i="1"/>
  <c r="P102" i="1" l="1"/>
  <c r="C122" i="1" s="1"/>
  <c r="Q102" i="1"/>
  <c r="C116" i="1" s="1"/>
  <c r="O101" i="1"/>
  <c r="O83" i="1"/>
  <c r="O51" i="1"/>
  <c r="O44" i="1"/>
  <c r="O37" i="1"/>
  <c r="O26" i="1"/>
  <c r="N26" i="1"/>
  <c r="N15" i="1"/>
  <c r="N101" i="1"/>
  <c r="N83" i="1"/>
  <c r="N51" i="1"/>
  <c r="N44" i="1"/>
  <c r="N37" i="1"/>
  <c r="M83" i="1"/>
  <c r="M51" i="1"/>
  <c r="M44" i="1"/>
  <c r="M37" i="1"/>
  <c r="M26" i="1"/>
  <c r="M15" i="1"/>
  <c r="O38" i="1" l="1"/>
  <c r="M60" i="1"/>
  <c r="N60" i="1"/>
  <c r="O60" i="1"/>
  <c r="N38" i="1"/>
  <c r="M38" i="1"/>
  <c r="L101" i="1"/>
  <c r="L83" i="1"/>
  <c r="L51" i="1"/>
  <c r="L44" i="1"/>
  <c r="L37" i="1"/>
  <c r="L26" i="1"/>
  <c r="L15" i="1"/>
  <c r="L60" i="1" l="1"/>
  <c r="L38" i="1"/>
  <c r="M102" i="1"/>
  <c r="C140" i="1" s="1"/>
  <c r="O102" i="1"/>
  <c r="C128" i="1" s="1"/>
  <c r="N102" i="1"/>
  <c r="C134" i="1" s="1"/>
  <c r="L102" i="1" l="1"/>
  <c r="C146" i="1" s="1"/>
  <c r="K101" i="1"/>
  <c r="K83" i="1"/>
  <c r="K51" i="1"/>
  <c r="K44" i="1"/>
  <c r="K37" i="1"/>
  <c r="K26" i="1"/>
  <c r="K15" i="1"/>
  <c r="K38" i="1" l="1"/>
  <c r="K60" i="1"/>
  <c r="K102" i="1" l="1"/>
  <c r="C152" i="1" s="1"/>
  <c r="J37" i="1"/>
  <c r="J26" i="1"/>
  <c r="J15" i="1"/>
  <c r="J38" i="1" l="1"/>
  <c r="J44" i="1"/>
  <c r="J51" i="1"/>
  <c r="J83" i="1"/>
  <c r="J60" i="1" l="1"/>
  <c r="J102" i="1" s="1"/>
  <c r="C158" i="1" s="1"/>
  <c r="I101" i="1"/>
  <c r="I51" i="1"/>
  <c r="I44" i="1"/>
  <c r="I37" i="1"/>
  <c r="I26" i="1"/>
  <c r="I15" i="1"/>
  <c r="I38" i="1" l="1"/>
  <c r="I60" i="1"/>
  <c r="H101" i="1"/>
  <c r="I102" i="1" l="1"/>
  <c r="C164" i="1" s="1"/>
  <c r="G101" i="1" l="1"/>
  <c r="H83" i="1" l="1"/>
  <c r="G51" i="1"/>
  <c r="C174" i="1"/>
  <c r="H51" i="1"/>
  <c r="H44" i="1"/>
  <c r="H37" i="1"/>
  <c r="H26" i="1"/>
  <c r="H15" i="1"/>
  <c r="H60" i="1" l="1"/>
  <c r="H38" i="1"/>
  <c r="S101" i="1"/>
  <c r="H102" i="1" l="1"/>
  <c r="C170" i="1" s="1"/>
  <c r="U67" i="1"/>
  <c r="U70" i="1"/>
  <c r="U73" i="1"/>
  <c r="U19" i="1"/>
  <c r="S37" i="1" l="1"/>
  <c r="T37" i="1"/>
  <c r="U20" i="1"/>
  <c r="U22" i="1"/>
  <c r="U72" i="1"/>
  <c r="U71" i="1"/>
  <c r="U10" i="1"/>
  <c r="G44" i="1"/>
  <c r="G60" i="1" s="1"/>
  <c r="S44" i="1"/>
  <c r="S26" i="1"/>
  <c r="G37" i="1"/>
  <c r="G15" i="1"/>
  <c r="G26" i="1"/>
  <c r="S38" i="1" l="1"/>
  <c r="G38" i="1"/>
  <c r="U37" i="1"/>
  <c r="S51" i="1"/>
  <c r="S60" i="1" s="1"/>
  <c r="U66" i="1"/>
  <c r="S102" i="1" l="1"/>
  <c r="G102" i="1"/>
  <c r="C176" i="1" s="1"/>
  <c r="T38" i="1" l="1"/>
  <c r="U38" i="1" s="1"/>
  <c r="T44" i="1"/>
  <c r="T51" i="1"/>
  <c r="U64" i="1"/>
  <c r="T60" i="1" l="1"/>
  <c r="U60" i="1" s="1"/>
  <c r="U63" i="1"/>
  <c r="U95" i="1"/>
  <c r="T102" i="1" l="1"/>
  <c r="U94" i="1"/>
  <c r="U93" i="1" l="1"/>
  <c r="V37" i="1" l="1"/>
  <c r="U101" i="1"/>
  <c r="U86" i="1"/>
  <c r="U87" i="1"/>
  <c r="V26" i="1" l="1"/>
  <c r="U9" i="1"/>
  <c r="U11" i="1"/>
  <c r="U14" i="1" l="1"/>
  <c r="U12" i="1"/>
  <c r="U41" i="1"/>
  <c r="U43" i="1"/>
  <c r="U49" i="1"/>
  <c r="U50" i="1"/>
  <c r="U89" i="1"/>
  <c r="U91" i="1"/>
  <c r="U97" i="1"/>
  <c r="U99" i="1"/>
  <c r="U40" i="1"/>
  <c r="U42" i="1"/>
  <c r="U48" i="1"/>
  <c r="U88" i="1"/>
  <c r="U90" i="1"/>
  <c r="U92" i="1"/>
  <c r="U96" i="1"/>
  <c r="U98" i="1"/>
  <c r="U100" i="1"/>
  <c r="U47" i="1"/>
  <c r="U29" i="1"/>
  <c r="U36" i="1"/>
  <c r="U35" i="1"/>
  <c r="U34" i="1"/>
  <c r="U33" i="1"/>
  <c r="U32" i="1"/>
  <c r="U31" i="1"/>
  <c r="U30" i="1"/>
  <c r="V44" i="1"/>
  <c r="U26" i="1"/>
  <c r="U18" i="1"/>
  <c r="U25" i="1"/>
  <c r="U23" i="1"/>
  <c r="V51" i="1"/>
  <c r="V60" i="1" l="1"/>
  <c r="U44" i="1"/>
  <c r="U51" i="1"/>
  <c r="U13" i="1"/>
  <c r="U15" i="1"/>
  <c r="V38" i="1"/>
  <c r="V102" i="1" l="1"/>
  <c r="U102" i="1"/>
</calcChain>
</file>

<file path=xl/sharedStrings.xml><?xml version="1.0" encoding="utf-8"?>
<sst xmlns="http://schemas.openxmlformats.org/spreadsheetml/2006/main" count="181" uniqueCount="136">
  <si>
    <t>No</t>
  </si>
  <si>
    <t>Pemasaran Daerah</t>
  </si>
  <si>
    <t>Wilayah</t>
  </si>
  <si>
    <t>Fasilitas</t>
  </si>
  <si>
    <t>Target</t>
  </si>
  <si>
    <t>TOTAL</t>
  </si>
  <si>
    <t>RATA RATA</t>
  </si>
  <si>
    <t>Sulawesi Barat</t>
  </si>
  <si>
    <t>Mobil 1 Unit</t>
  </si>
  <si>
    <t xml:space="preserve">Anggota </t>
  </si>
  <si>
    <t>: Valdi Arnada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</si>
  <si>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</si>
  <si>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</si>
  <si>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</si>
  <si>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</si>
  <si>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</si>
  <si>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</si>
  <si>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</si>
  <si>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</si>
  <si>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: Arifin</t>
  </si>
  <si>
    <t>Toli Toli</t>
  </si>
  <si>
    <t>Gorontalo</t>
  </si>
  <si>
    <t>Palu</t>
  </si>
  <si>
    <t>Poso</t>
  </si>
  <si>
    <t>Morowali</t>
  </si>
  <si>
    <t>: Fachruddin</t>
  </si>
  <si>
    <t>Luwu Raya</t>
  </si>
  <si>
    <t>: Abd Malik S</t>
  </si>
  <si>
    <t>Luwu Utara</t>
  </si>
  <si>
    <t>Luwu Timur</t>
  </si>
  <si>
    <t>Luwu</t>
  </si>
  <si>
    <t>Palopo</t>
  </si>
  <si>
    <t>: Ahmad Muhammad</t>
  </si>
  <si>
    <t>Sulawesi Tenggara</t>
  </si>
  <si>
    <t>: Munandar</t>
  </si>
  <si>
    <t>Kolaka Utara</t>
  </si>
  <si>
    <t>Kolaka Kota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</si>
  <si>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</si>
  <si>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</si>
  <si>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</si>
  <si>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</si>
  <si>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</si>
  <si>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</si>
  <si>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</si>
  <si>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</si>
  <si>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</si>
  <si>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</si>
  <si>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</si>
  <si>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</si>
  <si>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</si>
  <si>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</si>
  <si>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</si>
  <si>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</si>
  <si>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</si>
  <si>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</si>
  <si>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</si>
  <si>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</si>
  <si>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</si>
  <si>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</si>
  <si>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</si>
  <si>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</si>
  <si>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</si>
  <si>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</si>
  <si>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</si>
  <si>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</si>
  <si>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</si>
  <si>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</si>
  <si>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</si>
  <si>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</si>
  <si>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</si>
  <si>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</si>
  <si>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</si>
  <si>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</si>
  <si>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</si>
  <si>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</si>
  <si>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REALISASI PEMASARAN DAERAH</t>
  </si>
  <si>
    <t>Asist. Korwil</t>
  </si>
  <si>
    <t>: Wahyudi</t>
  </si>
  <si>
    <t>: Sam Nugraha Kinas</t>
  </si>
  <si>
    <t>Januari</t>
  </si>
  <si>
    <t>: Wawan Gunawan</t>
  </si>
  <si>
    <t>Jumlah</t>
  </si>
  <si>
    <t>Cash Back</t>
  </si>
  <si>
    <t>Pontianak, Kalbar</t>
  </si>
  <si>
    <t>Batu Licin, Kalsel</t>
  </si>
  <si>
    <t xml:space="preserve"> </t>
  </si>
  <si>
    <t>: Syahrul Usman</t>
  </si>
  <si>
    <t>Sulawesi Tengah</t>
  </si>
  <si>
    <t>Jalang'E (Petak 7, 8 9)</t>
  </si>
  <si>
    <t>Februari</t>
  </si>
  <si>
    <t>Tambak Intensif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</si>
  <si>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</si>
  <si>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</si>
  <si>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</si>
  <si>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</si>
  <si>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</si>
  <si>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</si>
  <si>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</si>
  <si>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</si>
  <si>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</si>
  <si>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</si>
  <si>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Buol</t>
  </si>
  <si>
    <t>Penjualan per 01 s/d 31 Desember 2022</t>
  </si>
  <si>
    <t>Donggulu 1</t>
  </si>
  <si>
    <t>Donggulu 2</t>
  </si>
  <si>
    <t>Lingadan AB</t>
  </si>
  <si>
    <t>Lingadan A Masyarakat</t>
  </si>
  <si>
    <t>Lingadan B Masyarakat</t>
  </si>
  <si>
    <t>Lingadan C Perusahaan</t>
  </si>
  <si>
    <t>Lingadan D Perusahaan</t>
  </si>
  <si>
    <t xml:space="preserve">Tomoli, Parigi </t>
  </si>
  <si>
    <t>Siney, Parigi</t>
  </si>
  <si>
    <t xml:space="preserve">Bambapula 1, Dampal </t>
  </si>
  <si>
    <t>Lado ABCD, Parigi</t>
  </si>
  <si>
    <t>Babanji ABCD, Dampal</t>
  </si>
  <si>
    <t xml:space="preserve">Bambapula 2, Dampal </t>
  </si>
  <si>
    <t>Lombonga, Donggala</t>
  </si>
  <si>
    <t>: Hasrul Hasan</t>
  </si>
  <si>
    <t>: Hardiansyah</t>
  </si>
  <si>
    <t>: Syahrun Nuzul Kiraah</t>
  </si>
  <si>
    <t>: Zaenul</t>
  </si>
  <si>
    <t>: Syamsu Alam</t>
  </si>
  <si>
    <t>Penjualan per 01 s/d 31 Januari 2023</t>
  </si>
  <si>
    <t>Jeneponto</t>
  </si>
  <si>
    <t>Penjualan per 01 s/d 28 Februari 2023</t>
  </si>
  <si>
    <t>Penjualan per 01 s/d 31 Maret 2023</t>
  </si>
  <si>
    <t>Luwuk Banggai (Intensif)</t>
  </si>
  <si>
    <t>Penjualan per 01 s/d 30 April 2023</t>
  </si>
  <si>
    <t>Penjualan per 01 s/d 31 Mei 2023</t>
  </si>
  <si>
    <t>Penjualan per 01 s/d 30 Juni 2023</t>
  </si>
  <si>
    <t>Penjualan per 01 s/d 31 Agustus 2023</t>
  </si>
  <si>
    <t>Penjualan per 01 s/d 31 Juli 2023</t>
  </si>
  <si>
    <t>Penjualan per 01 s/d 30 September 2023</t>
  </si>
  <si>
    <t>Penjualan per 01 s/d 31 Oktober 2023</t>
  </si>
  <si>
    <t>Penjualan per 01 s/d 30 November 2023</t>
  </si>
  <si>
    <t>BULAN DESEMBER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</si>
</sst>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 vertical="center"/>
    </xf>
    <xf numFmtId="0" fontId="4" fillId="0" borderId="20" xfId="3" applyFont="1" applyBorder="1"/>
    <xf numFmtId="41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5" fillId="0" borderId="0" xfId="2" applyNumberFormat="1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2" borderId="15" xfId="0" applyFont="1" applyFill="1" applyBorder="1"/>
    <xf numFmtId="10" fontId="5" fillId="2" borderId="15" xfId="2" applyNumberFormat="1" applyFont="1" applyFill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21" xfId="0" applyFont="1" applyFill="1" applyBorder="1"/>
    <xf numFmtId="10" fontId="5" fillId="2" borderId="21" xfId="2" applyNumberFormat="1" applyFont="1" applyFill="1" applyBorder="1"/>
    <xf numFmtId="164" fontId="5" fillId="0" borderId="20" xfId="1" applyFont="1" applyBorder="1"/>
    <xf numFmtId="41" fontId="5" fillId="2" borderId="21" xfId="0" applyNumberFormat="1" applyFont="1" applyFill="1" applyBorder="1"/>
    <xf numFmtId="165" fontId="5" fillId="2" borderId="21" xfId="0" applyNumberFormat="1" applyFont="1" applyFill="1" applyBorder="1"/>
    <xf numFmtId="41" fontId="5" fillId="0" borderId="20" xfId="1" applyNumberFormat="1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41" fontId="5" fillId="0" borderId="26" xfId="1" applyNumberFormat="1" applyFont="1" applyBorder="1"/>
    <xf numFmtId="41" fontId="5" fillId="0" borderId="14" xfId="1" applyNumberFormat="1" applyFont="1" applyBorder="1"/>
    <xf numFmtId="164" fontId="5" fillId="0" borderId="26" xfId="1" applyFont="1" applyBorder="1"/>
    <xf numFmtId="164" fontId="5" fillId="0" borderId="14" xfId="1" applyFont="1" applyBorder="1"/>
    <xf numFmtId="0" fontId="7" fillId="0" borderId="19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4" fillId="0" borderId="17" xfId="0" applyFont="1" applyBorder="1"/>
    <xf numFmtId="0" fontId="8" fillId="0" borderId="0" xfId="0" applyFont="1" applyAlignment="1">
      <alignment horizontal="center" vertical="center"/>
    </xf>
    <xf numFmtId="0" fontId="4" fillId="0" borderId="11" xfId="0" applyFont="1" applyBorder="1"/>
    <xf numFmtId="0" fontId="5" fillId="0" borderId="18" xfId="3" applyFont="1" applyBorder="1"/>
    <xf numFmtId="0" fontId="5" fillId="0" borderId="6" xfId="3" applyFont="1" applyBorder="1"/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41" fontId="4" fillId="3" borderId="31" xfId="1" applyNumberFormat="1" applyFont="1" applyFill="1" applyBorder="1"/>
    <xf numFmtId="41" fontId="4" fillId="3" borderId="32" xfId="0" applyNumberFormat="1" applyFont="1" applyFill="1" applyBorder="1"/>
    <xf numFmtId="10" fontId="4" fillId="3" borderId="32" xfId="2" applyNumberFormat="1" applyFont="1" applyFill="1" applyBorder="1"/>
    <xf numFmtId="165" fontId="4" fillId="3" borderId="32" xfId="0" applyNumberFormat="1" applyFont="1" applyFill="1" applyBorder="1"/>
    <xf numFmtId="0" fontId="8" fillId="0" borderId="0" xfId="0" applyFont="1"/>
    <xf numFmtId="164" fontId="4" fillId="3" borderId="31" xfId="1" applyFont="1" applyFill="1" applyBorder="1"/>
    <xf numFmtId="164" fontId="4" fillId="3" borderId="32" xfId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/>
    <xf numFmtId="41" fontId="4" fillId="4" borderId="33" xfId="0" applyNumberFormat="1" applyFont="1" applyFill="1" applyBorder="1"/>
    <xf numFmtId="164" fontId="5" fillId="0" borderId="0" xfId="0" applyNumberFormat="1" applyFont="1"/>
    <xf numFmtId="164" fontId="5" fillId="0" borderId="12" xfId="0" applyNumberFormat="1" applyFont="1" applyBorder="1"/>
    <xf numFmtId="164" fontId="5" fillId="0" borderId="18" xfId="0" applyNumberFormat="1" applyFont="1" applyBorder="1"/>
    <xf numFmtId="164" fontId="4" fillId="3" borderId="29" xfId="0" applyNumberFormat="1" applyFont="1" applyFill="1" applyBorder="1"/>
    <xf numFmtId="164" fontId="5" fillId="0" borderId="24" xfId="0" applyNumberFormat="1" applyFont="1" applyBorder="1"/>
    <xf numFmtId="164" fontId="5" fillId="0" borderId="6" xfId="0" applyNumberFormat="1" applyFont="1" applyBorder="1"/>
    <xf numFmtId="164" fontId="4" fillId="3" borderId="30" xfId="0" applyNumberFormat="1" applyFont="1" applyFill="1" applyBorder="1"/>
    <xf numFmtId="164" fontId="4" fillId="4" borderId="30" xfId="0" applyNumberFormat="1" applyFont="1" applyFill="1" applyBorder="1"/>
    <xf numFmtId="164" fontId="0" fillId="0" borderId="0" xfId="0" applyNumberFormat="1"/>
    <xf numFmtId="164" fontId="5" fillId="0" borderId="35" xfId="0" applyNumberFormat="1" applyFont="1" applyBorder="1"/>
    <xf numFmtId="0" fontId="11" fillId="0" borderId="0" xfId="0" applyFont="1"/>
    <xf numFmtId="164" fontId="4" fillId="0" borderId="0" xfId="0" applyNumberFormat="1" applyFont="1"/>
    <xf numFmtId="164" fontId="11" fillId="0" borderId="36" xfId="0" applyNumberFormat="1" applyFont="1" applyBorder="1"/>
    <xf numFmtId="0" fontId="4" fillId="4" borderId="28" xfId="0" applyFont="1" applyFill="1" applyBorder="1"/>
    <xf numFmtId="164" fontId="4" fillId="4" borderId="29" xfId="0" applyNumberFormat="1" applyFont="1" applyFill="1" applyBorder="1"/>
    <xf numFmtId="0" fontId="4" fillId="4" borderId="29" xfId="0" applyFont="1" applyFill="1" applyBorder="1"/>
    <xf numFmtId="164" fontId="4" fillId="4" borderId="31" xfId="0" applyNumberFormat="1" applyFont="1" applyFill="1" applyBorder="1"/>
    <xf numFmtId="0" fontId="4" fillId="0" borderId="17" xfId="3" applyFont="1" applyBorder="1"/>
    <xf numFmtId="41" fontId="4" fillId="4" borderId="34" xfId="0" applyNumberFormat="1" applyFont="1" applyFill="1" applyBorder="1"/>
    <xf numFmtId="10" fontId="4" fillId="3" borderId="33" xfId="2" applyNumberFormat="1" applyFont="1" applyFill="1" applyBorder="1"/>
    <xf numFmtId="164" fontId="4" fillId="4" borderId="33" xfId="0" applyNumberFormat="1" applyFont="1" applyFill="1" applyBorder="1"/>
    <xf numFmtId="164" fontId="4" fillId="3" borderId="28" xfId="1" applyFont="1" applyFill="1" applyBorder="1"/>
    <xf numFmtId="41" fontId="4" fillId="4" borderId="27" xfId="0" applyNumberFormat="1" applyFont="1" applyFill="1" applyBorder="1"/>
    <xf numFmtId="10" fontId="4" fillId="4" borderId="32" xfId="2" applyNumberFormat="1" applyFont="1" applyFill="1" applyBorder="1"/>
    <xf numFmtId="164" fontId="4" fillId="3" borderId="33" xfId="1" applyFont="1" applyFill="1" applyBorder="1"/>
    <xf numFmtId="0" fontId="4" fillId="4" borderId="39" xfId="0" applyFont="1" applyFill="1" applyBorder="1" applyAlignment="1">
      <alignment horizontal="center" vertical="center"/>
    </xf>
    <xf numFmtId="41" fontId="4" fillId="3" borderId="34" xfId="0" applyNumberFormat="1" applyFont="1" applyFill="1" applyBorder="1"/>
    <xf numFmtId="41" fontId="4" fillId="3" borderId="31" xfId="0" applyNumberFormat="1" applyFont="1" applyFill="1" applyBorder="1"/>
    <xf numFmtId="0" fontId="12" fillId="0" borderId="0" xfId="0" applyFont="1"/>
    <xf numFmtId="10" fontId="10" fillId="0" borderId="0" xfId="2" applyNumberFormat="1" applyFont="1" applyAlignment="1">
      <alignment horizontal="right"/>
    </xf>
    <xf numFmtId="164" fontId="4" fillId="4" borderId="27" xfId="0" applyNumberFormat="1" applyFont="1" applyFill="1" applyBorder="1"/>
    <xf numFmtId="0" fontId="0" fillId="0" borderId="17" xfId="0" applyBorder="1"/>
    <xf numFmtId="0" fontId="4" fillId="4" borderId="41" xfId="0" applyFont="1" applyFill="1" applyBorder="1" applyAlignment="1">
      <alignment horizontal="center" vertical="center"/>
    </xf>
    <xf numFmtId="164" fontId="5" fillId="0" borderId="19" xfId="1" applyFont="1" applyBorder="1"/>
    <xf numFmtId="41" fontId="5" fillId="0" borderId="19" xfId="1" applyNumberFormat="1" applyFont="1" applyBorder="1"/>
    <xf numFmtId="41" fontId="5" fillId="0" borderId="13" xfId="1" applyNumberFormat="1" applyFont="1" applyBorder="1"/>
    <xf numFmtId="164" fontId="5" fillId="0" borderId="25" xfId="1" applyFont="1" applyBorder="1"/>
    <xf numFmtId="164" fontId="5" fillId="0" borderId="13" xfId="1" applyFont="1" applyBorder="1"/>
    <xf numFmtId="41" fontId="5" fillId="0" borderId="25" xfId="1" applyNumberFormat="1" applyFont="1" applyBorder="1"/>
    <xf numFmtId="164" fontId="4" fillId="3" borderId="30" xfId="1" applyFont="1" applyFill="1" applyBorder="1"/>
    <xf numFmtId="0" fontId="5" fillId="0" borderId="42" xfId="0" applyFont="1" applyBorder="1"/>
    <xf numFmtId="164" fontId="5" fillId="0" borderId="18" xfId="1" applyFont="1" applyBorder="1"/>
    <xf numFmtId="164" fontId="5" fillId="0" borderId="24" xfId="1" applyFont="1" applyBorder="1"/>
    <xf numFmtId="164" fontId="5" fillId="0" borderId="12" xfId="1" applyFont="1" applyBorder="1"/>
    <xf numFmtId="41" fontId="5" fillId="0" borderId="24" xfId="1" applyNumberFormat="1" applyFont="1" applyBorder="1"/>
    <xf numFmtId="164" fontId="5" fillId="0" borderId="6" xfId="1" applyFont="1" applyBorder="1"/>
    <xf numFmtId="41" fontId="4" fillId="3" borderId="30" xfId="1" applyNumberFormat="1" applyFont="1" applyFill="1" applyBorder="1"/>
    <xf numFmtId="41" fontId="4" fillId="3" borderId="30" xfId="0" applyNumberFormat="1" applyFont="1" applyFill="1" applyBorder="1"/>
    <xf numFmtId="0" fontId="5" fillId="0" borderId="43" xfId="0" applyFont="1" applyBorder="1"/>
    <xf numFmtId="164" fontId="5" fillId="0" borderId="17" xfId="1" applyFont="1" applyBorder="1"/>
    <xf numFmtId="41" fontId="5" fillId="0" borderId="17" xfId="1" applyNumberFormat="1" applyFont="1" applyBorder="1"/>
    <xf numFmtId="41" fontId="5" fillId="0" borderId="11" xfId="1" applyNumberFormat="1" applyFont="1" applyBorder="1"/>
    <xf numFmtId="164" fontId="5" fillId="0" borderId="23" xfId="1" applyFont="1" applyBorder="1"/>
    <xf numFmtId="164" fontId="5" fillId="0" borderId="11" xfId="1" applyFont="1" applyBorder="1"/>
    <xf numFmtId="41" fontId="5" fillId="0" borderId="23" xfId="1" applyNumberFormat="1" applyFont="1" applyBorder="1"/>
    <xf numFmtId="164" fontId="5" fillId="0" borderId="5" xfId="1" applyFont="1" applyBorder="1"/>
    <xf numFmtId="164" fontId="7" fillId="0" borderId="20" xfId="1" applyFont="1" applyBorder="1"/>
    <xf numFmtId="0" fontId="5" fillId="0" borderId="6" xfId="0" applyFont="1" applyBorder="1"/>
    <xf numFmtId="0" fontId="5" fillId="2" borderId="44" xfId="0" applyFont="1" applyFill="1" applyBorder="1"/>
    <xf numFmtId="164" fontId="5" fillId="2" borderId="44" xfId="0" applyNumberFormat="1" applyFont="1" applyFill="1" applyBorder="1" applyAlignment="1">
      <alignment horizontal="center"/>
    </xf>
    <xf numFmtId="164" fontId="5" fillId="2" borderId="4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164" fontId="5" fillId="2" borderId="47" xfId="0" applyNumberFormat="1" applyFont="1" applyFill="1" applyBorder="1" applyAlignment="1">
      <alignment horizontal="center"/>
    </xf>
    <xf numFmtId="164" fontId="5" fillId="2" borderId="45" xfId="0" applyNumberFormat="1" applyFont="1" applyFill="1" applyBorder="1" applyAlignment="1">
      <alignment horizontal="center"/>
    </xf>
    <xf numFmtId="41" fontId="5" fillId="2" borderId="44" xfId="0" applyNumberFormat="1" applyFont="1" applyFill="1" applyBorder="1"/>
    <xf numFmtId="164" fontId="5" fillId="2" borderId="48" xfId="0" applyNumberFormat="1" applyFont="1" applyFill="1" applyBorder="1" applyAlignment="1">
      <alignment horizontal="center"/>
    </xf>
    <xf numFmtId="0" fontId="5" fillId="0" borderId="24" xfId="3" applyFont="1" applyBorder="1"/>
    <xf numFmtId="0" fontId="5" fillId="2" borderId="3" xfId="0" applyFont="1" applyFill="1" applyBorder="1"/>
    <xf numFmtId="165" fontId="5" fillId="2" borderId="21" xfId="1" applyNumberFormat="1" applyFont="1" applyFill="1" applyBorder="1"/>
    <xf numFmtId="165" fontId="5" fillId="2" borderId="44" xfId="1" applyNumberFormat="1" applyFont="1" applyFill="1" applyBorder="1"/>
    <xf numFmtId="165" fontId="5" fillId="2" borderId="45" xfId="1" applyNumberFormat="1" applyFont="1" applyFill="1" applyBorder="1"/>
    <xf numFmtId="164" fontId="5" fillId="2" borderId="49" xfId="0" applyNumberFormat="1" applyFont="1" applyFill="1" applyBorder="1" applyAlignment="1">
      <alignment horizontal="center"/>
    </xf>
    <xf numFmtId="164" fontId="0" fillId="0" borderId="0" xfId="1" applyFont="1"/>
    <xf numFmtId="164" fontId="8" fillId="0" borderId="0" xfId="1" applyFont="1" applyAlignment="1">
      <alignment horizontal="center" vertical="center"/>
    </xf>
    <xf numFmtId="164" fontId="8" fillId="0" borderId="0" xfId="1" applyFont="1"/>
    <xf numFmtId="164" fontId="5" fillId="0" borderId="0" xfId="1" applyFont="1"/>
    <xf numFmtId="10" fontId="10" fillId="0" borderId="0" xfId="2" applyNumberFormat="1" applyFont="1" applyAlignment="1">
      <alignment horizontal="right"/>
    </xf>
    <xf numFmtId="10" fontId="4" fillId="2" borderId="3" xfId="2" applyNumberFormat="1" applyFont="1" applyFill="1" applyBorder="1" applyAlignment="1">
      <alignment horizontal="center" vertical="center"/>
    </xf>
    <xf numFmtId="10" fontId="4" fillId="2" borderId="9" xfId="2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</cellXfs>
  <cellStyles count="5">
    <cellStyle name="Comma [0]" xfId="1" builtinId="6"/>
    <cellStyle name="Comma [0] 3" xfId="4" xr:uid="{00000000-0005-0000-0000-000001000000}"/>
    <cellStyle name="Normal" xfId="0" builtinId="0"/>
    <cellStyle name="Normal 3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AB179"/>
  <sheetViews>
    <sheetView tabSelected="1" topLeftCell="D1" zoomScale="60" zoomScaleNormal="60" workbookViewId="0">
      <pane ySplit="5" topLeftCell="A6" activePane="bottomLeft" state="frozen"/>
      <selection pane="bottomLeft" activeCell="A2" sqref="A2:V2"/>
    </sheetView>
  </sheetViews>
  <sheetFormatPr defaultRowHeight="15" x14ac:dyDescent="0.25"/>
  <cols>
    <col min="1" max="1" width="5" style="1" customWidth="1"/>
    <col min="2" max="2" width="14" customWidth="1"/>
    <col min="3" max="3" width="23.25" style="65" bestFit="1" customWidth="1"/>
    <col min="4" max="4" width="3.75" customWidth="1"/>
    <col min="5" max="5" width="27.75" customWidth="1"/>
    <col min="6" max="6" width="16.25" hidden="1" customWidth="1"/>
    <col min="7" max="9" width="15.625" customWidth="1"/>
    <col min="10" max="10" width="14.875" customWidth="1"/>
    <col min="11" max="19" width="15.625" customWidth="1"/>
    <col min="20" max="20" width="17.375" customWidth="1"/>
    <col min="21" max="21" width="13.625" style="4" customWidth="1"/>
    <col min="22" max="22" width="15" bestFit="1" customWidth="1"/>
    <col min="25" max="25" width="14.875" style="129" customWidth="1"/>
    <col min="26" max="26" width="17.25" style="129" customWidth="1"/>
    <col min="27" max="27" width="14.5" style="129" customWidth="1"/>
    <col min="28" max="28" width="9" style="129"/>
  </cols>
  <sheetData>
    <row r="1" spans="1:28" ht="18" x14ac:dyDescent="0.25">
      <c r="A1" s="137" t="s">
        <v>75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8" ht="18.75" thickBot="1" x14ac:dyDescent="0.3">
      <c r="A2" s="136" t="s">
        <v>135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 spans="1:28" ht="7.5" customHeight="1" thickTop="1" thickBot="1" x14ac:dyDescent="0.3">
      <c r="A3" s="5"/>
      <c r="B3" s="6"/>
      <c r="C3" s="5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8" s="39" customFormat="1" ht="15.75" thickBot="1" x14ac:dyDescent="0.3">
      <c r="A4" s="138" t="s">
        <v>0</v>
      </c>
      <c r="B4" s="138" t="s">
        <v>1</v>
      </c>
      <c r="C4" s="140"/>
      <c r="D4" s="138" t="s">
        <v>2</v>
      </c>
      <c r="E4" s="140"/>
      <c r="F4" s="142" t="s">
        <v>3</v>
      </c>
      <c r="G4" s="148" t="s">
        <v>68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50"/>
      <c r="S4" s="144" t="s">
        <v>5</v>
      </c>
      <c r="T4" s="144" t="s">
        <v>4</v>
      </c>
      <c r="U4" s="134" t="s">
        <v>69</v>
      </c>
      <c r="V4" s="146" t="s">
        <v>6</v>
      </c>
      <c r="Y4" s="130"/>
      <c r="Z4" s="130"/>
      <c r="AA4" s="130"/>
      <c r="AB4" s="130"/>
    </row>
    <row r="5" spans="1:28" s="39" customFormat="1" ht="15.75" thickBot="1" x14ac:dyDescent="0.3">
      <c r="A5" s="139"/>
      <c r="B5" s="139"/>
      <c r="C5" s="141"/>
      <c r="D5" s="139"/>
      <c r="E5" s="141"/>
      <c r="F5" s="143"/>
      <c r="G5" s="82" t="s">
        <v>79</v>
      </c>
      <c r="H5" s="82" t="s">
        <v>89</v>
      </c>
      <c r="I5" s="82" t="s">
        <v>91</v>
      </c>
      <c r="J5" s="82" t="s">
        <v>92</v>
      </c>
      <c r="K5" s="82" t="s">
        <v>93</v>
      </c>
      <c r="L5" s="82" t="s">
        <v>94</v>
      </c>
      <c r="M5" s="82" t="s">
        <v>95</v>
      </c>
      <c r="N5" s="82" t="s">
        <v>96</v>
      </c>
      <c r="O5" s="82" t="s">
        <v>97</v>
      </c>
      <c r="P5" s="89" t="s">
        <v>98</v>
      </c>
      <c r="Q5" s="89" t="s">
        <v>99</v>
      </c>
      <c r="R5" s="89" t="s">
        <v>100</v>
      </c>
      <c r="S5" s="145"/>
      <c r="T5" s="145"/>
      <c r="U5" s="135"/>
      <c r="V5" s="147"/>
      <c r="Y5" s="130"/>
      <c r="Z5" s="130"/>
      <c r="AA5" s="130"/>
      <c r="AB5" s="130"/>
    </row>
    <row r="6" spans="1:28" x14ac:dyDescent="0.25">
      <c r="A6" s="8"/>
      <c r="B6" s="9"/>
      <c r="C6" s="58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97"/>
      <c r="Q6" s="11"/>
      <c r="R6" s="105"/>
      <c r="S6" s="13"/>
      <c r="T6" s="13"/>
      <c r="U6" s="14"/>
      <c r="V6" s="13"/>
    </row>
    <row r="7" spans="1:28" x14ac:dyDescent="0.25">
      <c r="A7" s="15">
        <v>1</v>
      </c>
      <c r="B7" s="16" t="s">
        <v>76</v>
      </c>
      <c r="C7" s="59" t="s">
        <v>18</v>
      </c>
      <c r="D7" s="38" t="s">
        <v>7</v>
      </c>
      <c r="E7" s="17"/>
      <c r="F7" s="18" t="s">
        <v>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8"/>
      <c r="R7" s="16"/>
      <c r="S7" s="20"/>
      <c r="T7" s="20"/>
      <c r="U7" s="21"/>
      <c r="V7" s="20"/>
    </row>
    <row r="8" spans="1:28" x14ac:dyDescent="0.25">
      <c r="A8" s="15"/>
      <c r="B8" s="16" t="s">
        <v>9</v>
      </c>
      <c r="C8" s="59" t="s">
        <v>10</v>
      </c>
      <c r="D8" s="16"/>
      <c r="E8" s="17" t="s">
        <v>11</v>
      </c>
      <c r="F8" s="18" t="s">
        <v>12</v>
      </c>
      <c r="G8" s="22">
        <v>4400000</v>
      </c>
      <c r="H8" s="22">
        <v>1985000</v>
      </c>
      <c r="I8" s="22">
        <v>2050000</v>
      </c>
      <c r="J8" s="22">
        <v>1230000</v>
      </c>
      <c r="K8" s="22">
        <v>2695000</v>
      </c>
      <c r="L8" s="22">
        <v>2870000</v>
      </c>
      <c r="M8" s="22">
        <v>2410000</v>
      </c>
      <c r="N8" s="22">
        <v>2790000</v>
      </c>
      <c r="O8" s="22">
        <v>3105000</v>
      </c>
      <c r="P8" s="22">
        <v>4864000</v>
      </c>
      <c r="Q8" s="90">
        <v>4950000</v>
      </c>
      <c r="R8" s="106">
        <v>460000</v>
      </c>
      <c r="S8" s="23">
        <f>SUM(G8:R8)</f>
        <v>33809000</v>
      </c>
      <c r="T8" s="125">
        <v>40522240</v>
      </c>
      <c r="U8" s="21">
        <f>S8/T8</f>
        <v>0.83433196190536363</v>
      </c>
      <c r="V8" s="24">
        <f>S8/12</f>
        <v>2817416.6666666665</v>
      </c>
    </row>
    <row r="9" spans="1:28" x14ac:dyDescent="0.25">
      <c r="A9" s="15"/>
      <c r="B9" s="16"/>
      <c r="C9" s="59" t="s">
        <v>77</v>
      </c>
      <c r="D9" s="16"/>
      <c r="E9" s="17" t="s">
        <v>13</v>
      </c>
      <c r="F9" s="18"/>
      <c r="G9" s="22">
        <v>8538700</v>
      </c>
      <c r="H9" s="22">
        <v>5719000</v>
      </c>
      <c r="I9" s="22">
        <v>4693000</v>
      </c>
      <c r="J9" s="22">
        <v>6213000</v>
      </c>
      <c r="K9" s="22">
        <v>8014500</v>
      </c>
      <c r="L9" s="22">
        <v>7870000</v>
      </c>
      <c r="M9" s="22">
        <v>4503500</v>
      </c>
      <c r="N9" s="22">
        <v>4299000</v>
      </c>
      <c r="O9" s="22">
        <v>3855000</v>
      </c>
      <c r="P9" s="22">
        <v>4938200</v>
      </c>
      <c r="Q9" s="90">
        <v>2771000</v>
      </c>
      <c r="R9" s="106">
        <v>5073000</v>
      </c>
      <c r="S9" s="23">
        <f>SUM(G9:R9)</f>
        <v>66487900</v>
      </c>
      <c r="T9" s="126">
        <v>106726335</v>
      </c>
      <c r="U9" s="21">
        <f>S9/T9</f>
        <v>0.62297557580329166</v>
      </c>
      <c r="V9" s="24">
        <f t="shared" ref="V9:V14" si="0">S9/12</f>
        <v>5540658.333333333</v>
      </c>
    </row>
    <row r="10" spans="1:28" x14ac:dyDescent="0.25">
      <c r="A10" s="15"/>
      <c r="B10" s="16"/>
      <c r="C10" s="59" t="s">
        <v>117</v>
      </c>
      <c r="D10" s="16" t="s">
        <v>85</v>
      </c>
      <c r="E10" s="17" t="s">
        <v>14</v>
      </c>
      <c r="F10" s="18"/>
      <c r="G10" s="22">
        <v>6691000</v>
      </c>
      <c r="H10" s="22">
        <v>7340000</v>
      </c>
      <c r="I10" s="22">
        <v>10131000</v>
      </c>
      <c r="J10" s="22">
        <v>4157000</v>
      </c>
      <c r="K10" s="22">
        <v>8386000</v>
      </c>
      <c r="L10" s="22">
        <v>7377000</v>
      </c>
      <c r="M10" s="22">
        <v>4857000</v>
      </c>
      <c r="N10" s="22">
        <v>7260000</v>
      </c>
      <c r="O10" s="22">
        <v>6060000</v>
      </c>
      <c r="P10" s="22">
        <v>4382000</v>
      </c>
      <c r="Q10" s="90">
        <v>4285000</v>
      </c>
      <c r="R10" s="106">
        <v>1100000</v>
      </c>
      <c r="S10" s="23">
        <f t="shared" ref="S10:S14" si="1">SUM(G10:R10)</f>
        <v>72026000</v>
      </c>
      <c r="T10" s="126">
        <v>114774475</v>
      </c>
      <c r="U10" s="21">
        <f t="shared" ref="U10:U14" si="2">S10/T10</f>
        <v>0.62754371126507003</v>
      </c>
      <c r="V10" s="24">
        <f t="shared" si="0"/>
        <v>6002166.666666667</v>
      </c>
    </row>
    <row r="11" spans="1:28" x14ac:dyDescent="0.25">
      <c r="A11" s="15"/>
      <c r="B11" s="16"/>
      <c r="C11" s="59"/>
      <c r="D11" s="16"/>
      <c r="E11" s="17" t="s">
        <v>15</v>
      </c>
      <c r="F11" s="18"/>
      <c r="G11" s="22">
        <v>6420000</v>
      </c>
      <c r="H11" s="22">
        <v>5105500</v>
      </c>
      <c r="I11" s="22">
        <v>6847000</v>
      </c>
      <c r="J11" s="22">
        <v>5504500</v>
      </c>
      <c r="K11" s="22">
        <v>7253000</v>
      </c>
      <c r="L11" s="22">
        <v>6216000</v>
      </c>
      <c r="M11" s="22">
        <v>5650000</v>
      </c>
      <c r="N11" s="22">
        <v>3741000</v>
      </c>
      <c r="O11" s="22">
        <v>5798000</v>
      </c>
      <c r="P11" s="22">
        <v>5990000</v>
      </c>
      <c r="Q11" s="90">
        <v>2971000</v>
      </c>
      <c r="R11" s="106">
        <v>1435000</v>
      </c>
      <c r="S11" s="23">
        <f t="shared" si="1"/>
        <v>62931000</v>
      </c>
      <c r="T11" s="126">
        <v>96538518</v>
      </c>
      <c r="U11" s="21">
        <f>S11/T11</f>
        <v>0.65187451914271155</v>
      </c>
      <c r="V11" s="24">
        <f t="shared" si="0"/>
        <v>5244250</v>
      </c>
    </row>
    <row r="12" spans="1:28" x14ac:dyDescent="0.25">
      <c r="A12" s="15"/>
      <c r="B12" s="16"/>
      <c r="C12" s="59"/>
      <c r="D12" s="16"/>
      <c r="E12" s="17" t="s">
        <v>16</v>
      </c>
      <c r="F12" s="18"/>
      <c r="G12" s="22">
        <v>8898000</v>
      </c>
      <c r="H12" s="22">
        <v>10308000</v>
      </c>
      <c r="I12" s="22">
        <v>8660500</v>
      </c>
      <c r="J12" s="22">
        <v>8666500</v>
      </c>
      <c r="K12" s="22">
        <v>7041000</v>
      </c>
      <c r="L12" s="22">
        <v>7373500</v>
      </c>
      <c r="M12" s="22">
        <v>7058500</v>
      </c>
      <c r="N12" s="22">
        <v>5488000</v>
      </c>
      <c r="O12" s="22">
        <v>6486000</v>
      </c>
      <c r="P12" s="22">
        <v>8343500</v>
      </c>
      <c r="Q12" s="90">
        <v>9512500</v>
      </c>
      <c r="R12" s="106">
        <v>7672000</v>
      </c>
      <c r="S12" s="23">
        <f t="shared" si="1"/>
        <v>95508000</v>
      </c>
      <c r="T12" s="126">
        <v>126112678</v>
      </c>
      <c r="U12" s="21">
        <f t="shared" si="2"/>
        <v>0.75732274910536745</v>
      </c>
      <c r="V12" s="24">
        <f t="shared" si="0"/>
        <v>7959000</v>
      </c>
    </row>
    <row r="13" spans="1:28" x14ac:dyDescent="0.25">
      <c r="A13" s="15"/>
      <c r="B13" s="16"/>
      <c r="C13" s="59"/>
      <c r="D13" s="16"/>
      <c r="E13" s="17" t="s">
        <v>43</v>
      </c>
      <c r="F13" s="18"/>
      <c r="G13" s="33">
        <v>7078000</v>
      </c>
      <c r="H13" s="22">
        <v>6932600</v>
      </c>
      <c r="I13" s="22">
        <v>8423000</v>
      </c>
      <c r="J13" s="22">
        <v>6202000</v>
      </c>
      <c r="K13" s="22">
        <v>11114500</v>
      </c>
      <c r="L13" s="22">
        <v>6909500</v>
      </c>
      <c r="M13" s="22">
        <v>5180500</v>
      </c>
      <c r="N13" s="22">
        <v>2791500</v>
      </c>
      <c r="O13" s="22">
        <v>3834500</v>
      </c>
      <c r="P13" s="22">
        <v>10844500</v>
      </c>
      <c r="Q13" s="90">
        <v>14324000</v>
      </c>
      <c r="R13" s="106">
        <v>9266500</v>
      </c>
      <c r="S13" s="23">
        <f t="shared" si="1"/>
        <v>92901100</v>
      </c>
      <c r="T13" s="126">
        <v>151458847</v>
      </c>
      <c r="U13" s="14">
        <f>S13/T13</f>
        <v>0.6133751962339975</v>
      </c>
      <c r="V13" s="24">
        <f t="shared" si="0"/>
        <v>7741758.333333333</v>
      </c>
    </row>
    <row r="14" spans="1:28" ht="15.75" thickBot="1" x14ac:dyDescent="0.3">
      <c r="A14" s="15"/>
      <c r="B14" s="16"/>
      <c r="C14" s="59"/>
      <c r="D14" s="16"/>
      <c r="E14" s="17" t="s">
        <v>17</v>
      </c>
      <c r="F14" s="18"/>
      <c r="G14" s="25">
        <v>522000</v>
      </c>
      <c r="H14" s="25">
        <v>1570000</v>
      </c>
      <c r="I14" s="25">
        <v>935000</v>
      </c>
      <c r="J14" s="25">
        <v>450000</v>
      </c>
      <c r="K14" s="25">
        <v>1145000</v>
      </c>
      <c r="L14" s="25">
        <v>400000</v>
      </c>
      <c r="M14" s="25">
        <v>0</v>
      </c>
      <c r="N14" s="25">
        <v>620000</v>
      </c>
      <c r="O14" s="25">
        <v>300000</v>
      </c>
      <c r="P14" s="25">
        <v>1150000</v>
      </c>
      <c r="Q14" s="91">
        <v>422000</v>
      </c>
      <c r="R14" s="107">
        <v>567000</v>
      </c>
      <c r="S14" s="23">
        <f t="shared" si="1"/>
        <v>8081000</v>
      </c>
      <c r="T14" s="127">
        <v>15823450</v>
      </c>
      <c r="U14" s="21">
        <f t="shared" si="2"/>
        <v>0.5106977302674196</v>
      </c>
      <c r="V14" s="24">
        <f t="shared" si="0"/>
        <v>673416.66666666663</v>
      </c>
    </row>
    <row r="15" spans="1:28" s="51" customFormat="1" ht="15.75" thickBot="1" x14ac:dyDescent="0.3">
      <c r="A15" s="43"/>
      <c r="B15" s="44"/>
      <c r="C15" s="60"/>
      <c r="D15" s="44"/>
      <c r="E15" s="45"/>
      <c r="F15" s="46"/>
      <c r="G15" s="47">
        <f t="shared" ref="G15:I15" si="3">SUM(G8:G14)</f>
        <v>42547700</v>
      </c>
      <c r="H15" s="47">
        <f t="shared" si="3"/>
        <v>38960100</v>
      </c>
      <c r="I15" s="47">
        <f t="shared" si="3"/>
        <v>41739500</v>
      </c>
      <c r="J15" s="47">
        <f t="shared" ref="J15:N15" si="4">SUM(J8:J14)</f>
        <v>32423000</v>
      </c>
      <c r="K15" s="47">
        <f t="shared" si="4"/>
        <v>45649000</v>
      </c>
      <c r="L15" s="47">
        <f t="shared" si="4"/>
        <v>39016000</v>
      </c>
      <c r="M15" s="47">
        <f t="shared" si="4"/>
        <v>29659500</v>
      </c>
      <c r="N15" s="47">
        <f t="shared" si="4"/>
        <v>26989500</v>
      </c>
      <c r="O15" s="47">
        <f t="shared" ref="O15:T15" si="5">SUM(O8:O14)</f>
        <v>29438500</v>
      </c>
      <c r="P15" s="47">
        <f t="shared" si="5"/>
        <v>40512200</v>
      </c>
      <c r="Q15" s="103">
        <f t="shared" si="5"/>
        <v>39235500</v>
      </c>
      <c r="R15" s="47">
        <f>SUM(R8:R14)</f>
        <v>25573500</v>
      </c>
      <c r="S15" s="48">
        <f t="shared" si="5"/>
        <v>431744000</v>
      </c>
      <c r="T15" s="48">
        <f t="shared" si="5"/>
        <v>651956543</v>
      </c>
      <c r="U15" s="49">
        <f>S15/T15</f>
        <v>0.66222818780729686</v>
      </c>
      <c r="V15" s="50">
        <f>SUM(V8:V14)</f>
        <v>35978666.666666664</v>
      </c>
      <c r="Y15" s="131"/>
      <c r="Z15" s="131"/>
      <c r="AA15" s="129"/>
      <c r="AB15" s="131"/>
    </row>
    <row r="16" spans="1:28" x14ac:dyDescent="0.25">
      <c r="A16" s="8"/>
      <c r="B16" s="9"/>
      <c r="C16" s="58"/>
      <c r="D16" s="9"/>
      <c r="E16" s="1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92"/>
      <c r="R16" s="108"/>
      <c r="S16" s="13"/>
      <c r="T16" s="13"/>
      <c r="U16" s="14"/>
      <c r="V16" s="13"/>
    </row>
    <row r="17" spans="1:28" x14ac:dyDescent="0.25">
      <c r="A17" s="15">
        <v>2</v>
      </c>
      <c r="B17" s="16" t="s">
        <v>76</v>
      </c>
      <c r="C17" s="59" t="s">
        <v>25</v>
      </c>
      <c r="D17" s="38" t="s">
        <v>87</v>
      </c>
      <c r="E17" s="17"/>
      <c r="F17" s="18" t="s">
        <v>8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6"/>
      <c r="S17" s="20"/>
      <c r="T17" s="115"/>
      <c r="U17" s="21"/>
      <c r="V17" s="20"/>
    </row>
    <row r="18" spans="1:28" x14ac:dyDescent="0.25">
      <c r="A18" s="15"/>
      <c r="B18" s="16" t="s">
        <v>9</v>
      </c>
      <c r="C18" s="59" t="s">
        <v>19</v>
      </c>
      <c r="D18" s="16"/>
      <c r="E18" s="17" t="s">
        <v>70</v>
      </c>
      <c r="F18" s="18" t="s">
        <v>12</v>
      </c>
      <c r="G18" s="22">
        <v>24173681</v>
      </c>
      <c r="H18" s="22">
        <v>19375000</v>
      </c>
      <c r="I18" s="22">
        <v>17885000</v>
      </c>
      <c r="J18" s="22">
        <v>18815000</v>
      </c>
      <c r="K18" s="22">
        <v>20008500</v>
      </c>
      <c r="L18" s="22">
        <v>16830000</v>
      </c>
      <c r="M18" s="113">
        <v>15737000</v>
      </c>
      <c r="N18" s="22">
        <v>13903000</v>
      </c>
      <c r="O18" s="22">
        <v>12939500</v>
      </c>
      <c r="P18" s="98">
        <v>17720000</v>
      </c>
      <c r="Q18" s="90">
        <v>8351000</v>
      </c>
      <c r="R18" s="106">
        <v>9305000</v>
      </c>
      <c r="S18" s="23">
        <f>SUM(G18:R18)</f>
        <v>195042681</v>
      </c>
      <c r="T18" s="116">
        <v>203243155</v>
      </c>
      <c r="U18" s="21">
        <f>S18/T18</f>
        <v>0.95965190562014258</v>
      </c>
      <c r="V18" s="24">
        <f t="shared" ref="V18:V25" si="6">S18/12</f>
        <v>16253556.75</v>
      </c>
    </row>
    <row r="19" spans="1:28" x14ac:dyDescent="0.25">
      <c r="A19" s="15"/>
      <c r="B19" s="16"/>
      <c r="C19" s="59" t="s">
        <v>34</v>
      </c>
      <c r="D19" s="16"/>
      <c r="E19" s="17" t="s">
        <v>71</v>
      </c>
      <c r="F19" s="18"/>
      <c r="G19" s="22">
        <v>21522500</v>
      </c>
      <c r="H19" s="22">
        <v>17870000</v>
      </c>
      <c r="I19" s="22">
        <v>30070000</v>
      </c>
      <c r="J19" s="22">
        <v>19135000</v>
      </c>
      <c r="K19" s="22">
        <v>20814500</v>
      </c>
      <c r="L19" s="22">
        <v>22064500</v>
      </c>
      <c r="M19" s="22">
        <v>11489500</v>
      </c>
      <c r="N19" s="22">
        <v>16832500</v>
      </c>
      <c r="O19" s="22">
        <v>8018000</v>
      </c>
      <c r="P19" s="98">
        <v>11212500</v>
      </c>
      <c r="Q19" s="90">
        <v>15383000</v>
      </c>
      <c r="R19" s="106">
        <v>15374500</v>
      </c>
      <c r="S19" s="23">
        <f t="shared" ref="S19:S25" si="7">SUM(G19:R19)</f>
        <v>209786500</v>
      </c>
      <c r="T19" s="116">
        <v>457325500</v>
      </c>
      <c r="U19" s="21">
        <f>S19/T19</f>
        <v>0.45872469389964043</v>
      </c>
      <c r="V19" s="24">
        <f t="shared" si="6"/>
        <v>17482208.333333332</v>
      </c>
    </row>
    <row r="20" spans="1:28" x14ac:dyDescent="0.25">
      <c r="A20" s="15"/>
      <c r="B20" s="16"/>
      <c r="C20" s="59" t="s">
        <v>118</v>
      </c>
      <c r="D20" s="16"/>
      <c r="E20" s="17" t="s">
        <v>20</v>
      </c>
      <c r="F20" s="18" t="s">
        <v>12</v>
      </c>
      <c r="G20" s="22">
        <v>1875000</v>
      </c>
      <c r="H20" s="22">
        <v>1415000</v>
      </c>
      <c r="I20" s="22">
        <v>1225000</v>
      </c>
      <c r="J20" s="22">
        <v>1982500</v>
      </c>
      <c r="K20" s="22">
        <v>650000</v>
      </c>
      <c r="L20" s="22">
        <v>655000</v>
      </c>
      <c r="M20" s="22">
        <v>242000</v>
      </c>
      <c r="N20" s="22">
        <v>1192000</v>
      </c>
      <c r="O20" s="22">
        <v>50000</v>
      </c>
      <c r="P20" s="98">
        <v>0</v>
      </c>
      <c r="Q20" s="90">
        <v>1290000</v>
      </c>
      <c r="R20" s="106">
        <v>705000</v>
      </c>
      <c r="S20" s="23">
        <f>SUM(G20:R20)</f>
        <v>11281500</v>
      </c>
      <c r="T20" s="116">
        <v>4074250</v>
      </c>
      <c r="U20" s="21">
        <f>S20/T20</f>
        <v>2.768975885132233</v>
      </c>
      <c r="V20" s="24">
        <f t="shared" si="6"/>
        <v>940125</v>
      </c>
    </row>
    <row r="21" spans="1:28" x14ac:dyDescent="0.25">
      <c r="A21" s="15"/>
      <c r="B21" s="16"/>
      <c r="C21" s="59"/>
      <c r="D21" s="16"/>
      <c r="E21" s="17" t="s">
        <v>101</v>
      </c>
      <c r="F21" s="18"/>
      <c r="G21" s="22">
        <v>0</v>
      </c>
      <c r="H21" s="22">
        <v>540000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98">
        <v>0</v>
      </c>
      <c r="Q21" s="90">
        <v>0</v>
      </c>
      <c r="R21" s="106">
        <v>0</v>
      </c>
      <c r="S21" s="23">
        <f>SUM(G21:R21)</f>
        <v>540000</v>
      </c>
      <c r="T21" s="116">
        <v>517499.99999999994</v>
      </c>
      <c r="U21" s="21">
        <f>S21/T21</f>
        <v>1.0434782608695654</v>
      </c>
      <c r="V21" s="24">
        <f t="shared" si="6"/>
        <v>45000</v>
      </c>
    </row>
    <row r="22" spans="1:28" x14ac:dyDescent="0.25">
      <c r="A22" s="15"/>
      <c r="B22" s="16"/>
      <c r="C22" s="59"/>
      <c r="D22" s="16"/>
      <c r="E22" s="17" t="s">
        <v>21</v>
      </c>
      <c r="F22" s="18"/>
      <c r="G22" s="22">
        <v>22865000</v>
      </c>
      <c r="H22" s="22">
        <v>23323000</v>
      </c>
      <c r="I22" s="22">
        <v>22474500</v>
      </c>
      <c r="J22" s="22">
        <v>19571000</v>
      </c>
      <c r="K22" s="22">
        <v>28680000</v>
      </c>
      <c r="L22" s="22">
        <v>23184000</v>
      </c>
      <c r="M22" s="22">
        <v>18300050</v>
      </c>
      <c r="N22" s="22">
        <v>11376000</v>
      </c>
      <c r="O22" s="22">
        <v>13971490</v>
      </c>
      <c r="P22" s="98">
        <v>11248500</v>
      </c>
      <c r="Q22" s="90">
        <v>15225500</v>
      </c>
      <c r="R22" s="106">
        <v>17340000</v>
      </c>
      <c r="S22" s="23">
        <f t="shared" si="7"/>
        <v>227559040</v>
      </c>
      <c r="T22" s="116">
        <v>406392500</v>
      </c>
      <c r="U22" s="21">
        <f>S22/T22</f>
        <v>0.55994891638010047</v>
      </c>
      <c r="V22" s="24">
        <f t="shared" si="6"/>
        <v>18963253.333333332</v>
      </c>
    </row>
    <row r="23" spans="1:28" x14ac:dyDescent="0.25">
      <c r="A23" s="15"/>
      <c r="B23" s="16"/>
      <c r="C23" s="59"/>
      <c r="D23" s="16"/>
      <c r="E23" s="17" t="s">
        <v>22</v>
      </c>
      <c r="F23" s="18"/>
      <c r="G23" s="22">
        <v>1660000</v>
      </c>
      <c r="H23" s="22">
        <v>1085000</v>
      </c>
      <c r="I23" s="22">
        <v>1500000</v>
      </c>
      <c r="J23" s="22">
        <v>870000</v>
      </c>
      <c r="K23" s="22">
        <v>1080000</v>
      </c>
      <c r="L23" s="22">
        <v>630000</v>
      </c>
      <c r="M23" s="22">
        <v>180000</v>
      </c>
      <c r="N23" s="22">
        <v>510000</v>
      </c>
      <c r="O23" s="22">
        <v>99600</v>
      </c>
      <c r="P23" s="98">
        <v>925000</v>
      </c>
      <c r="Q23" s="90">
        <v>0</v>
      </c>
      <c r="R23" s="106">
        <v>1100000</v>
      </c>
      <c r="S23" s="23">
        <f t="shared" si="7"/>
        <v>9639600</v>
      </c>
      <c r="T23" s="118">
        <v>8400000</v>
      </c>
      <c r="U23" s="21">
        <f t="shared" ref="U23:U25" si="8">S23/T23</f>
        <v>1.1475714285714285</v>
      </c>
      <c r="V23" s="24">
        <f t="shared" si="6"/>
        <v>803300</v>
      </c>
    </row>
    <row r="24" spans="1:28" x14ac:dyDescent="0.25">
      <c r="A24" s="26"/>
      <c r="B24" s="27"/>
      <c r="C24" s="61"/>
      <c r="D24" s="27"/>
      <c r="E24" s="28" t="s">
        <v>23</v>
      </c>
      <c r="F24" s="29"/>
      <c r="G24" s="32">
        <v>4471000</v>
      </c>
      <c r="H24" s="32">
        <v>5190000</v>
      </c>
      <c r="I24" s="32">
        <v>5012500</v>
      </c>
      <c r="J24" s="32">
        <v>3340000</v>
      </c>
      <c r="K24" s="32">
        <v>5340000</v>
      </c>
      <c r="L24" s="32">
        <v>3675000</v>
      </c>
      <c r="M24" s="32">
        <v>3225000</v>
      </c>
      <c r="N24" s="32">
        <v>3315000</v>
      </c>
      <c r="O24" s="32">
        <v>2400000</v>
      </c>
      <c r="P24" s="99">
        <v>2650000</v>
      </c>
      <c r="Q24" s="93">
        <v>1675000</v>
      </c>
      <c r="R24" s="109">
        <v>4887000</v>
      </c>
      <c r="S24" s="23">
        <f t="shared" ref="S24" si="9">SUM(G24:R24)</f>
        <v>45180500</v>
      </c>
      <c r="T24" s="118">
        <v>49522500</v>
      </c>
      <c r="U24" s="21">
        <f t="shared" ref="U24" si="10">S24/T24</f>
        <v>0.91232268160936947</v>
      </c>
      <c r="V24" s="24">
        <f t="shared" si="6"/>
        <v>3765041.6666666665</v>
      </c>
    </row>
    <row r="25" spans="1:28" ht="15.75" thickBot="1" x14ac:dyDescent="0.3">
      <c r="A25" s="26"/>
      <c r="B25" s="27"/>
      <c r="C25" s="61"/>
      <c r="D25" s="27"/>
      <c r="E25" s="28" t="s">
        <v>54</v>
      </c>
      <c r="F25" s="29"/>
      <c r="G25" s="32">
        <v>395000</v>
      </c>
      <c r="H25" s="32">
        <v>1200000</v>
      </c>
      <c r="I25" s="32">
        <v>25000</v>
      </c>
      <c r="J25" s="32">
        <v>205000</v>
      </c>
      <c r="K25" s="32">
        <v>460000</v>
      </c>
      <c r="L25" s="32">
        <v>65000</v>
      </c>
      <c r="M25" s="32">
        <v>100000</v>
      </c>
      <c r="N25" s="32">
        <v>25000</v>
      </c>
      <c r="O25" s="32">
        <v>797500</v>
      </c>
      <c r="P25" s="99">
        <v>330300</v>
      </c>
      <c r="Q25" s="93">
        <v>865000</v>
      </c>
      <c r="R25" s="109">
        <v>422500</v>
      </c>
      <c r="S25" s="23">
        <f t="shared" si="7"/>
        <v>4890300</v>
      </c>
      <c r="T25" s="117">
        <v>5500000</v>
      </c>
      <c r="U25" s="21">
        <f t="shared" si="8"/>
        <v>0.88914545454545457</v>
      </c>
      <c r="V25" s="24">
        <f t="shared" si="6"/>
        <v>407525</v>
      </c>
    </row>
    <row r="26" spans="1:28" s="51" customFormat="1" ht="15.75" thickBot="1" x14ac:dyDescent="0.3">
      <c r="A26" s="43"/>
      <c r="B26" s="44"/>
      <c r="C26" s="60"/>
      <c r="D26" s="44"/>
      <c r="E26" s="45"/>
      <c r="F26" s="46"/>
      <c r="G26" s="78">
        <f t="shared" ref="G26:S26" si="11">SUM(G18:G25)</f>
        <v>76962181</v>
      </c>
      <c r="H26" s="78">
        <f t="shared" si="11"/>
        <v>69998000</v>
      </c>
      <c r="I26" s="78">
        <f t="shared" si="11"/>
        <v>78192000</v>
      </c>
      <c r="J26" s="78">
        <f t="shared" si="11"/>
        <v>63918500</v>
      </c>
      <c r="K26" s="78">
        <f t="shared" si="11"/>
        <v>77033000</v>
      </c>
      <c r="L26" s="78">
        <f t="shared" si="11"/>
        <v>67103500</v>
      </c>
      <c r="M26" s="78">
        <f t="shared" si="11"/>
        <v>49273550</v>
      </c>
      <c r="N26" s="78">
        <f t="shared" si="11"/>
        <v>47153500</v>
      </c>
      <c r="O26" s="78">
        <f t="shared" si="11"/>
        <v>38276090</v>
      </c>
      <c r="P26" s="52">
        <f t="shared" si="11"/>
        <v>44086300</v>
      </c>
      <c r="Q26" s="96">
        <f t="shared" si="11"/>
        <v>42789500</v>
      </c>
      <c r="R26" s="78">
        <f t="shared" si="11"/>
        <v>49134000</v>
      </c>
      <c r="S26" s="48">
        <f t="shared" si="11"/>
        <v>703920121</v>
      </c>
      <c r="T26" s="48">
        <f>SUM(T18:T25)</f>
        <v>1134975405</v>
      </c>
      <c r="U26" s="49">
        <f>S26/T26</f>
        <v>0.62020737885505106</v>
      </c>
      <c r="V26" s="48">
        <f>SUM(V18:V25)</f>
        <v>58660010.083333321</v>
      </c>
      <c r="Y26" s="131"/>
      <c r="Z26" s="131"/>
      <c r="AA26" s="129"/>
      <c r="AB26" s="131"/>
    </row>
    <row r="27" spans="1:28" x14ac:dyDescent="0.25">
      <c r="A27" s="8"/>
      <c r="B27" s="9"/>
      <c r="C27" s="58"/>
      <c r="D27" s="9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0"/>
      <c r="Q27" s="11"/>
      <c r="R27" s="9"/>
      <c r="S27" s="13"/>
      <c r="T27" s="13"/>
      <c r="U27" s="14"/>
      <c r="V27" s="13"/>
    </row>
    <row r="28" spans="1:28" x14ac:dyDescent="0.25">
      <c r="A28" s="15">
        <v>3</v>
      </c>
      <c r="B28" s="16" t="s">
        <v>76</v>
      </c>
      <c r="C28" s="59" t="s">
        <v>32</v>
      </c>
      <c r="D28" s="38" t="s">
        <v>33</v>
      </c>
      <c r="E28" s="17"/>
      <c r="F28" s="18" t="s">
        <v>8</v>
      </c>
      <c r="G28" s="19"/>
      <c r="H28" s="19"/>
      <c r="I28" s="19"/>
      <c r="J28" s="19"/>
      <c r="K28" s="19"/>
      <c r="L28" s="19"/>
      <c r="M28" s="19"/>
      <c r="N28" s="19"/>
      <c r="O28" s="19"/>
      <c r="P28" s="17"/>
      <c r="Q28" s="18"/>
      <c r="R28" s="16"/>
      <c r="S28" s="20"/>
      <c r="T28" s="115"/>
      <c r="U28" s="21"/>
      <c r="V28" s="20"/>
    </row>
    <row r="29" spans="1:28" x14ac:dyDescent="0.25">
      <c r="A29" s="15"/>
      <c r="B29" s="16" t="s">
        <v>9</v>
      </c>
      <c r="C29" s="59" t="s">
        <v>119</v>
      </c>
      <c r="D29" s="16"/>
      <c r="E29" s="17" t="s">
        <v>35</v>
      </c>
      <c r="F29" s="18" t="s">
        <v>12</v>
      </c>
      <c r="G29" s="22">
        <v>18351454</v>
      </c>
      <c r="H29" s="22">
        <v>14064000</v>
      </c>
      <c r="I29" s="22">
        <v>19216500</v>
      </c>
      <c r="J29" s="22">
        <v>15511000</v>
      </c>
      <c r="K29" s="22">
        <v>15029000</v>
      </c>
      <c r="L29" s="22">
        <v>10731500</v>
      </c>
      <c r="M29" s="22">
        <v>10563000</v>
      </c>
      <c r="N29" s="22">
        <v>10243000</v>
      </c>
      <c r="O29" s="22">
        <v>11160500</v>
      </c>
      <c r="P29" s="98">
        <v>9955500</v>
      </c>
      <c r="Q29" s="90">
        <v>12087078</v>
      </c>
      <c r="R29" s="106">
        <v>10744000</v>
      </c>
      <c r="S29" s="23">
        <f>SUM(G29:R29)</f>
        <v>157656532</v>
      </c>
      <c r="T29" s="116">
        <v>297715213</v>
      </c>
      <c r="U29" s="21">
        <f t="shared" ref="U29:U36" si="12">S29/T29</f>
        <v>0.52955484004776066</v>
      </c>
      <c r="V29" s="24">
        <f t="shared" ref="V29:V36" si="13">S29/12</f>
        <v>13138044.333333334</v>
      </c>
    </row>
    <row r="30" spans="1:28" x14ac:dyDescent="0.25">
      <c r="A30" s="15"/>
      <c r="B30" s="16"/>
      <c r="C30" s="59" t="s">
        <v>121</v>
      </c>
      <c r="D30" s="16"/>
      <c r="E30" s="17" t="s">
        <v>36</v>
      </c>
      <c r="F30" s="18" t="s">
        <v>12</v>
      </c>
      <c r="G30" s="22">
        <v>10405362</v>
      </c>
      <c r="H30" s="22">
        <v>8247500</v>
      </c>
      <c r="I30" s="22">
        <v>8149500</v>
      </c>
      <c r="J30" s="22">
        <v>8635000</v>
      </c>
      <c r="K30" s="22">
        <v>9826500</v>
      </c>
      <c r="L30" s="22">
        <v>7818000</v>
      </c>
      <c r="M30" s="22">
        <v>4597500</v>
      </c>
      <c r="N30" s="22">
        <v>8501500</v>
      </c>
      <c r="O30" s="22">
        <v>8085500</v>
      </c>
      <c r="P30" s="98">
        <v>8989000</v>
      </c>
      <c r="Q30" s="90">
        <v>8950000</v>
      </c>
      <c r="R30" s="106">
        <v>10676000</v>
      </c>
      <c r="S30" s="23">
        <f>SUM(G30:R30)</f>
        <v>102881362</v>
      </c>
      <c r="T30" s="116">
        <v>244977508</v>
      </c>
      <c r="U30" s="21">
        <f t="shared" si="12"/>
        <v>0.41996248080048232</v>
      </c>
      <c r="V30" s="24">
        <f t="shared" si="13"/>
        <v>8573446.833333334</v>
      </c>
    </row>
    <row r="31" spans="1:28" x14ac:dyDescent="0.25">
      <c r="A31" s="15"/>
      <c r="B31" s="16"/>
      <c r="C31" s="59" t="s">
        <v>120</v>
      </c>
      <c r="D31" s="16"/>
      <c r="E31" s="17" t="s">
        <v>37</v>
      </c>
      <c r="F31" s="18" t="s">
        <v>12</v>
      </c>
      <c r="G31" s="22">
        <v>7576000</v>
      </c>
      <c r="H31" s="22">
        <v>4165000</v>
      </c>
      <c r="I31" s="22">
        <v>5573000</v>
      </c>
      <c r="J31" s="22">
        <v>2762000</v>
      </c>
      <c r="K31" s="22">
        <v>3217000</v>
      </c>
      <c r="L31" s="22">
        <v>7575000</v>
      </c>
      <c r="M31" s="22">
        <v>4595000</v>
      </c>
      <c r="N31" s="22">
        <v>2582000</v>
      </c>
      <c r="O31" s="22">
        <v>2440000</v>
      </c>
      <c r="P31" s="98">
        <v>2886000</v>
      </c>
      <c r="Q31" s="90">
        <v>4424000</v>
      </c>
      <c r="R31" s="106">
        <v>2040000</v>
      </c>
      <c r="S31" s="23">
        <f t="shared" ref="S31:S36" si="14">SUM(G31:R31)</f>
        <v>49835000</v>
      </c>
      <c r="T31" s="116">
        <v>150421196</v>
      </c>
      <c r="U31" s="21">
        <f t="shared" si="12"/>
        <v>0.33130304322271176</v>
      </c>
      <c r="V31" s="24">
        <f t="shared" si="13"/>
        <v>4152916.6666666665</v>
      </c>
    </row>
    <row r="32" spans="1:28" x14ac:dyDescent="0.25">
      <c r="A32" s="15"/>
      <c r="B32" s="16"/>
      <c r="C32" s="59"/>
      <c r="D32" s="16"/>
      <c r="E32" s="17" t="s">
        <v>38</v>
      </c>
      <c r="F32" s="18"/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98">
        <v>0</v>
      </c>
      <c r="Q32" s="90">
        <v>0</v>
      </c>
      <c r="R32" s="106">
        <v>0</v>
      </c>
      <c r="S32" s="23">
        <f t="shared" si="14"/>
        <v>0</v>
      </c>
      <c r="T32" s="116">
        <v>0</v>
      </c>
      <c r="U32" s="21" t="e">
        <f t="shared" si="12"/>
        <v>#DIV/0!</v>
      </c>
      <c r="V32" s="24">
        <f t="shared" si="13"/>
        <v>0</v>
      </c>
    </row>
    <row r="33" spans="1:28" x14ac:dyDescent="0.25">
      <c r="A33" s="15"/>
      <c r="B33" s="16"/>
      <c r="C33" s="59"/>
      <c r="D33" s="16"/>
      <c r="E33" s="17" t="s">
        <v>39</v>
      </c>
      <c r="F33" s="18"/>
      <c r="G33" s="22">
        <v>14107454</v>
      </c>
      <c r="H33" s="22">
        <v>10941000</v>
      </c>
      <c r="I33" s="22">
        <v>10786000</v>
      </c>
      <c r="J33" s="22">
        <v>7570000</v>
      </c>
      <c r="K33" s="22">
        <v>11189000</v>
      </c>
      <c r="L33" s="22">
        <v>11219000</v>
      </c>
      <c r="M33" s="22">
        <v>7454000</v>
      </c>
      <c r="N33" s="22">
        <v>8028000</v>
      </c>
      <c r="O33" s="22">
        <v>7363000</v>
      </c>
      <c r="P33" s="98">
        <v>14061000</v>
      </c>
      <c r="Q33" s="90">
        <v>11904000</v>
      </c>
      <c r="R33" s="106">
        <v>16434000</v>
      </c>
      <c r="S33" s="23">
        <f t="shared" si="14"/>
        <v>131056454</v>
      </c>
      <c r="T33" s="116">
        <v>284769809.94999999</v>
      </c>
      <c r="U33" s="21">
        <f t="shared" si="12"/>
        <v>0.460218918652265</v>
      </c>
      <c r="V33" s="24">
        <f t="shared" si="13"/>
        <v>10921371.166666666</v>
      </c>
    </row>
    <row r="34" spans="1:28" x14ac:dyDescent="0.25">
      <c r="A34" s="15"/>
      <c r="B34" s="16"/>
      <c r="C34" s="59"/>
      <c r="D34" s="16"/>
      <c r="E34" s="17" t="s">
        <v>40</v>
      </c>
      <c r="F34" s="18"/>
      <c r="G34" s="22">
        <v>430000</v>
      </c>
      <c r="H34" s="22">
        <v>290000</v>
      </c>
      <c r="I34" s="22">
        <v>370000</v>
      </c>
      <c r="J34" s="22">
        <v>570000</v>
      </c>
      <c r="K34" s="22">
        <v>510000</v>
      </c>
      <c r="L34" s="22">
        <v>841000</v>
      </c>
      <c r="M34" s="22">
        <v>0</v>
      </c>
      <c r="N34" s="22">
        <v>0</v>
      </c>
      <c r="O34" s="22">
        <v>391000</v>
      </c>
      <c r="P34" s="98">
        <v>1484000</v>
      </c>
      <c r="Q34" s="90">
        <v>0</v>
      </c>
      <c r="R34" s="106">
        <v>707000</v>
      </c>
      <c r="S34" s="23">
        <f t="shared" si="14"/>
        <v>5593000</v>
      </c>
      <c r="T34" s="116">
        <v>287500</v>
      </c>
      <c r="U34" s="21">
        <f t="shared" si="12"/>
        <v>19.453913043478259</v>
      </c>
      <c r="V34" s="24">
        <f t="shared" si="13"/>
        <v>466083.33333333331</v>
      </c>
    </row>
    <row r="35" spans="1:28" x14ac:dyDescent="0.25">
      <c r="A35" s="15"/>
      <c r="B35" s="16"/>
      <c r="C35" s="59"/>
      <c r="D35" s="16"/>
      <c r="E35" s="17" t="s">
        <v>41</v>
      </c>
      <c r="F35" s="18"/>
      <c r="G35" s="22">
        <v>780000</v>
      </c>
      <c r="H35" s="22">
        <v>0</v>
      </c>
      <c r="I35" s="22">
        <v>1572000</v>
      </c>
      <c r="J35" s="22">
        <v>586000</v>
      </c>
      <c r="K35" s="22">
        <v>2760000</v>
      </c>
      <c r="L35" s="22">
        <v>1185000</v>
      </c>
      <c r="M35" s="22">
        <v>354000</v>
      </c>
      <c r="N35" s="22">
        <v>1617500</v>
      </c>
      <c r="O35" s="22">
        <v>0</v>
      </c>
      <c r="P35" s="98">
        <v>773000</v>
      </c>
      <c r="Q35" s="90">
        <v>2661000</v>
      </c>
      <c r="R35" s="106">
        <v>864000</v>
      </c>
      <c r="S35" s="23">
        <f t="shared" si="14"/>
        <v>13152500</v>
      </c>
      <c r="T35" s="116">
        <v>21991957</v>
      </c>
      <c r="U35" s="21">
        <f t="shared" si="12"/>
        <v>0.5980595542270295</v>
      </c>
      <c r="V35" s="24">
        <f t="shared" si="13"/>
        <v>1096041.6666666667</v>
      </c>
    </row>
    <row r="36" spans="1:28" ht="15.75" thickBot="1" x14ac:dyDescent="0.3">
      <c r="A36" s="26"/>
      <c r="B36" s="27"/>
      <c r="C36" s="61"/>
      <c r="D36" s="27"/>
      <c r="E36" s="28" t="s">
        <v>42</v>
      </c>
      <c r="F36" s="29"/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99">
        <v>0</v>
      </c>
      <c r="Q36" s="93">
        <v>0</v>
      </c>
      <c r="R36" s="109">
        <v>0</v>
      </c>
      <c r="S36" s="23">
        <f t="shared" si="14"/>
        <v>0</v>
      </c>
      <c r="T36" s="120">
        <v>0</v>
      </c>
      <c r="U36" s="21" t="e">
        <f t="shared" si="12"/>
        <v>#DIV/0!</v>
      </c>
      <c r="V36" s="24">
        <f t="shared" si="13"/>
        <v>0</v>
      </c>
    </row>
    <row r="37" spans="1:28" s="51" customFormat="1" ht="15.75" thickBot="1" x14ac:dyDescent="0.3">
      <c r="A37" s="43"/>
      <c r="B37" s="44"/>
      <c r="C37" s="60"/>
      <c r="D37" s="44"/>
      <c r="E37" s="45"/>
      <c r="F37" s="46"/>
      <c r="G37" s="52">
        <f t="shared" ref="G37:H37" si="15">SUM(G29:G36)</f>
        <v>51650270</v>
      </c>
      <c r="H37" s="52">
        <f t="shared" si="15"/>
        <v>37707500</v>
      </c>
      <c r="I37" s="52">
        <f t="shared" ref="I37" si="16">SUM(I29:I36)</f>
        <v>45667000</v>
      </c>
      <c r="J37" s="52">
        <f t="shared" ref="J37:T37" si="17">SUM(J29:J36)</f>
        <v>35634000</v>
      </c>
      <c r="K37" s="52">
        <f t="shared" si="17"/>
        <v>42531500</v>
      </c>
      <c r="L37" s="52">
        <f t="shared" si="17"/>
        <v>39369500</v>
      </c>
      <c r="M37" s="52">
        <f t="shared" si="17"/>
        <v>27563500</v>
      </c>
      <c r="N37" s="52">
        <f t="shared" ref="N37:P37" si="18">SUM(N29:N36)</f>
        <v>30972000</v>
      </c>
      <c r="O37" s="52">
        <f t="shared" si="18"/>
        <v>29440000</v>
      </c>
      <c r="P37" s="52">
        <f t="shared" si="18"/>
        <v>38148500</v>
      </c>
      <c r="Q37" s="96">
        <f t="shared" ref="Q37:R37" si="19">SUM(Q29:Q36)</f>
        <v>40026078</v>
      </c>
      <c r="R37" s="52">
        <f t="shared" si="19"/>
        <v>41465000</v>
      </c>
      <c r="S37" s="53">
        <f t="shared" si="17"/>
        <v>460174848</v>
      </c>
      <c r="T37" s="53">
        <f t="shared" si="17"/>
        <v>1000163183.95</v>
      </c>
      <c r="U37" s="49">
        <f>S37/T37</f>
        <v>0.46009976710261008</v>
      </c>
      <c r="V37" s="53">
        <f>SUM(V29:V36)</f>
        <v>38347904</v>
      </c>
      <c r="Y37" s="131"/>
      <c r="Z37" s="131"/>
      <c r="AA37" s="129"/>
      <c r="AB37" s="131"/>
    </row>
    <row r="38" spans="1:28" s="51" customFormat="1" ht="15.75" thickBot="1" x14ac:dyDescent="0.3">
      <c r="A38" s="54"/>
      <c r="B38" s="70"/>
      <c r="C38" s="71"/>
      <c r="D38" s="70"/>
      <c r="E38" s="72"/>
      <c r="F38" s="55"/>
      <c r="G38" s="73">
        <f t="shared" ref="G38:T38" si="20">G15+G26+G37</f>
        <v>171160151</v>
      </c>
      <c r="H38" s="73">
        <f t="shared" si="20"/>
        <v>146665600</v>
      </c>
      <c r="I38" s="73">
        <f t="shared" si="20"/>
        <v>165598500</v>
      </c>
      <c r="J38" s="73">
        <f t="shared" si="20"/>
        <v>131975500</v>
      </c>
      <c r="K38" s="73">
        <f t="shared" si="20"/>
        <v>165213500</v>
      </c>
      <c r="L38" s="73">
        <f t="shared" si="20"/>
        <v>145489000</v>
      </c>
      <c r="M38" s="73">
        <f t="shared" si="20"/>
        <v>106496550</v>
      </c>
      <c r="N38" s="73">
        <f t="shared" si="20"/>
        <v>105115000</v>
      </c>
      <c r="O38" s="73">
        <f t="shared" si="20"/>
        <v>97154590</v>
      </c>
      <c r="P38" s="73">
        <f t="shared" si="20"/>
        <v>122747000</v>
      </c>
      <c r="Q38" s="73">
        <f t="shared" si="20"/>
        <v>122051078</v>
      </c>
      <c r="R38" s="73">
        <f t="shared" si="20"/>
        <v>116172500</v>
      </c>
      <c r="S38" s="87">
        <f t="shared" si="20"/>
        <v>1595838969</v>
      </c>
      <c r="T38" s="87">
        <f t="shared" si="20"/>
        <v>2787095131.9499998</v>
      </c>
      <c r="U38" s="80">
        <f>S38/T38</f>
        <v>0.57258144894518415</v>
      </c>
      <c r="V38" s="73">
        <f>V15+V26+V37</f>
        <v>132986580.74999999</v>
      </c>
      <c r="Y38" s="131"/>
      <c r="Z38" s="131"/>
      <c r="AA38" s="129"/>
      <c r="AB38" s="131"/>
    </row>
    <row r="39" spans="1:28" x14ac:dyDescent="0.25">
      <c r="A39" s="8">
        <v>4</v>
      </c>
      <c r="B39" s="9" t="s">
        <v>76</v>
      </c>
      <c r="C39" s="59" t="s">
        <v>86</v>
      </c>
      <c r="D39" s="40" t="s">
        <v>44</v>
      </c>
      <c r="E39" s="10"/>
      <c r="F39" s="11" t="s">
        <v>12</v>
      </c>
      <c r="G39" s="12"/>
      <c r="H39" s="12"/>
      <c r="I39" s="12"/>
      <c r="J39" s="12"/>
      <c r="K39" s="12"/>
      <c r="L39" s="12"/>
      <c r="M39" s="12"/>
      <c r="N39" s="12"/>
      <c r="O39" s="12"/>
      <c r="P39" s="10"/>
      <c r="Q39" s="11"/>
      <c r="R39" s="9"/>
      <c r="S39" s="13"/>
      <c r="T39" s="124"/>
      <c r="U39" s="14"/>
      <c r="V39" s="13"/>
    </row>
    <row r="40" spans="1:28" x14ac:dyDescent="0.25">
      <c r="A40" s="15"/>
      <c r="B40" s="16"/>
      <c r="C40" s="59"/>
      <c r="D40" s="16"/>
      <c r="E40" s="17" t="s">
        <v>45</v>
      </c>
      <c r="F40" s="18"/>
      <c r="G40" s="22">
        <v>60000</v>
      </c>
      <c r="H40" s="22">
        <v>240000</v>
      </c>
      <c r="I40" s="22">
        <v>140000</v>
      </c>
      <c r="J40" s="22">
        <v>230000</v>
      </c>
      <c r="K40" s="22">
        <v>215000</v>
      </c>
      <c r="L40" s="22">
        <v>167000</v>
      </c>
      <c r="M40" s="22">
        <v>0</v>
      </c>
      <c r="N40" s="22">
        <v>0</v>
      </c>
      <c r="O40" s="22">
        <v>50000</v>
      </c>
      <c r="P40" s="98">
        <v>195000</v>
      </c>
      <c r="Q40" s="90">
        <v>415000</v>
      </c>
      <c r="R40" s="106">
        <v>90000</v>
      </c>
      <c r="S40" s="23">
        <f t="shared" ref="S40:S43" si="21">SUM(G40:R40)</f>
        <v>1802000</v>
      </c>
      <c r="T40" s="116">
        <v>2650750</v>
      </c>
      <c r="U40" s="21">
        <f t="shared" ref="U40:U43" si="22">S40/T40</f>
        <v>0.67980760162218246</v>
      </c>
      <c r="V40" s="24">
        <f t="shared" ref="V40:V43" si="23">S40/12</f>
        <v>150166.66666666666</v>
      </c>
    </row>
    <row r="41" spans="1:28" x14ac:dyDescent="0.25">
      <c r="A41" s="15"/>
      <c r="B41" s="16"/>
      <c r="C41" s="59"/>
      <c r="D41" s="16"/>
      <c r="E41" s="17" t="s">
        <v>46</v>
      </c>
      <c r="F41" s="18"/>
      <c r="G41" s="22">
        <v>3717500</v>
      </c>
      <c r="H41" s="22">
        <v>3121000</v>
      </c>
      <c r="I41" s="22">
        <v>4757000</v>
      </c>
      <c r="J41" s="22">
        <v>3048400</v>
      </c>
      <c r="K41" s="22">
        <v>6150000</v>
      </c>
      <c r="L41" s="22">
        <v>6987000</v>
      </c>
      <c r="M41" s="22">
        <v>3190000</v>
      </c>
      <c r="N41" s="22">
        <v>2982500</v>
      </c>
      <c r="O41" s="22">
        <v>6176000</v>
      </c>
      <c r="P41" s="98">
        <v>10343000</v>
      </c>
      <c r="Q41" s="90">
        <v>10115880</v>
      </c>
      <c r="R41" s="106">
        <v>8336000</v>
      </c>
      <c r="S41" s="23">
        <f>SUM(G41:R41)</f>
        <v>68924280</v>
      </c>
      <c r="T41" s="116">
        <v>123694575</v>
      </c>
      <c r="U41" s="21">
        <f t="shared" si="22"/>
        <v>0.55721344286926089</v>
      </c>
      <c r="V41" s="24">
        <f t="shared" si="23"/>
        <v>5743690</v>
      </c>
    </row>
    <row r="42" spans="1:28" x14ac:dyDescent="0.25">
      <c r="A42" s="15"/>
      <c r="B42" s="16"/>
      <c r="C42" s="59"/>
      <c r="D42" s="16"/>
      <c r="E42" s="17" t="s">
        <v>47</v>
      </c>
      <c r="F42" s="18"/>
      <c r="G42" s="22">
        <v>4876000</v>
      </c>
      <c r="H42" s="22">
        <v>2604000</v>
      </c>
      <c r="I42" s="22">
        <v>5749000</v>
      </c>
      <c r="J42" s="22">
        <v>3871000</v>
      </c>
      <c r="K42" s="22">
        <v>6815000</v>
      </c>
      <c r="L42" s="22">
        <v>7047000</v>
      </c>
      <c r="M42" s="22">
        <v>7367000</v>
      </c>
      <c r="N42" s="22">
        <v>4069000</v>
      </c>
      <c r="O42" s="22">
        <v>4198000</v>
      </c>
      <c r="P42" s="98">
        <v>5403000</v>
      </c>
      <c r="Q42" s="90">
        <v>11426000</v>
      </c>
      <c r="R42" s="106">
        <v>10264500</v>
      </c>
      <c r="S42" s="23">
        <f>SUM(G42:R42)</f>
        <v>73689500</v>
      </c>
      <c r="T42" s="118">
        <v>123711125</v>
      </c>
      <c r="U42" s="21">
        <f t="shared" si="22"/>
        <v>0.5956578278630964</v>
      </c>
      <c r="V42" s="24">
        <f t="shared" si="23"/>
        <v>6140791.666666667</v>
      </c>
    </row>
    <row r="43" spans="1:28" ht="15.75" thickBot="1" x14ac:dyDescent="0.3">
      <c r="A43" s="26"/>
      <c r="B43" s="27"/>
      <c r="C43" s="61"/>
      <c r="D43" s="27"/>
      <c r="E43" s="28" t="s">
        <v>48</v>
      </c>
      <c r="F43" s="29"/>
      <c r="G43" s="32">
        <v>3868000</v>
      </c>
      <c r="H43" s="32">
        <v>2736000</v>
      </c>
      <c r="I43" s="32">
        <v>7987000</v>
      </c>
      <c r="J43" s="32">
        <v>5209000</v>
      </c>
      <c r="K43" s="32">
        <v>7099000</v>
      </c>
      <c r="L43" s="32">
        <v>5397000</v>
      </c>
      <c r="M43" s="32">
        <v>7155000</v>
      </c>
      <c r="N43" s="32">
        <v>6614000</v>
      </c>
      <c r="O43" s="32">
        <v>6236000</v>
      </c>
      <c r="P43" s="99">
        <v>7231000</v>
      </c>
      <c r="Q43" s="93">
        <v>7067500</v>
      </c>
      <c r="R43" s="109">
        <v>6416000</v>
      </c>
      <c r="S43" s="23">
        <f t="shared" si="21"/>
        <v>73015500</v>
      </c>
      <c r="T43" s="117">
        <v>106350630</v>
      </c>
      <c r="U43" s="21">
        <f t="shared" si="22"/>
        <v>0.68655446610894544</v>
      </c>
      <c r="V43" s="24">
        <f t="shared" si="23"/>
        <v>6084625</v>
      </c>
    </row>
    <row r="44" spans="1:28" s="51" customFormat="1" ht="15.75" thickBot="1" x14ac:dyDescent="0.3">
      <c r="A44" s="43"/>
      <c r="B44" s="44"/>
      <c r="C44" s="60"/>
      <c r="D44" s="44"/>
      <c r="E44" s="45"/>
      <c r="F44" s="46"/>
      <c r="G44" s="52">
        <f t="shared" ref="G44:S44" si="24">SUM(G40:G43)</f>
        <v>12521500</v>
      </c>
      <c r="H44" s="52">
        <f t="shared" ref="H44:I44" si="25">SUM(H40:H43)</f>
        <v>8701000</v>
      </c>
      <c r="I44" s="52">
        <f t="shared" si="25"/>
        <v>18633000</v>
      </c>
      <c r="J44" s="52">
        <f t="shared" ref="J44:P44" si="26">SUM(J40:J43)</f>
        <v>12358400</v>
      </c>
      <c r="K44" s="52">
        <f t="shared" si="26"/>
        <v>20279000</v>
      </c>
      <c r="L44" s="52">
        <f t="shared" si="26"/>
        <v>19598000</v>
      </c>
      <c r="M44" s="52">
        <f t="shared" si="26"/>
        <v>17712000</v>
      </c>
      <c r="N44" s="52">
        <f t="shared" si="26"/>
        <v>13665500</v>
      </c>
      <c r="O44" s="52">
        <f t="shared" si="26"/>
        <v>16660000</v>
      </c>
      <c r="P44" s="52">
        <f t="shared" si="26"/>
        <v>23172000</v>
      </c>
      <c r="Q44" s="96">
        <f t="shared" ref="Q44:R44" si="27">SUM(Q40:Q43)</f>
        <v>29024380</v>
      </c>
      <c r="R44" s="52">
        <f t="shared" si="27"/>
        <v>25106500</v>
      </c>
      <c r="S44" s="48">
        <f t="shared" si="24"/>
        <v>217431280</v>
      </c>
      <c r="T44" s="48">
        <f>SUM(T40:T43)</f>
        <v>356407080</v>
      </c>
      <c r="U44" s="49">
        <f>S44/T44</f>
        <v>0.61006442408495365</v>
      </c>
      <c r="V44" s="48">
        <f>SUM(V40:V43)</f>
        <v>18119273.333333336</v>
      </c>
      <c r="Y44" s="131"/>
      <c r="Z44" s="131"/>
      <c r="AA44" s="129"/>
      <c r="AB44" s="131"/>
    </row>
    <row r="45" spans="1:28" x14ac:dyDescent="0.25">
      <c r="A45" s="8"/>
      <c r="B45" s="9"/>
      <c r="C45" s="58"/>
      <c r="D45" s="9"/>
      <c r="E45" s="10"/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0"/>
      <c r="Q45" s="11"/>
      <c r="R45" s="9"/>
      <c r="S45" s="13"/>
      <c r="T45" s="13"/>
      <c r="U45" s="14"/>
      <c r="V45" s="13"/>
    </row>
    <row r="46" spans="1:28" x14ac:dyDescent="0.25">
      <c r="A46" s="15">
        <v>5</v>
      </c>
      <c r="B46" s="16" t="s">
        <v>76</v>
      </c>
      <c r="C46" s="59" t="s">
        <v>78</v>
      </c>
      <c r="D46" s="38" t="s">
        <v>44</v>
      </c>
      <c r="E46" s="17"/>
      <c r="F46" s="18" t="s">
        <v>12</v>
      </c>
      <c r="G46" s="19"/>
      <c r="H46" s="19"/>
      <c r="I46" s="19"/>
      <c r="J46" s="19"/>
      <c r="K46" s="19"/>
      <c r="L46" s="19"/>
      <c r="M46" s="19"/>
      <c r="N46" s="19"/>
      <c r="O46" s="19"/>
      <c r="P46" s="17"/>
      <c r="Q46" s="18"/>
      <c r="R46" s="16"/>
      <c r="S46" s="20"/>
      <c r="T46" s="20"/>
      <c r="U46" s="21"/>
      <c r="V46" s="20"/>
    </row>
    <row r="47" spans="1:28" x14ac:dyDescent="0.25">
      <c r="A47" s="15"/>
      <c r="B47" s="16"/>
      <c r="C47" s="59" t="s">
        <v>80</v>
      </c>
      <c r="D47" s="16"/>
      <c r="E47" s="17" t="s">
        <v>49</v>
      </c>
      <c r="F47" s="18"/>
      <c r="G47" s="22">
        <v>22250000</v>
      </c>
      <c r="H47" s="22">
        <v>24196000</v>
      </c>
      <c r="I47" s="22">
        <v>23287000</v>
      </c>
      <c r="J47" s="22">
        <v>19524000</v>
      </c>
      <c r="K47" s="22">
        <v>20754500</v>
      </c>
      <c r="L47" s="22">
        <v>12814000</v>
      </c>
      <c r="M47" s="22">
        <v>16855500</v>
      </c>
      <c r="N47" s="22">
        <v>15343500</v>
      </c>
      <c r="O47" s="22">
        <v>13755000</v>
      </c>
      <c r="P47" s="98">
        <v>20044000</v>
      </c>
      <c r="Q47" s="90">
        <v>11932000</v>
      </c>
      <c r="R47" s="106">
        <v>12427000</v>
      </c>
      <c r="S47" s="23">
        <f t="shared" ref="S47:S50" si="28">SUM(G47:R47)</f>
        <v>213182500</v>
      </c>
      <c r="T47" s="119">
        <v>353465121.25</v>
      </c>
      <c r="U47" s="21">
        <f t="shared" ref="U47:U50" si="29">S47/T47</f>
        <v>0.60312174294905763</v>
      </c>
      <c r="V47" s="24">
        <f t="shared" ref="V47:V50" si="30">S47/12</f>
        <v>17765208.333333332</v>
      </c>
    </row>
    <row r="48" spans="1:28" x14ac:dyDescent="0.25">
      <c r="A48" s="15"/>
      <c r="B48" s="16"/>
      <c r="C48" s="59"/>
      <c r="D48" s="16"/>
      <c r="E48" s="17" t="s">
        <v>50</v>
      </c>
      <c r="F48" s="18"/>
      <c r="G48" s="22">
        <v>38662000</v>
      </c>
      <c r="H48" s="22">
        <v>32293000</v>
      </c>
      <c r="I48" s="22">
        <v>43230000</v>
      </c>
      <c r="J48" s="22">
        <v>31461000</v>
      </c>
      <c r="K48" s="22">
        <v>21223000</v>
      </c>
      <c r="L48" s="22">
        <v>18817000</v>
      </c>
      <c r="M48" s="22">
        <v>34078500</v>
      </c>
      <c r="N48" s="22">
        <v>23904000</v>
      </c>
      <c r="O48" s="22">
        <v>21642000</v>
      </c>
      <c r="P48" s="98">
        <v>21463000</v>
      </c>
      <c r="Q48" s="90">
        <v>22210000</v>
      </c>
      <c r="R48" s="106">
        <v>19193000</v>
      </c>
      <c r="S48" s="23">
        <f>SUM(G48:R48)</f>
        <v>328176500</v>
      </c>
      <c r="T48" s="116">
        <v>510041500</v>
      </c>
      <c r="U48" s="21">
        <f t="shared" si="29"/>
        <v>0.6434309757147213</v>
      </c>
      <c r="V48" s="24">
        <f t="shared" si="30"/>
        <v>27348041.666666668</v>
      </c>
    </row>
    <row r="49" spans="1:28" x14ac:dyDescent="0.25">
      <c r="A49" s="15"/>
      <c r="B49" s="16"/>
      <c r="C49" s="59"/>
      <c r="D49" s="16"/>
      <c r="E49" s="17" t="s">
        <v>51</v>
      </c>
      <c r="F49" s="18"/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98">
        <v>0</v>
      </c>
      <c r="Q49" s="90">
        <v>850000</v>
      </c>
      <c r="R49" s="106">
        <v>180000</v>
      </c>
      <c r="S49" s="23">
        <f t="shared" si="28"/>
        <v>1030000</v>
      </c>
      <c r="T49" s="116">
        <v>100049.99999999999</v>
      </c>
      <c r="U49" s="21">
        <f t="shared" si="29"/>
        <v>10.294852573713145</v>
      </c>
      <c r="V49" s="24">
        <f t="shared" si="30"/>
        <v>85833.333333333328</v>
      </c>
    </row>
    <row r="50" spans="1:28" ht="15.75" thickBot="1" x14ac:dyDescent="0.3">
      <c r="A50" s="15"/>
      <c r="B50" s="16"/>
      <c r="C50" s="59"/>
      <c r="D50" s="16"/>
      <c r="E50" s="28" t="s">
        <v>52</v>
      </c>
      <c r="F50" s="18"/>
      <c r="G50" s="22">
        <v>6775000</v>
      </c>
      <c r="H50" s="22">
        <v>1610000</v>
      </c>
      <c r="I50" s="22">
        <v>1405000</v>
      </c>
      <c r="J50" s="22">
        <v>1060000</v>
      </c>
      <c r="K50" s="22">
        <v>1215000</v>
      </c>
      <c r="L50" s="22">
        <v>2440000</v>
      </c>
      <c r="M50" s="22">
        <v>1861000</v>
      </c>
      <c r="N50" s="22">
        <v>4020000</v>
      </c>
      <c r="O50" s="22">
        <v>3425000</v>
      </c>
      <c r="P50" s="98">
        <v>6110000</v>
      </c>
      <c r="Q50" s="90">
        <v>4548000</v>
      </c>
      <c r="R50" s="106">
        <v>2665000</v>
      </c>
      <c r="S50" s="23">
        <f t="shared" si="28"/>
        <v>37134000</v>
      </c>
      <c r="T50" s="120">
        <v>46397187</v>
      </c>
      <c r="U50" s="21">
        <f t="shared" si="29"/>
        <v>0.80035024537155663</v>
      </c>
      <c r="V50" s="24">
        <f t="shared" si="30"/>
        <v>3094500</v>
      </c>
    </row>
    <row r="51" spans="1:28" s="51" customFormat="1" ht="15.75" thickBot="1" x14ac:dyDescent="0.3">
      <c r="A51" s="43"/>
      <c r="B51" s="44"/>
      <c r="C51" s="60"/>
      <c r="D51" s="44"/>
      <c r="E51" s="45"/>
      <c r="F51" s="46"/>
      <c r="G51" s="52">
        <f>SUM(G47:G50)</f>
        <v>67687000</v>
      </c>
      <c r="H51" s="52">
        <f t="shared" ref="H51:I51" si="31">SUM(H47:H50)</f>
        <v>58099000</v>
      </c>
      <c r="I51" s="52">
        <f t="shared" si="31"/>
        <v>67922000</v>
      </c>
      <c r="J51" s="52">
        <f t="shared" ref="J51:P51" si="32">SUM(J47:J50)</f>
        <v>52045000</v>
      </c>
      <c r="K51" s="52">
        <f t="shared" si="32"/>
        <v>43192500</v>
      </c>
      <c r="L51" s="52">
        <f t="shared" si="32"/>
        <v>34071000</v>
      </c>
      <c r="M51" s="52">
        <f t="shared" si="32"/>
        <v>52795000</v>
      </c>
      <c r="N51" s="52">
        <f t="shared" si="32"/>
        <v>43267500</v>
      </c>
      <c r="O51" s="52">
        <f t="shared" si="32"/>
        <v>38822000</v>
      </c>
      <c r="P51" s="52">
        <f t="shared" si="32"/>
        <v>47617000</v>
      </c>
      <c r="Q51" s="96">
        <f t="shared" ref="Q51:R51" si="33">SUM(Q47:Q50)</f>
        <v>39540000</v>
      </c>
      <c r="R51" s="52">
        <f t="shared" si="33"/>
        <v>34465000</v>
      </c>
      <c r="S51" s="81">
        <f t="shared" ref="S51" si="34">SUM(S47:S50)</f>
        <v>579523000</v>
      </c>
      <c r="T51" s="52">
        <f>SUM(T47:T50)</f>
        <v>910003858.25</v>
      </c>
      <c r="U51" s="49">
        <f>S51/T51</f>
        <v>0.63683576145980592</v>
      </c>
      <c r="V51" s="52">
        <f>SUM(V47:V50)</f>
        <v>48293583.333333336</v>
      </c>
      <c r="Y51" s="131"/>
      <c r="Z51" s="131"/>
      <c r="AA51" s="129"/>
      <c r="AB51" s="131"/>
    </row>
    <row r="52" spans="1:28" x14ac:dyDescent="0.25">
      <c r="A52" s="8"/>
      <c r="B52" s="9"/>
      <c r="C52" s="58"/>
      <c r="D52" s="9"/>
      <c r="E52" s="10"/>
      <c r="F52" s="11"/>
      <c r="G52" s="33"/>
      <c r="H52" s="33"/>
      <c r="I52" s="33"/>
      <c r="J52" s="33"/>
      <c r="K52" s="33"/>
      <c r="L52" s="33"/>
      <c r="M52" s="33"/>
      <c r="N52" s="33"/>
      <c r="O52" s="33"/>
      <c r="P52" s="100"/>
      <c r="Q52" s="94"/>
      <c r="R52" s="110"/>
      <c r="S52" s="13"/>
      <c r="T52" s="13"/>
      <c r="U52" s="14"/>
      <c r="V52" s="13"/>
    </row>
    <row r="53" spans="1:28" x14ac:dyDescent="0.25">
      <c r="A53" s="15">
        <v>6</v>
      </c>
      <c r="B53" s="16" t="s">
        <v>76</v>
      </c>
      <c r="C53" s="59" t="s">
        <v>78</v>
      </c>
      <c r="D53" s="38" t="s">
        <v>26</v>
      </c>
      <c r="E53" s="17"/>
      <c r="F53" s="34" t="s">
        <v>8</v>
      </c>
      <c r="G53" s="19"/>
      <c r="H53" s="19"/>
      <c r="I53" s="19"/>
      <c r="J53" s="19"/>
      <c r="K53" s="19"/>
      <c r="L53" s="19"/>
      <c r="M53" s="19"/>
      <c r="N53" s="19"/>
      <c r="O53" s="19"/>
      <c r="P53" s="17"/>
      <c r="Q53" s="18"/>
      <c r="R53" s="16"/>
      <c r="S53" s="20"/>
      <c r="T53" s="115"/>
      <c r="U53" s="21"/>
      <c r="V53" s="20"/>
    </row>
    <row r="54" spans="1:28" x14ac:dyDescent="0.25">
      <c r="A54" s="15"/>
      <c r="B54" s="16" t="s">
        <v>9</v>
      </c>
      <c r="C54" s="59" t="s">
        <v>27</v>
      </c>
      <c r="D54" s="16"/>
      <c r="E54" s="17" t="s">
        <v>28</v>
      </c>
      <c r="F54" s="18" t="s">
        <v>12</v>
      </c>
      <c r="G54" s="22">
        <v>7244500</v>
      </c>
      <c r="H54" s="22">
        <v>6623000</v>
      </c>
      <c r="I54" s="22">
        <v>5192000</v>
      </c>
      <c r="J54" s="22">
        <v>4115500</v>
      </c>
      <c r="K54" s="22">
        <v>3350000</v>
      </c>
      <c r="L54" s="22">
        <v>2422000</v>
      </c>
      <c r="M54" s="22">
        <v>2396000</v>
      </c>
      <c r="N54" s="22">
        <v>4199000</v>
      </c>
      <c r="O54" s="22">
        <v>3043000</v>
      </c>
      <c r="P54" s="98">
        <v>3601000</v>
      </c>
      <c r="Q54" s="90">
        <v>1704000</v>
      </c>
      <c r="R54" s="106">
        <v>1134000</v>
      </c>
      <c r="S54" s="23">
        <f t="shared" ref="S54:S58" si="35">SUM(G54:R54)</f>
        <v>45024000</v>
      </c>
      <c r="T54" s="116">
        <v>80868000</v>
      </c>
      <c r="U54" s="21">
        <f>S54/T54</f>
        <v>0.55675916308057571</v>
      </c>
      <c r="V54" s="24">
        <f t="shared" ref="V54:V58" si="36">S54/12</f>
        <v>3752000</v>
      </c>
    </row>
    <row r="55" spans="1:28" x14ac:dyDescent="0.25">
      <c r="A55" s="15"/>
      <c r="B55" s="16"/>
      <c r="C55" s="59" t="s">
        <v>80</v>
      </c>
      <c r="D55" s="16"/>
      <c r="E55" s="17" t="s">
        <v>29</v>
      </c>
      <c r="F55" s="18"/>
      <c r="G55" s="22">
        <v>12945000</v>
      </c>
      <c r="H55" s="22">
        <v>12619000</v>
      </c>
      <c r="I55" s="22">
        <v>13459000</v>
      </c>
      <c r="J55" s="22">
        <v>5866000</v>
      </c>
      <c r="K55" s="22">
        <v>9627500</v>
      </c>
      <c r="L55" s="22">
        <v>8959000</v>
      </c>
      <c r="M55" s="22">
        <v>13636500</v>
      </c>
      <c r="N55" s="22">
        <v>6451000</v>
      </c>
      <c r="O55" s="22">
        <v>7327000</v>
      </c>
      <c r="P55" s="98">
        <v>10626000</v>
      </c>
      <c r="Q55" s="90">
        <v>8288000</v>
      </c>
      <c r="R55" s="106">
        <v>4165000</v>
      </c>
      <c r="S55" s="23">
        <f t="shared" si="35"/>
        <v>113969000</v>
      </c>
      <c r="T55" s="118">
        <v>187681695</v>
      </c>
      <c r="U55" s="21">
        <f t="shared" ref="U55:U58" si="37">S55/T55</f>
        <v>0.60724622078887347</v>
      </c>
      <c r="V55" s="24">
        <f t="shared" si="36"/>
        <v>9497416.666666666</v>
      </c>
    </row>
    <row r="56" spans="1:28" x14ac:dyDescent="0.25">
      <c r="A56" s="15"/>
      <c r="B56" s="16"/>
      <c r="C56" s="59"/>
      <c r="D56" s="16"/>
      <c r="E56" s="17" t="s">
        <v>30</v>
      </c>
      <c r="F56" s="18"/>
      <c r="G56" s="22">
        <v>4187000</v>
      </c>
      <c r="H56" s="22">
        <v>3101000</v>
      </c>
      <c r="I56" s="22">
        <v>2424000</v>
      </c>
      <c r="J56" s="22">
        <v>2310000</v>
      </c>
      <c r="K56" s="22">
        <v>2545000</v>
      </c>
      <c r="L56" s="22">
        <v>2284500</v>
      </c>
      <c r="M56" s="22">
        <v>2852000</v>
      </c>
      <c r="N56" s="22">
        <v>2303000</v>
      </c>
      <c r="O56" s="22">
        <v>2125000</v>
      </c>
      <c r="P56" s="98">
        <v>3153000</v>
      </c>
      <c r="Q56" s="90">
        <v>2130000</v>
      </c>
      <c r="R56" s="106">
        <v>1256000</v>
      </c>
      <c r="S56" s="23">
        <f>SUM(G56:R56)</f>
        <v>30670500</v>
      </c>
      <c r="T56" s="119">
        <v>47645075</v>
      </c>
      <c r="U56" s="21">
        <f t="shared" si="37"/>
        <v>0.64372865401093393</v>
      </c>
      <c r="V56" s="24">
        <f t="shared" si="36"/>
        <v>2555875</v>
      </c>
    </row>
    <row r="57" spans="1:28" x14ac:dyDescent="0.25">
      <c r="A57" s="26"/>
      <c r="B57" s="27"/>
      <c r="C57" s="61"/>
      <c r="D57" s="27"/>
      <c r="E57" s="28" t="s">
        <v>31</v>
      </c>
      <c r="F57" s="29"/>
      <c r="G57" s="32">
        <v>3770000</v>
      </c>
      <c r="H57" s="32">
        <v>4553000</v>
      </c>
      <c r="I57" s="32">
        <v>2985500</v>
      </c>
      <c r="J57" s="32">
        <v>2692000</v>
      </c>
      <c r="K57" s="32">
        <v>2420000</v>
      </c>
      <c r="L57" s="32">
        <v>2777500</v>
      </c>
      <c r="M57" s="32">
        <v>5001000</v>
      </c>
      <c r="N57" s="32">
        <v>3388000</v>
      </c>
      <c r="O57" s="32">
        <v>3742000</v>
      </c>
      <c r="P57" s="99">
        <v>3015500</v>
      </c>
      <c r="Q57" s="93">
        <v>3124000</v>
      </c>
      <c r="R57" s="109">
        <v>3670000</v>
      </c>
      <c r="S57" s="23">
        <f t="shared" si="35"/>
        <v>41138500</v>
      </c>
      <c r="T57" s="116">
        <v>49137775</v>
      </c>
      <c r="U57" s="21">
        <f t="shared" si="37"/>
        <v>0.83720721990362812</v>
      </c>
      <c r="V57" s="24">
        <f t="shared" si="36"/>
        <v>3428208.3333333335</v>
      </c>
    </row>
    <row r="58" spans="1:28" ht="15.75" thickBot="1" x14ac:dyDescent="0.3">
      <c r="A58" s="26"/>
      <c r="B58" s="27"/>
      <c r="C58" s="61"/>
      <c r="D58" s="27"/>
      <c r="E58" s="28" t="s">
        <v>24</v>
      </c>
      <c r="F58" s="29"/>
      <c r="G58" s="30">
        <v>4255000</v>
      </c>
      <c r="H58" s="30">
        <v>1230000</v>
      </c>
      <c r="I58" s="30">
        <v>1150000</v>
      </c>
      <c r="J58" s="30">
        <v>3150000</v>
      </c>
      <c r="K58" s="30">
        <v>4721700</v>
      </c>
      <c r="L58" s="30">
        <v>2570000</v>
      </c>
      <c r="M58" s="30">
        <v>3200000</v>
      </c>
      <c r="N58" s="30">
        <v>2780000</v>
      </c>
      <c r="O58" s="30">
        <v>3475000</v>
      </c>
      <c r="P58" s="101">
        <v>2750000</v>
      </c>
      <c r="Q58" s="95">
        <v>2375000</v>
      </c>
      <c r="R58" s="111">
        <v>4400000</v>
      </c>
      <c r="S58" s="23">
        <f t="shared" si="35"/>
        <v>36056700</v>
      </c>
      <c r="T58" s="120">
        <v>15994775</v>
      </c>
      <c r="U58" s="21">
        <f t="shared" si="37"/>
        <v>2.254279913284182</v>
      </c>
      <c r="V58" s="24">
        <f t="shared" si="36"/>
        <v>3004725</v>
      </c>
    </row>
    <row r="59" spans="1:28" s="51" customFormat="1" ht="15.75" thickBot="1" x14ac:dyDescent="0.3">
      <c r="A59" s="43"/>
      <c r="B59" s="44"/>
      <c r="C59" s="60"/>
      <c r="D59" s="44"/>
      <c r="E59" s="45"/>
      <c r="F59" s="46"/>
      <c r="G59" s="84">
        <f t="shared" ref="G59" si="38">SUM(G54:G58)</f>
        <v>32401500</v>
      </c>
      <c r="H59" s="84">
        <f t="shared" ref="H59:Q59" si="39">SUM(H54:H58)</f>
        <v>28126000</v>
      </c>
      <c r="I59" s="84">
        <f t="shared" si="39"/>
        <v>25210500</v>
      </c>
      <c r="J59" s="84">
        <f t="shared" si="39"/>
        <v>18133500</v>
      </c>
      <c r="K59" s="84">
        <f t="shared" si="39"/>
        <v>22664200</v>
      </c>
      <c r="L59" s="84">
        <f t="shared" si="39"/>
        <v>19013000</v>
      </c>
      <c r="M59" s="84">
        <f t="shared" si="39"/>
        <v>27085500</v>
      </c>
      <c r="N59" s="84">
        <f t="shared" si="39"/>
        <v>19121000</v>
      </c>
      <c r="O59" s="84">
        <f t="shared" si="39"/>
        <v>19712000</v>
      </c>
      <c r="P59" s="84">
        <f t="shared" si="39"/>
        <v>23145500</v>
      </c>
      <c r="Q59" s="104">
        <f t="shared" si="39"/>
        <v>17621000</v>
      </c>
      <c r="R59" s="84">
        <f>SUM(R54:R58)</f>
        <v>14625000</v>
      </c>
      <c r="S59" s="48">
        <f t="shared" ref="S59:T59" si="40">SUM(S54:S58)</f>
        <v>266858700</v>
      </c>
      <c r="T59" s="48">
        <f t="shared" si="40"/>
        <v>381327320</v>
      </c>
      <c r="U59" s="49">
        <f>S59/T59</f>
        <v>0.69981531876604064</v>
      </c>
      <c r="V59" s="48">
        <f>SUM(V54:V58)</f>
        <v>22238225</v>
      </c>
      <c r="Y59" s="131"/>
      <c r="Z59" s="131"/>
      <c r="AA59" s="129"/>
      <c r="AB59" s="131"/>
    </row>
    <row r="60" spans="1:28" s="51" customFormat="1" ht="15.75" thickBot="1" x14ac:dyDescent="0.3">
      <c r="A60" s="54"/>
      <c r="B60" s="70"/>
      <c r="C60" s="71"/>
      <c r="D60" s="70"/>
      <c r="E60" s="72"/>
      <c r="F60" s="55"/>
      <c r="G60" s="73">
        <f>G44+G51+G59</f>
        <v>112610000</v>
      </c>
      <c r="H60" s="73">
        <f t="shared" ref="H60:P60" si="41">H44+H51+H59</f>
        <v>94926000</v>
      </c>
      <c r="I60" s="73">
        <f t="shared" si="41"/>
        <v>111765500</v>
      </c>
      <c r="J60" s="73">
        <f t="shared" si="41"/>
        <v>82536900</v>
      </c>
      <c r="K60" s="73">
        <f t="shared" si="41"/>
        <v>86135700</v>
      </c>
      <c r="L60" s="73">
        <f t="shared" si="41"/>
        <v>72682000</v>
      </c>
      <c r="M60" s="73">
        <f t="shared" si="41"/>
        <v>97592500</v>
      </c>
      <c r="N60" s="73">
        <f t="shared" si="41"/>
        <v>76054000</v>
      </c>
      <c r="O60" s="73">
        <f t="shared" si="41"/>
        <v>75194000</v>
      </c>
      <c r="P60" s="73">
        <f t="shared" si="41"/>
        <v>93934500</v>
      </c>
      <c r="Q60" s="73">
        <f>Q44+Q51+Q59</f>
        <v>86185380</v>
      </c>
      <c r="R60" s="73">
        <f>R44+R51+R59</f>
        <v>74196500</v>
      </c>
      <c r="S60" s="73">
        <f>S44+S51+S59</f>
        <v>1063812980</v>
      </c>
      <c r="T60" s="73">
        <f>T44+T51+T59</f>
        <v>1647738258.25</v>
      </c>
      <c r="U60" s="80">
        <f>S60/T60</f>
        <v>0.64562012484302889</v>
      </c>
      <c r="V60" s="73">
        <f>V44+V51+V59</f>
        <v>88651081.666666672</v>
      </c>
      <c r="Y60" s="131"/>
      <c r="Z60" s="131"/>
      <c r="AA60" s="129"/>
      <c r="AB60" s="131"/>
    </row>
    <row r="61" spans="1:28" x14ac:dyDescent="0.25">
      <c r="A61" s="8"/>
      <c r="B61" s="9"/>
      <c r="C61" s="58"/>
      <c r="D61" s="9"/>
      <c r="E61" s="10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0"/>
      <c r="Q61" s="11"/>
      <c r="R61" s="9"/>
      <c r="S61" s="23"/>
      <c r="T61" s="23"/>
      <c r="U61" s="21"/>
      <c r="V61" s="23"/>
    </row>
    <row r="62" spans="1:28" x14ac:dyDescent="0.25">
      <c r="A62" s="8">
        <v>7</v>
      </c>
      <c r="B62" s="9"/>
      <c r="C62" s="58"/>
      <c r="D62" s="38" t="s">
        <v>90</v>
      </c>
      <c r="E62" s="1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0"/>
      <c r="Q62" s="11"/>
      <c r="R62" s="9"/>
      <c r="S62" s="23"/>
      <c r="T62" s="121"/>
      <c r="U62" s="21"/>
      <c r="V62" s="23"/>
    </row>
    <row r="63" spans="1:28" x14ac:dyDescent="0.25">
      <c r="A63" s="8"/>
      <c r="B63" s="9"/>
      <c r="C63" s="58"/>
      <c r="D63" s="88"/>
      <c r="E63" s="17" t="s">
        <v>73</v>
      </c>
      <c r="F63" s="12"/>
      <c r="G63" s="22">
        <v>0</v>
      </c>
      <c r="H63" s="22">
        <v>0</v>
      </c>
      <c r="I63" s="22">
        <v>800000</v>
      </c>
      <c r="J63" s="22">
        <v>9430065</v>
      </c>
      <c r="K63" s="22">
        <v>600000</v>
      </c>
      <c r="L63" s="22">
        <v>800000</v>
      </c>
      <c r="M63" s="22">
        <v>100000</v>
      </c>
      <c r="N63" s="22">
        <v>2000000</v>
      </c>
      <c r="O63" s="22">
        <v>1273000</v>
      </c>
      <c r="P63" s="98">
        <v>0</v>
      </c>
      <c r="Q63" s="90">
        <v>1200000</v>
      </c>
      <c r="R63" s="106">
        <v>0</v>
      </c>
      <c r="S63" s="23">
        <f t="shared" ref="S63:S82" si="42">SUM(G63:R63)</f>
        <v>16203065</v>
      </c>
      <c r="T63" s="118">
        <v>33750000</v>
      </c>
      <c r="U63" s="21">
        <f>S63/T63</f>
        <v>0.4800908148148148</v>
      </c>
      <c r="V63" s="24">
        <f t="shared" ref="V63:V82" si="43">S63/12</f>
        <v>1350255.4166666667</v>
      </c>
    </row>
    <row r="64" spans="1:28" x14ac:dyDescent="0.25">
      <c r="A64" s="26"/>
      <c r="B64" s="27"/>
      <c r="C64" s="61"/>
      <c r="D64" s="27"/>
      <c r="E64" s="17" t="s">
        <v>72</v>
      </c>
      <c r="F64" s="29"/>
      <c r="G64" s="32">
        <v>6567120</v>
      </c>
      <c r="H64" s="32">
        <v>0</v>
      </c>
      <c r="I64" s="32">
        <v>3600000</v>
      </c>
      <c r="J64" s="32">
        <v>29339000</v>
      </c>
      <c r="K64" s="32">
        <v>13010000</v>
      </c>
      <c r="L64" s="32">
        <v>6100000</v>
      </c>
      <c r="M64" s="32">
        <v>0</v>
      </c>
      <c r="N64" s="32">
        <v>9410800</v>
      </c>
      <c r="O64" s="32">
        <v>1300000</v>
      </c>
      <c r="P64" s="99">
        <v>0</v>
      </c>
      <c r="Q64" s="93">
        <v>16616000</v>
      </c>
      <c r="R64" s="109">
        <v>22095000</v>
      </c>
      <c r="S64" s="23">
        <f t="shared" si="42"/>
        <v>108037920</v>
      </c>
      <c r="T64" s="118">
        <v>92800000</v>
      </c>
      <c r="U64" s="21">
        <f t="shared" ref="U64:U65" si="44">S64/T64</f>
        <v>1.164201724137931</v>
      </c>
      <c r="V64" s="24">
        <f t="shared" si="43"/>
        <v>9003160</v>
      </c>
    </row>
    <row r="65" spans="1:22" x14ac:dyDescent="0.25">
      <c r="A65" s="26"/>
      <c r="B65" s="27"/>
      <c r="C65" s="61"/>
      <c r="D65" s="27"/>
      <c r="E65" s="28" t="s">
        <v>126</v>
      </c>
      <c r="F65" s="29"/>
      <c r="G65" s="32">
        <v>0</v>
      </c>
      <c r="H65" s="32">
        <v>0</v>
      </c>
      <c r="I65" s="32">
        <v>5730000</v>
      </c>
      <c r="J65" s="32">
        <v>0</v>
      </c>
      <c r="K65" s="32">
        <v>1364000</v>
      </c>
      <c r="L65" s="32">
        <v>1000000</v>
      </c>
      <c r="M65" s="32">
        <v>3390000</v>
      </c>
      <c r="N65" s="32">
        <v>4180000</v>
      </c>
      <c r="O65" s="32">
        <v>0</v>
      </c>
      <c r="P65" s="99">
        <v>460000</v>
      </c>
      <c r="Q65" s="93">
        <v>0</v>
      </c>
      <c r="R65" s="109">
        <v>1000000</v>
      </c>
      <c r="S65" s="23">
        <f t="shared" si="42"/>
        <v>17124000</v>
      </c>
      <c r="T65" s="118">
        <v>500000</v>
      </c>
      <c r="U65" s="21">
        <f t="shared" si="44"/>
        <v>34.247999999999998</v>
      </c>
      <c r="V65" s="24">
        <f t="shared" si="43"/>
        <v>1427000</v>
      </c>
    </row>
    <row r="66" spans="1:22" x14ac:dyDescent="0.25">
      <c r="A66" s="15"/>
      <c r="B66" s="16"/>
      <c r="C66" s="59"/>
      <c r="D66" s="16"/>
      <c r="E66" s="28" t="s">
        <v>123</v>
      </c>
      <c r="F66" s="18"/>
      <c r="G66" s="22">
        <v>0</v>
      </c>
      <c r="H66" s="22">
        <v>0</v>
      </c>
      <c r="I66" s="22">
        <v>0</v>
      </c>
      <c r="J66" s="22">
        <v>0</v>
      </c>
      <c r="K66" s="22">
        <v>4000</v>
      </c>
      <c r="L66" s="22">
        <v>0</v>
      </c>
      <c r="M66" s="22">
        <v>0</v>
      </c>
      <c r="N66" s="22">
        <v>0</v>
      </c>
      <c r="O66" s="22">
        <v>0</v>
      </c>
      <c r="P66" s="98">
        <v>0</v>
      </c>
      <c r="Q66" s="90">
        <v>0</v>
      </c>
      <c r="R66" s="106">
        <v>0</v>
      </c>
      <c r="S66" s="23">
        <f t="shared" si="42"/>
        <v>4000</v>
      </c>
      <c r="T66" s="118">
        <v>0</v>
      </c>
      <c r="U66" s="21" t="e">
        <f>S66/T66</f>
        <v>#DIV/0!</v>
      </c>
      <c r="V66" s="24">
        <f t="shared" si="43"/>
        <v>333.33333333333331</v>
      </c>
    </row>
    <row r="67" spans="1:22" x14ac:dyDescent="0.25">
      <c r="A67" s="8"/>
      <c r="B67" s="9"/>
      <c r="C67" s="58"/>
      <c r="D67" s="16"/>
      <c r="E67" s="28" t="s">
        <v>88</v>
      </c>
      <c r="F67" s="11"/>
      <c r="G67" s="22">
        <v>0</v>
      </c>
      <c r="H67" s="22">
        <v>0</v>
      </c>
      <c r="I67" s="22">
        <v>0</v>
      </c>
      <c r="J67" s="22">
        <v>0</v>
      </c>
      <c r="K67" s="22">
        <v>1080000</v>
      </c>
      <c r="L67" s="22">
        <v>600000</v>
      </c>
      <c r="M67" s="113">
        <v>0</v>
      </c>
      <c r="N67" s="22">
        <v>0</v>
      </c>
      <c r="O67" s="22">
        <v>0</v>
      </c>
      <c r="P67" s="98">
        <v>0</v>
      </c>
      <c r="Q67" s="90">
        <v>1800000</v>
      </c>
      <c r="R67" s="106">
        <v>0</v>
      </c>
      <c r="S67" s="23">
        <f t="shared" si="42"/>
        <v>3480000</v>
      </c>
      <c r="T67" s="116">
        <v>5400000</v>
      </c>
      <c r="U67" s="21">
        <f t="shared" ref="U67:U82" si="45">S67/T67</f>
        <v>0.64444444444444449</v>
      </c>
      <c r="V67" s="24">
        <f t="shared" si="43"/>
        <v>290000</v>
      </c>
    </row>
    <row r="68" spans="1:22" x14ac:dyDescent="0.25">
      <c r="A68" s="8"/>
      <c r="B68" s="9"/>
      <c r="C68" s="58"/>
      <c r="D68" s="16"/>
      <c r="E68" s="28" t="s">
        <v>103</v>
      </c>
      <c r="F68" s="11"/>
      <c r="G68" s="22">
        <v>12400000</v>
      </c>
      <c r="H68" s="22">
        <v>0</v>
      </c>
      <c r="I68" s="22">
        <v>4000000</v>
      </c>
      <c r="J68" s="22">
        <v>0</v>
      </c>
      <c r="K68" s="22">
        <v>0</v>
      </c>
      <c r="L68" s="22">
        <v>0</v>
      </c>
      <c r="M68" s="22">
        <v>0</v>
      </c>
      <c r="N68" s="22">
        <v>7952232</v>
      </c>
      <c r="O68" s="22">
        <v>11700000</v>
      </c>
      <c r="P68" s="98">
        <v>3900000</v>
      </c>
      <c r="Q68" s="90">
        <v>0</v>
      </c>
      <c r="R68" s="106">
        <v>0</v>
      </c>
      <c r="S68" s="23">
        <f t="shared" si="42"/>
        <v>39952232</v>
      </c>
      <c r="T68" s="116">
        <v>54300000</v>
      </c>
      <c r="U68" s="21">
        <f>S68/T68</f>
        <v>0.73576854511970535</v>
      </c>
      <c r="V68" s="24">
        <f t="shared" si="43"/>
        <v>3329352.6666666665</v>
      </c>
    </row>
    <row r="69" spans="1:22" x14ac:dyDescent="0.25">
      <c r="A69" s="8"/>
      <c r="B69" s="9"/>
      <c r="C69" s="58"/>
      <c r="D69" s="16"/>
      <c r="E69" s="28" t="s">
        <v>104</v>
      </c>
      <c r="F69" s="11"/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2000000</v>
      </c>
      <c r="M69" s="22">
        <v>10000000</v>
      </c>
      <c r="N69" s="22">
        <v>13000000</v>
      </c>
      <c r="O69" s="22">
        <v>0</v>
      </c>
      <c r="P69" s="98">
        <v>0</v>
      </c>
      <c r="Q69" s="90">
        <v>0</v>
      </c>
      <c r="R69" s="106">
        <v>0</v>
      </c>
      <c r="S69" s="23">
        <f>SUM(G69:R69)</f>
        <v>25000000</v>
      </c>
      <c r="T69" s="116">
        <v>60250000</v>
      </c>
      <c r="U69" s="21">
        <f>S69/T69</f>
        <v>0.41493775933609961</v>
      </c>
      <c r="V69" s="24">
        <f t="shared" si="43"/>
        <v>2083333.3333333333</v>
      </c>
    </row>
    <row r="70" spans="1:22" x14ac:dyDescent="0.25">
      <c r="A70" s="8"/>
      <c r="B70" s="9"/>
      <c r="C70" s="58"/>
      <c r="D70" s="16"/>
      <c r="E70" s="28" t="s">
        <v>105</v>
      </c>
      <c r="F70" s="11"/>
      <c r="G70" s="22">
        <v>1500000</v>
      </c>
      <c r="H70" s="22">
        <v>13200000</v>
      </c>
      <c r="I70" s="22">
        <v>0</v>
      </c>
      <c r="J70" s="22">
        <v>0</v>
      </c>
      <c r="K70" s="22">
        <v>0</v>
      </c>
      <c r="L70" s="22">
        <v>0</v>
      </c>
      <c r="M70" s="22">
        <v>3000000</v>
      </c>
      <c r="N70" s="22">
        <v>19000000</v>
      </c>
      <c r="O70" s="22">
        <v>16000000</v>
      </c>
      <c r="P70" s="98">
        <v>8500000</v>
      </c>
      <c r="Q70" s="90">
        <v>0</v>
      </c>
      <c r="R70" s="106">
        <v>0</v>
      </c>
      <c r="S70" s="23">
        <f t="shared" si="42"/>
        <v>61200000</v>
      </c>
      <c r="T70" s="116">
        <v>29400000</v>
      </c>
      <c r="U70" s="21">
        <f t="shared" si="45"/>
        <v>2.0816326530612246</v>
      </c>
      <c r="V70" s="24">
        <f t="shared" si="43"/>
        <v>5100000</v>
      </c>
    </row>
    <row r="71" spans="1:22" x14ac:dyDescent="0.25">
      <c r="A71" s="8"/>
      <c r="B71" s="9"/>
      <c r="C71" s="58"/>
      <c r="D71" s="16"/>
      <c r="E71" s="28" t="s">
        <v>106</v>
      </c>
      <c r="F71" s="11"/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98">
        <v>0</v>
      </c>
      <c r="Q71" s="90">
        <v>0</v>
      </c>
      <c r="R71" s="106">
        <v>0</v>
      </c>
      <c r="S71" s="23">
        <f t="shared" si="42"/>
        <v>0</v>
      </c>
      <c r="T71" s="116">
        <v>17500000</v>
      </c>
      <c r="U71" s="21">
        <f t="shared" si="45"/>
        <v>0</v>
      </c>
      <c r="V71" s="24">
        <f t="shared" si="43"/>
        <v>0</v>
      </c>
    </row>
    <row r="72" spans="1:22" x14ac:dyDescent="0.25">
      <c r="A72" s="8"/>
      <c r="B72" s="9"/>
      <c r="C72" s="58"/>
      <c r="D72" s="16"/>
      <c r="E72" s="28" t="s">
        <v>107</v>
      </c>
      <c r="F72" s="11"/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98">
        <v>0</v>
      </c>
      <c r="Q72" s="90">
        <v>0</v>
      </c>
      <c r="R72" s="106">
        <v>0</v>
      </c>
      <c r="S72" s="23">
        <f t="shared" si="42"/>
        <v>0</v>
      </c>
      <c r="T72" s="118">
        <v>17500000</v>
      </c>
      <c r="U72" s="21">
        <f t="shared" si="45"/>
        <v>0</v>
      </c>
      <c r="V72" s="24">
        <f t="shared" si="43"/>
        <v>0</v>
      </c>
    </row>
    <row r="73" spans="1:22" x14ac:dyDescent="0.25">
      <c r="A73" s="8"/>
      <c r="B73" s="9"/>
      <c r="C73" s="58"/>
      <c r="D73" s="16"/>
      <c r="E73" s="28" t="s">
        <v>108</v>
      </c>
      <c r="F73" s="11"/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98">
        <v>0</v>
      </c>
      <c r="Q73" s="90">
        <v>0</v>
      </c>
      <c r="R73" s="106">
        <v>0</v>
      </c>
      <c r="S73" s="23">
        <f t="shared" si="42"/>
        <v>0</v>
      </c>
      <c r="T73" s="119">
        <v>17500000</v>
      </c>
      <c r="U73" s="21">
        <f t="shared" si="45"/>
        <v>0</v>
      </c>
      <c r="V73" s="24">
        <f t="shared" si="43"/>
        <v>0</v>
      </c>
    </row>
    <row r="74" spans="1:22" x14ac:dyDescent="0.25">
      <c r="A74" s="8"/>
      <c r="B74" s="9"/>
      <c r="C74" s="58"/>
      <c r="D74" s="6"/>
      <c r="E74" s="41" t="s">
        <v>109</v>
      </c>
      <c r="F74" s="11"/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98">
        <v>0</v>
      </c>
      <c r="Q74" s="90">
        <v>0</v>
      </c>
      <c r="R74" s="106">
        <v>0</v>
      </c>
      <c r="S74" s="23">
        <f t="shared" si="42"/>
        <v>0</v>
      </c>
      <c r="T74" s="116">
        <v>17500000</v>
      </c>
      <c r="U74" s="21">
        <f t="shared" si="45"/>
        <v>0</v>
      </c>
      <c r="V74" s="24">
        <f t="shared" si="43"/>
        <v>0</v>
      </c>
    </row>
    <row r="75" spans="1:22" x14ac:dyDescent="0.25">
      <c r="A75" s="8"/>
      <c r="B75" s="9"/>
      <c r="C75" s="58"/>
      <c r="D75" s="6"/>
      <c r="E75" s="123" t="s">
        <v>110</v>
      </c>
      <c r="F75" s="11"/>
      <c r="G75" s="22">
        <v>5940000</v>
      </c>
      <c r="H75" s="22">
        <v>4605000</v>
      </c>
      <c r="I75" s="22">
        <v>0</v>
      </c>
      <c r="J75" s="22">
        <v>0</v>
      </c>
      <c r="K75" s="22">
        <v>0</v>
      </c>
      <c r="L75" s="22">
        <v>0</v>
      </c>
      <c r="M75" s="22">
        <v>5400000</v>
      </c>
      <c r="N75" s="22">
        <v>5145000</v>
      </c>
      <c r="O75" s="22">
        <v>0</v>
      </c>
      <c r="P75" s="98">
        <v>0</v>
      </c>
      <c r="Q75" s="90">
        <v>0</v>
      </c>
      <c r="R75" s="106">
        <v>0</v>
      </c>
      <c r="S75" s="23">
        <f t="shared" si="42"/>
        <v>21090000</v>
      </c>
      <c r="T75" s="116">
        <v>21090000</v>
      </c>
      <c r="U75" s="21">
        <f t="shared" si="45"/>
        <v>1</v>
      </c>
      <c r="V75" s="24">
        <f t="shared" si="43"/>
        <v>1757500</v>
      </c>
    </row>
    <row r="76" spans="1:22" x14ac:dyDescent="0.25">
      <c r="A76" s="8"/>
      <c r="B76" s="9"/>
      <c r="C76" s="58"/>
      <c r="D76" s="6"/>
      <c r="E76" s="123" t="s">
        <v>111</v>
      </c>
      <c r="F76" s="11"/>
      <c r="G76" s="22">
        <v>1422000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1404000</v>
      </c>
      <c r="N76" s="22">
        <v>0</v>
      </c>
      <c r="O76" s="22">
        <v>0</v>
      </c>
      <c r="P76" s="98">
        <v>0</v>
      </c>
      <c r="Q76" s="90">
        <v>0</v>
      </c>
      <c r="R76" s="106">
        <v>1422000</v>
      </c>
      <c r="S76" s="23">
        <f t="shared" si="42"/>
        <v>4248000</v>
      </c>
      <c r="T76" s="116">
        <v>2844000</v>
      </c>
      <c r="U76" s="21">
        <f t="shared" si="45"/>
        <v>1.4936708860759493</v>
      </c>
      <c r="V76" s="24">
        <f t="shared" si="43"/>
        <v>354000</v>
      </c>
    </row>
    <row r="77" spans="1:22" x14ac:dyDescent="0.25">
      <c r="A77" s="8"/>
      <c r="B77" s="9"/>
      <c r="C77" s="58"/>
      <c r="D77" s="6"/>
      <c r="E77" s="123" t="s">
        <v>112</v>
      </c>
      <c r="F77" s="11"/>
      <c r="G77" s="22">
        <v>0</v>
      </c>
      <c r="H77" s="22">
        <v>6850000</v>
      </c>
      <c r="I77" s="22">
        <v>5146000</v>
      </c>
      <c r="J77" s="22">
        <v>0</v>
      </c>
      <c r="K77" s="22">
        <v>0</v>
      </c>
      <c r="L77" s="22">
        <v>0</v>
      </c>
      <c r="M77" s="22">
        <v>6000000</v>
      </c>
      <c r="N77" s="22">
        <v>8950000</v>
      </c>
      <c r="O77" s="22">
        <v>0</v>
      </c>
      <c r="P77" s="98">
        <v>0</v>
      </c>
      <c r="Q77" s="90">
        <v>0</v>
      </c>
      <c r="R77" s="106">
        <v>0</v>
      </c>
      <c r="S77" s="23">
        <f t="shared" si="42"/>
        <v>26946000</v>
      </c>
      <c r="T77" s="118">
        <v>26400000</v>
      </c>
      <c r="U77" s="21">
        <f t="shared" si="45"/>
        <v>1.0206818181818182</v>
      </c>
      <c r="V77" s="24">
        <f t="shared" si="43"/>
        <v>2245500</v>
      </c>
    </row>
    <row r="78" spans="1:22" x14ac:dyDescent="0.25">
      <c r="A78" s="8"/>
      <c r="B78" s="9"/>
      <c r="C78" s="58"/>
      <c r="D78" s="6"/>
      <c r="E78" s="123" t="s">
        <v>113</v>
      </c>
      <c r="F78" s="11"/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98">
        <v>0</v>
      </c>
      <c r="Q78" s="90">
        <v>0</v>
      </c>
      <c r="R78" s="106">
        <v>0</v>
      </c>
      <c r="S78" s="23">
        <f t="shared" si="42"/>
        <v>0</v>
      </c>
      <c r="T78" s="119">
        <v>30950000</v>
      </c>
      <c r="U78" s="21">
        <f t="shared" si="45"/>
        <v>0</v>
      </c>
      <c r="V78" s="24">
        <f t="shared" si="43"/>
        <v>0</v>
      </c>
    </row>
    <row r="79" spans="1:22" x14ac:dyDescent="0.25">
      <c r="A79" s="8"/>
      <c r="B79" s="9"/>
      <c r="C79" s="58"/>
      <c r="D79" s="6"/>
      <c r="E79" s="123" t="s">
        <v>114</v>
      </c>
      <c r="F79" s="11"/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98">
        <v>0</v>
      </c>
      <c r="Q79" s="90">
        <v>0</v>
      </c>
      <c r="R79" s="106">
        <v>0</v>
      </c>
      <c r="S79" s="23">
        <f t="shared" si="42"/>
        <v>0</v>
      </c>
      <c r="T79" s="116">
        <v>24380000</v>
      </c>
      <c r="U79" s="21">
        <f t="shared" si="45"/>
        <v>0</v>
      </c>
      <c r="V79" s="24">
        <f t="shared" si="43"/>
        <v>0</v>
      </c>
    </row>
    <row r="80" spans="1:22" x14ac:dyDescent="0.25">
      <c r="A80" s="8"/>
      <c r="B80" s="9"/>
      <c r="C80" s="58"/>
      <c r="D80" s="6"/>
      <c r="E80" s="123" t="s">
        <v>115</v>
      </c>
      <c r="F80" s="11"/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98">
        <v>0</v>
      </c>
      <c r="Q80" s="90">
        <v>0</v>
      </c>
      <c r="R80" s="106">
        <v>0</v>
      </c>
      <c r="S80" s="23">
        <f t="shared" si="42"/>
        <v>0</v>
      </c>
      <c r="T80" s="116">
        <v>0</v>
      </c>
      <c r="U80" s="21" t="e">
        <f t="shared" si="45"/>
        <v>#DIV/0!</v>
      </c>
      <c r="V80" s="24">
        <f t="shared" si="43"/>
        <v>0</v>
      </c>
    </row>
    <row r="81" spans="1:23" x14ac:dyDescent="0.25">
      <c r="A81" s="8"/>
      <c r="B81" s="9"/>
      <c r="C81" s="58"/>
      <c r="D81" s="6"/>
      <c r="E81" s="123" t="s">
        <v>116</v>
      </c>
      <c r="F81" s="11"/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98">
        <v>0</v>
      </c>
      <c r="Q81" s="90">
        <v>0</v>
      </c>
      <c r="R81" s="106">
        <v>0</v>
      </c>
      <c r="S81" s="23">
        <f t="shared" si="42"/>
        <v>0</v>
      </c>
      <c r="T81" s="118">
        <v>0</v>
      </c>
      <c r="U81" s="21" t="e">
        <f t="shared" si="45"/>
        <v>#DIV/0!</v>
      </c>
      <c r="V81" s="24">
        <f t="shared" si="43"/>
        <v>0</v>
      </c>
    </row>
    <row r="82" spans="1:23" ht="15.75" thickBot="1" x14ac:dyDescent="0.3">
      <c r="A82" s="8"/>
      <c r="B82" s="9"/>
      <c r="C82" s="58"/>
      <c r="E82" s="114" t="s">
        <v>74</v>
      </c>
      <c r="F82" s="12"/>
      <c r="G82" s="22">
        <v>50000</v>
      </c>
      <c r="H82" s="22">
        <v>150000</v>
      </c>
      <c r="I82" s="22">
        <v>480000</v>
      </c>
      <c r="J82" s="22">
        <v>20000</v>
      </c>
      <c r="K82" s="22">
        <v>0</v>
      </c>
      <c r="L82" s="22">
        <v>60000</v>
      </c>
      <c r="M82" s="22">
        <v>65000</v>
      </c>
      <c r="N82" s="22">
        <v>0</v>
      </c>
      <c r="O82" s="22">
        <v>95000</v>
      </c>
      <c r="P82" s="98">
        <v>0</v>
      </c>
      <c r="Q82" s="90">
        <v>0</v>
      </c>
      <c r="R82" s="106">
        <v>0</v>
      </c>
      <c r="S82" s="23">
        <f t="shared" si="42"/>
        <v>920000</v>
      </c>
      <c r="T82" s="119">
        <v>0</v>
      </c>
      <c r="U82" s="21" t="e">
        <f t="shared" si="45"/>
        <v>#DIV/0!</v>
      </c>
      <c r="V82" s="24">
        <f t="shared" si="43"/>
        <v>76666.666666666672</v>
      </c>
    </row>
    <row r="83" spans="1:23" ht="15.75" thickBot="1" x14ac:dyDescent="0.3">
      <c r="A83" s="54"/>
      <c r="B83" s="70"/>
      <c r="C83" s="71"/>
      <c r="D83" s="70"/>
      <c r="E83" s="72"/>
      <c r="F83" s="55"/>
      <c r="G83" s="77">
        <f t="shared" ref="G83:T83" si="46">SUM(G63:G82)</f>
        <v>27879120</v>
      </c>
      <c r="H83" s="77">
        <f t="shared" si="46"/>
        <v>24805000</v>
      </c>
      <c r="I83" s="77">
        <f t="shared" si="46"/>
        <v>19756000</v>
      </c>
      <c r="J83" s="77">
        <f t="shared" si="46"/>
        <v>38789065</v>
      </c>
      <c r="K83" s="77">
        <f t="shared" si="46"/>
        <v>16058000</v>
      </c>
      <c r="L83" s="77">
        <f t="shared" si="46"/>
        <v>10560000</v>
      </c>
      <c r="M83" s="77">
        <f t="shared" si="46"/>
        <v>29359000</v>
      </c>
      <c r="N83" s="77">
        <f t="shared" si="46"/>
        <v>69638032</v>
      </c>
      <c r="O83" s="77">
        <f t="shared" si="46"/>
        <v>30368000</v>
      </c>
      <c r="P83" s="77">
        <f t="shared" si="46"/>
        <v>12860000</v>
      </c>
      <c r="Q83" s="64">
        <f t="shared" si="46"/>
        <v>19616000</v>
      </c>
      <c r="R83" s="73">
        <f t="shared" si="46"/>
        <v>24517000</v>
      </c>
      <c r="S83" s="77">
        <f t="shared" si="46"/>
        <v>324205217</v>
      </c>
      <c r="T83" s="77">
        <f t="shared" si="46"/>
        <v>452064000</v>
      </c>
      <c r="U83" s="80">
        <f>S83/T83</f>
        <v>0.71716663348552412</v>
      </c>
      <c r="V83" s="77">
        <f>SUM(V63:V82)</f>
        <v>27017101.416666668</v>
      </c>
      <c r="W83" s="85" t="s">
        <v>85</v>
      </c>
    </row>
    <row r="84" spans="1:23" x14ac:dyDescent="0.25">
      <c r="A84" s="15"/>
      <c r="B84" s="16"/>
      <c r="C84" s="59"/>
      <c r="D84" s="74"/>
      <c r="E84" s="17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7"/>
      <c r="Q84" s="18"/>
      <c r="R84" s="16"/>
      <c r="S84" s="23"/>
      <c r="T84" s="23"/>
      <c r="U84" s="21"/>
      <c r="V84" s="24"/>
    </row>
    <row r="85" spans="1:23" x14ac:dyDescent="0.25">
      <c r="A85" s="15">
        <v>8</v>
      </c>
      <c r="B85" s="16"/>
      <c r="C85" s="59"/>
      <c r="D85" s="2" t="s">
        <v>53</v>
      </c>
      <c r="E85" s="17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7"/>
      <c r="Q85" s="18"/>
      <c r="R85" s="16"/>
      <c r="S85" s="23"/>
      <c r="T85" s="121"/>
      <c r="U85" s="21"/>
      <c r="V85" s="24"/>
    </row>
    <row r="86" spans="1:23" x14ac:dyDescent="0.25">
      <c r="A86" s="15"/>
      <c r="B86" s="16"/>
      <c r="C86" s="59"/>
      <c r="D86" s="16"/>
      <c r="E86" s="41" t="s">
        <v>55</v>
      </c>
      <c r="F86" s="19"/>
      <c r="G86" s="22">
        <v>9949000</v>
      </c>
      <c r="H86" s="22">
        <v>7772250</v>
      </c>
      <c r="I86" s="22">
        <v>5462000</v>
      </c>
      <c r="J86" s="22">
        <v>15402000</v>
      </c>
      <c r="K86" s="22">
        <v>8729000</v>
      </c>
      <c r="L86" s="22">
        <v>16607500</v>
      </c>
      <c r="M86" s="22">
        <v>3689500</v>
      </c>
      <c r="N86" s="22">
        <v>7478000</v>
      </c>
      <c r="O86" s="22">
        <v>2976500</v>
      </c>
      <c r="P86" s="98">
        <v>3420000</v>
      </c>
      <c r="Q86" s="90">
        <v>7438000</v>
      </c>
      <c r="R86" s="106">
        <v>6237500</v>
      </c>
      <c r="S86" s="23">
        <f t="shared" ref="S86:S100" si="47">SUM(G86:R86)</f>
        <v>95161250</v>
      </c>
      <c r="T86" s="116">
        <v>189116991</v>
      </c>
      <c r="U86" s="21">
        <f>S86/T86</f>
        <v>0.50318720436917275</v>
      </c>
      <c r="V86" s="24">
        <f t="shared" ref="V86:V100" si="48">S86/12</f>
        <v>7930104.166666667</v>
      </c>
    </row>
    <row r="87" spans="1:23" x14ac:dyDescent="0.25">
      <c r="A87" s="15"/>
      <c r="B87" s="16"/>
      <c r="C87" s="59"/>
      <c r="D87" s="16"/>
      <c r="E87" s="41" t="s">
        <v>56</v>
      </c>
      <c r="F87" s="19"/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1075000</v>
      </c>
      <c r="M87" s="22">
        <v>160000</v>
      </c>
      <c r="N87" s="22">
        <v>0</v>
      </c>
      <c r="O87" s="22">
        <v>40000</v>
      </c>
      <c r="P87" s="98">
        <v>230000</v>
      </c>
      <c r="Q87" s="90">
        <v>1740000</v>
      </c>
      <c r="R87" s="106">
        <v>660000</v>
      </c>
      <c r="S87" s="23">
        <f t="shared" si="47"/>
        <v>3905000</v>
      </c>
      <c r="T87" s="116">
        <v>2190000</v>
      </c>
      <c r="U87" s="21">
        <f>S87/T87</f>
        <v>1.7831050228310503</v>
      </c>
      <c r="V87" s="24">
        <f t="shared" si="48"/>
        <v>325416.66666666669</v>
      </c>
    </row>
    <row r="88" spans="1:23" x14ac:dyDescent="0.25">
      <c r="A88" s="15"/>
      <c r="B88" s="16"/>
      <c r="C88" s="59"/>
      <c r="D88" s="16"/>
      <c r="E88" s="41" t="s">
        <v>57</v>
      </c>
      <c r="F88" s="19"/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98">
        <v>0</v>
      </c>
      <c r="Q88" s="90">
        <v>0</v>
      </c>
      <c r="R88" s="106">
        <v>0</v>
      </c>
      <c r="S88" s="23">
        <f t="shared" si="47"/>
        <v>0</v>
      </c>
      <c r="T88" s="116">
        <v>0</v>
      </c>
      <c r="U88" s="21" t="e">
        <f t="shared" ref="U88:U100" si="49">S88/T88</f>
        <v>#DIV/0!</v>
      </c>
      <c r="V88" s="24">
        <f t="shared" si="48"/>
        <v>0</v>
      </c>
    </row>
    <row r="89" spans="1:23" x14ac:dyDescent="0.25">
      <c r="A89" s="15"/>
      <c r="B89" s="16"/>
      <c r="C89" s="59"/>
      <c r="D89" s="16"/>
      <c r="E89" s="41" t="s">
        <v>58</v>
      </c>
      <c r="F89" s="19"/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98">
        <v>0</v>
      </c>
      <c r="Q89" s="90">
        <v>0</v>
      </c>
      <c r="R89" s="106">
        <v>0</v>
      </c>
      <c r="S89" s="23">
        <f t="shared" si="47"/>
        <v>0</v>
      </c>
      <c r="T89" s="116">
        <v>0</v>
      </c>
      <c r="U89" s="21" t="e">
        <f t="shared" si="49"/>
        <v>#DIV/0!</v>
      </c>
      <c r="V89" s="24">
        <f t="shared" si="48"/>
        <v>0</v>
      </c>
    </row>
    <row r="90" spans="1:23" x14ac:dyDescent="0.25">
      <c r="A90" s="15"/>
      <c r="B90" s="16"/>
      <c r="C90" s="59"/>
      <c r="D90" s="16"/>
      <c r="E90" s="41" t="s">
        <v>59</v>
      </c>
      <c r="F90" s="19"/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98">
        <v>0</v>
      </c>
      <c r="Q90" s="90">
        <v>0</v>
      </c>
      <c r="R90" s="106">
        <v>0</v>
      </c>
      <c r="S90" s="23">
        <f t="shared" si="47"/>
        <v>0</v>
      </c>
      <c r="T90" s="118">
        <v>0</v>
      </c>
      <c r="U90" s="21" t="e">
        <f t="shared" si="49"/>
        <v>#DIV/0!</v>
      </c>
      <c r="V90" s="24">
        <f t="shared" si="48"/>
        <v>0</v>
      </c>
    </row>
    <row r="91" spans="1:23" x14ac:dyDescent="0.25">
      <c r="A91" s="15"/>
      <c r="B91" s="16"/>
      <c r="C91" s="59"/>
      <c r="D91" s="16"/>
      <c r="E91" s="41" t="s">
        <v>60</v>
      </c>
      <c r="F91" s="19"/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98">
        <v>0</v>
      </c>
      <c r="Q91" s="90">
        <v>0</v>
      </c>
      <c r="R91" s="106">
        <v>0</v>
      </c>
      <c r="S91" s="23">
        <f t="shared" si="47"/>
        <v>0</v>
      </c>
      <c r="T91" s="122">
        <v>0</v>
      </c>
      <c r="U91" s="21" t="e">
        <f t="shared" si="49"/>
        <v>#DIV/0!</v>
      </c>
      <c r="V91" s="24">
        <f t="shared" si="48"/>
        <v>0</v>
      </c>
    </row>
    <row r="92" spans="1:23" x14ac:dyDescent="0.25">
      <c r="A92" s="15"/>
      <c r="B92" s="16"/>
      <c r="C92" s="59"/>
      <c r="D92" s="16"/>
      <c r="E92" s="41" t="s">
        <v>61</v>
      </c>
      <c r="F92" s="19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98">
        <v>0</v>
      </c>
      <c r="Q92" s="90">
        <v>0</v>
      </c>
      <c r="R92" s="106">
        <v>0</v>
      </c>
      <c r="S92" s="23">
        <f t="shared" si="47"/>
        <v>0</v>
      </c>
      <c r="T92" s="116">
        <v>0</v>
      </c>
      <c r="U92" s="21" t="e">
        <f t="shared" si="49"/>
        <v>#DIV/0!</v>
      </c>
      <c r="V92" s="24">
        <f>S92/12</f>
        <v>0</v>
      </c>
    </row>
    <row r="93" spans="1:23" x14ac:dyDescent="0.25">
      <c r="A93" s="15"/>
      <c r="B93" s="16"/>
      <c r="C93" s="59"/>
      <c r="D93" s="16"/>
      <c r="E93" s="41" t="s">
        <v>83</v>
      </c>
      <c r="F93" s="19"/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98">
        <v>0</v>
      </c>
      <c r="Q93" s="90">
        <v>0</v>
      </c>
      <c r="R93" s="106">
        <v>0</v>
      </c>
      <c r="S93" s="23">
        <f t="shared" si="47"/>
        <v>0</v>
      </c>
      <c r="T93" s="116">
        <v>0</v>
      </c>
      <c r="U93" s="21" t="e">
        <f t="shared" si="49"/>
        <v>#DIV/0!</v>
      </c>
      <c r="V93" s="24">
        <f t="shared" si="48"/>
        <v>0</v>
      </c>
    </row>
    <row r="94" spans="1:23" x14ac:dyDescent="0.25">
      <c r="A94" s="15"/>
      <c r="B94" s="16"/>
      <c r="C94" s="59"/>
      <c r="D94" s="16"/>
      <c r="E94" s="41" t="s">
        <v>62</v>
      </c>
      <c r="F94" s="19"/>
      <c r="G94" s="22">
        <v>2190000</v>
      </c>
      <c r="H94" s="22">
        <v>875000</v>
      </c>
      <c r="I94" s="22">
        <v>140000</v>
      </c>
      <c r="J94" s="22">
        <v>0</v>
      </c>
      <c r="K94" s="22">
        <v>1485000</v>
      </c>
      <c r="L94" s="22">
        <v>200000</v>
      </c>
      <c r="M94" s="22">
        <v>100000</v>
      </c>
      <c r="N94" s="22">
        <v>50000</v>
      </c>
      <c r="O94" s="22">
        <v>400000</v>
      </c>
      <c r="P94" s="98">
        <v>100000</v>
      </c>
      <c r="Q94" s="90">
        <v>0</v>
      </c>
      <c r="R94" s="106">
        <v>150000</v>
      </c>
      <c r="S94" s="23">
        <f t="shared" si="47"/>
        <v>5690000</v>
      </c>
      <c r="T94" s="118">
        <v>705000</v>
      </c>
      <c r="U94" s="21">
        <f>S94/T94</f>
        <v>8.0709219858156036</v>
      </c>
      <c r="V94" s="24">
        <f t="shared" si="48"/>
        <v>474166.66666666669</v>
      </c>
    </row>
    <row r="95" spans="1:23" x14ac:dyDescent="0.25">
      <c r="A95" s="15"/>
      <c r="B95" s="16"/>
      <c r="C95" s="59"/>
      <c r="D95" s="16"/>
      <c r="E95" s="41" t="s">
        <v>84</v>
      </c>
      <c r="F95" s="19"/>
      <c r="G95" s="22">
        <v>550000</v>
      </c>
      <c r="H95" s="22">
        <v>0</v>
      </c>
      <c r="I95" s="22">
        <v>0</v>
      </c>
      <c r="J95" s="22">
        <v>0</v>
      </c>
      <c r="K95" s="22">
        <v>200000</v>
      </c>
      <c r="L95" s="22">
        <v>0</v>
      </c>
      <c r="M95" s="22">
        <v>0</v>
      </c>
      <c r="N95" s="22">
        <v>0</v>
      </c>
      <c r="O95" s="22">
        <v>0</v>
      </c>
      <c r="P95" s="98">
        <v>0</v>
      </c>
      <c r="Q95" s="90">
        <v>0</v>
      </c>
      <c r="R95" s="106">
        <v>0</v>
      </c>
      <c r="S95" s="23">
        <f t="shared" si="47"/>
        <v>750000</v>
      </c>
      <c r="T95" s="118">
        <v>0</v>
      </c>
      <c r="U95" s="21" t="e">
        <f>S95/T95</f>
        <v>#DIV/0!</v>
      </c>
      <c r="V95" s="24">
        <f t="shared" si="48"/>
        <v>62500</v>
      </c>
    </row>
    <row r="96" spans="1:23" x14ac:dyDescent="0.25">
      <c r="A96" s="15"/>
      <c r="B96" s="16"/>
      <c r="C96" s="59"/>
      <c r="D96" s="16"/>
      <c r="E96" s="41" t="s">
        <v>63</v>
      </c>
      <c r="F96" s="19"/>
      <c r="G96" s="22">
        <v>100000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98">
        <v>0</v>
      </c>
      <c r="Q96" s="90">
        <v>0</v>
      </c>
      <c r="R96" s="106">
        <v>0</v>
      </c>
      <c r="S96" s="23">
        <f t="shared" si="47"/>
        <v>100000</v>
      </c>
      <c r="T96" s="122">
        <v>101694</v>
      </c>
      <c r="U96" s="21">
        <f t="shared" si="49"/>
        <v>0.98334218341298407</v>
      </c>
      <c r="V96" s="24">
        <f t="shared" si="48"/>
        <v>8333.3333333333339</v>
      </c>
    </row>
    <row r="97" spans="1:28" x14ac:dyDescent="0.25">
      <c r="A97" s="15"/>
      <c r="B97" s="16"/>
      <c r="C97" s="59"/>
      <c r="D97" s="16"/>
      <c r="E97" s="41" t="s">
        <v>64</v>
      </c>
      <c r="F97" s="19"/>
      <c r="G97" s="22">
        <v>150000</v>
      </c>
      <c r="H97" s="22">
        <v>0</v>
      </c>
      <c r="I97" s="22">
        <v>0</v>
      </c>
      <c r="J97" s="22">
        <v>0</v>
      </c>
      <c r="K97" s="22">
        <v>32500</v>
      </c>
      <c r="L97" s="22">
        <v>0</v>
      </c>
      <c r="M97" s="22">
        <v>0</v>
      </c>
      <c r="N97" s="22">
        <v>0</v>
      </c>
      <c r="O97" s="22">
        <v>0</v>
      </c>
      <c r="P97" s="98">
        <v>0</v>
      </c>
      <c r="Q97" s="90">
        <v>0</v>
      </c>
      <c r="R97" s="106">
        <v>0</v>
      </c>
      <c r="S97" s="23">
        <f t="shared" si="47"/>
        <v>182500</v>
      </c>
      <c r="T97" s="118">
        <v>245000</v>
      </c>
      <c r="U97" s="21">
        <f t="shared" si="49"/>
        <v>0.74489795918367352</v>
      </c>
      <c r="V97" s="24">
        <f t="shared" si="48"/>
        <v>15208.333333333334</v>
      </c>
    </row>
    <row r="98" spans="1:28" x14ac:dyDescent="0.25">
      <c r="A98" s="15"/>
      <c r="B98" s="16"/>
      <c r="C98" s="59"/>
      <c r="D98" s="16"/>
      <c r="E98" s="41" t="s">
        <v>65</v>
      </c>
      <c r="F98" s="19"/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98">
        <v>0</v>
      </c>
      <c r="Q98" s="90">
        <v>0</v>
      </c>
      <c r="R98" s="106">
        <v>0</v>
      </c>
      <c r="S98" s="23">
        <f t="shared" si="47"/>
        <v>0</v>
      </c>
      <c r="T98" s="122">
        <v>0</v>
      </c>
      <c r="U98" s="21" t="e">
        <f t="shared" si="49"/>
        <v>#DIV/0!</v>
      </c>
      <c r="V98" s="24">
        <f t="shared" si="48"/>
        <v>0</v>
      </c>
    </row>
    <row r="99" spans="1:28" x14ac:dyDescent="0.25">
      <c r="A99" s="15"/>
      <c r="B99" s="16"/>
      <c r="C99" s="59"/>
      <c r="D99" s="16"/>
      <c r="E99" s="41" t="s">
        <v>66</v>
      </c>
      <c r="F99" s="19"/>
      <c r="G99" s="22">
        <v>4530000</v>
      </c>
      <c r="H99" s="22">
        <v>3200000</v>
      </c>
      <c r="I99" s="22">
        <v>4215000</v>
      </c>
      <c r="J99" s="22">
        <v>5620000</v>
      </c>
      <c r="K99" s="22">
        <v>2885000</v>
      </c>
      <c r="L99" s="22">
        <v>3350000</v>
      </c>
      <c r="M99" s="22">
        <v>5900000</v>
      </c>
      <c r="N99" s="22">
        <v>5006000</v>
      </c>
      <c r="O99" s="22">
        <v>6261000</v>
      </c>
      <c r="P99" s="98">
        <v>2575000</v>
      </c>
      <c r="Q99" s="90">
        <v>7180000</v>
      </c>
      <c r="R99" s="106">
        <v>2776000</v>
      </c>
      <c r="S99" s="23">
        <f t="shared" si="47"/>
        <v>53498000</v>
      </c>
      <c r="T99" s="118">
        <v>47719805</v>
      </c>
      <c r="U99" s="21">
        <f t="shared" si="49"/>
        <v>1.1210858887625379</v>
      </c>
      <c r="V99" s="24">
        <f t="shared" si="48"/>
        <v>4458166.666666667</v>
      </c>
    </row>
    <row r="100" spans="1:28" ht="15.75" thickBot="1" x14ac:dyDescent="0.3">
      <c r="A100" s="35"/>
      <c r="B100" s="36"/>
      <c r="C100" s="62"/>
      <c r="D100" s="36"/>
      <c r="E100" s="42" t="s">
        <v>67</v>
      </c>
      <c r="F100" s="37"/>
      <c r="G100" s="32">
        <v>0</v>
      </c>
      <c r="H100" s="32">
        <v>0</v>
      </c>
      <c r="I100" s="32">
        <v>350000</v>
      </c>
      <c r="J100" s="32">
        <v>2723000</v>
      </c>
      <c r="K100" s="32">
        <v>50000</v>
      </c>
      <c r="L100" s="32">
        <v>0</v>
      </c>
      <c r="M100" s="32">
        <v>100000</v>
      </c>
      <c r="N100" s="32">
        <v>0</v>
      </c>
      <c r="O100" s="32">
        <v>150000</v>
      </c>
      <c r="P100" s="102">
        <v>0</v>
      </c>
      <c r="Q100" s="93">
        <v>90000</v>
      </c>
      <c r="R100" s="112">
        <v>0</v>
      </c>
      <c r="S100" s="23">
        <f t="shared" si="47"/>
        <v>3463000</v>
      </c>
      <c r="T100" s="128">
        <v>1150000</v>
      </c>
      <c r="U100" s="21">
        <f t="shared" si="49"/>
        <v>3.011304347826087</v>
      </c>
      <c r="V100" s="24">
        <f t="shared" si="48"/>
        <v>288583.33333333331</v>
      </c>
    </row>
    <row r="101" spans="1:28" s="51" customFormat="1" ht="15.75" thickBot="1" x14ac:dyDescent="0.3">
      <c r="A101" s="54"/>
      <c r="B101" s="55"/>
      <c r="C101" s="64"/>
      <c r="D101" s="55"/>
      <c r="E101" s="55"/>
      <c r="F101" s="55"/>
      <c r="G101" s="75">
        <f t="shared" ref="G101:S101" si="50">SUM(G86:G100)</f>
        <v>17469000</v>
      </c>
      <c r="H101" s="75">
        <f t="shared" si="50"/>
        <v>11847250</v>
      </c>
      <c r="I101" s="75">
        <f t="shared" si="50"/>
        <v>10167000</v>
      </c>
      <c r="J101" s="75">
        <f>SUM(J86:J100)</f>
        <v>23745000</v>
      </c>
      <c r="K101" s="75">
        <f t="shared" ref="K101" si="51">SUM(K86:K100)</f>
        <v>13381500</v>
      </c>
      <c r="L101" s="75">
        <f t="shared" ref="L101:P101" si="52">SUM(L86:L100)</f>
        <v>21232500</v>
      </c>
      <c r="M101" s="75">
        <f>SUM(M86:M100)</f>
        <v>9949500</v>
      </c>
      <c r="N101" s="75">
        <f t="shared" si="52"/>
        <v>12534000</v>
      </c>
      <c r="O101" s="75">
        <f t="shared" si="52"/>
        <v>9827500</v>
      </c>
      <c r="P101" s="75">
        <f t="shared" si="52"/>
        <v>6325000</v>
      </c>
      <c r="Q101" s="75">
        <f>SUM(Q86:Q100)</f>
        <v>16448000</v>
      </c>
      <c r="R101" s="75">
        <f>SUM(R86:R100)</f>
        <v>9823500</v>
      </c>
      <c r="S101" s="56">
        <f t="shared" si="50"/>
        <v>162749750</v>
      </c>
      <c r="T101" s="79">
        <f>SUM(T86:T100)</f>
        <v>241228490</v>
      </c>
      <c r="U101" s="80">
        <f>S101/T101</f>
        <v>0.67467051673705702</v>
      </c>
      <c r="V101" s="75">
        <f>SUM(V86:V100)</f>
        <v>13562479.16666667</v>
      </c>
      <c r="Y101" s="131"/>
      <c r="Z101" s="131"/>
      <c r="AA101" s="131"/>
      <c r="AB101" s="131"/>
    </row>
    <row r="102" spans="1:28" s="51" customFormat="1" ht="15.75" thickBot="1" x14ac:dyDescent="0.3">
      <c r="A102" s="43"/>
      <c r="B102" s="46"/>
      <c r="C102" s="63"/>
      <c r="D102" s="46"/>
      <c r="E102" s="46"/>
      <c r="F102" s="46"/>
      <c r="G102" s="83">
        <f t="shared" ref="G102:T102" si="53">G38+G60+G83+G101</f>
        <v>329118271</v>
      </c>
      <c r="H102" s="83">
        <f t="shared" si="53"/>
        <v>278243850</v>
      </c>
      <c r="I102" s="83">
        <f t="shared" si="53"/>
        <v>307287000</v>
      </c>
      <c r="J102" s="83">
        <f t="shared" si="53"/>
        <v>277046465</v>
      </c>
      <c r="K102" s="83">
        <f t="shared" si="53"/>
        <v>280788700</v>
      </c>
      <c r="L102" s="83">
        <f t="shared" si="53"/>
        <v>249963500</v>
      </c>
      <c r="M102" s="83">
        <f t="shared" si="53"/>
        <v>243397550</v>
      </c>
      <c r="N102" s="83">
        <f t="shared" si="53"/>
        <v>263341032</v>
      </c>
      <c r="O102" s="83">
        <f t="shared" si="53"/>
        <v>212544090</v>
      </c>
      <c r="P102" s="83">
        <f t="shared" si="53"/>
        <v>235866500</v>
      </c>
      <c r="Q102" s="83">
        <f t="shared" si="53"/>
        <v>244300458</v>
      </c>
      <c r="R102" s="83">
        <f t="shared" si="53"/>
        <v>224709500</v>
      </c>
      <c r="S102" s="83">
        <f t="shared" si="53"/>
        <v>3146606916</v>
      </c>
      <c r="T102" s="83">
        <f t="shared" si="53"/>
        <v>5128125880.1999998</v>
      </c>
      <c r="U102" s="76">
        <f>S102/T102</f>
        <v>0.61359783076878771</v>
      </c>
      <c r="V102" s="83">
        <f>V38+V60+V83+V101</f>
        <v>262217242.99999997</v>
      </c>
      <c r="Y102" s="131"/>
      <c r="Z102" s="131"/>
      <c r="AA102" s="131"/>
      <c r="AB102" s="131"/>
    </row>
    <row r="103" spans="1:28" x14ac:dyDescent="0.25">
      <c r="A103" s="5"/>
      <c r="B103" s="6"/>
      <c r="C103" s="5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6"/>
    </row>
    <row r="104" spans="1:28" ht="9" customHeight="1" x14ac:dyDescent="0.25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33"/>
      <c r="V104" s="133"/>
    </row>
    <row r="105" spans="1:28" ht="1.5" hidden="1" customHeight="1" x14ac:dyDescent="0.25">
      <c r="B105" s="67" t="s">
        <v>102</v>
      </c>
      <c r="C105" s="57"/>
      <c r="D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86"/>
      <c r="V105" s="86"/>
    </row>
    <row r="106" spans="1:28" ht="15" hidden="1" customHeight="1" x14ac:dyDescent="0.25">
      <c r="B106" s="6" t="s">
        <v>81</v>
      </c>
      <c r="C106" s="57">
        <v>299775369</v>
      </c>
      <c r="D106" s="6"/>
      <c r="E106" s="6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86"/>
      <c r="V106" s="86"/>
    </row>
    <row r="107" spans="1:28" ht="15" hidden="1" customHeight="1" thickBot="1" x14ac:dyDescent="0.3">
      <c r="B107" s="6" t="s">
        <v>82</v>
      </c>
      <c r="C107" s="66">
        <v>2941444</v>
      </c>
      <c r="D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86"/>
      <c r="V107" s="86"/>
    </row>
    <row r="108" spans="1:28" ht="15" hidden="1" customHeight="1" thickTop="1" x14ac:dyDescent="0.25">
      <c r="B108" s="6"/>
      <c r="C108" s="68">
        <f>SUM(C106:C107)</f>
        <v>302716813</v>
      </c>
      <c r="D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86"/>
      <c r="V108" s="86"/>
    </row>
    <row r="109" spans="1:28" ht="15" hidden="1" customHeight="1" x14ac:dyDescent="0.25">
      <c r="B109" s="6"/>
      <c r="C109" s="57"/>
      <c r="D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6"/>
      <c r="V109" s="86"/>
    </row>
    <row r="110" spans="1:28" ht="15" hidden="1" customHeight="1" x14ac:dyDescent="0.25">
      <c r="B110" s="6"/>
      <c r="C110" s="69">
        <f>C108-R102</f>
        <v>78007313</v>
      </c>
      <c r="D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86"/>
      <c r="V110" s="86"/>
    </row>
    <row r="111" spans="1:28" ht="15" hidden="1" customHeight="1" x14ac:dyDescent="0.25">
      <c r="B111" s="67" t="s">
        <v>134</v>
      </c>
      <c r="C111" s="57"/>
      <c r="D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6"/>
      <c r="V111" s="86"/>
    </row>
    <row r="112" spans="1:28" ht="15" hidden="1" customHeight="1" x14ac:dyDescent="0.25">
      <c r="B112" s="6" t="s">
        <v>81</v>
      </c>
      <c r="C112" s="57">
        <v>0</v>
      </c>
      <c r="D112" s="6"/>
      <c r="E112" s="6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6"/>
      <c r="V112" s="86"/>
    </row>
    <row r="113" spans="2:22" ht="15" hidden="1" customHeight="1" thickBot="1" x14ac:dyDescent="0.3">
      <c r="B113" s="6" t="s">
        <v>82</v>
      </c>
      <c r="C113" s="66">
        <v>0</v>
      </c>
      <c r="D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6"/>
      <c r="V113" s="86"/>
    </row>
    <row r="114" spans="2:22" ht="15" hidden="1" customHeight="1" thickTop="1" x14ac:dyDescent="0.25">
      <c r="B114" s="6"/>
      <c r="C114" s="68">
        <f>SUM(C112:C113)</f>
        <v>0</v>
      </c>
      <c r="D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6"/>
      <c r="V114" s="86"/>
    </row>
    <row r="115" spans="2:22" ht="15" hidden="1" customHeight="1" x14ac:dyDescent="0.25">
      <c r="B115" s="6"/>
      <c r="C115" s="57"/>
      <c r="D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6"/>
      <c r="V115" s="86"/>
    </row>
    <row r="116" spans="2:22" ht="15" hidden="1" customHeight="1" x14ac:dyDescent="0.25">
      <c r="B116" s="6"/>
      <c r="C116" s="69">
        <f>C114-Q102</f>
        <v>-244300458</v>
      </c>
      <c r="D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6"/>
      <c r="V116" s="86"/>
    </row>
    <row r="117" spans="2:22" ht="15" hidden="1" customHeight="1" x14ac:dyDescent="0.25">
      <c r="B117" s="67" t="s">
        <v>133</v>
      </c>
      <c r="C117" s="57"/>
      <c r="D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6"/>
      <c r="V117" s="86"/>
    </row>
    <row r="118" spans="2:22" ht="15" hidden="1" customHeight="1" x14ac:dyDescent="0.25">
      <c r="B118" s="6" t="s">
        <v>81</v>
      </c>
      <c r="C118" s="57">
        <v>235451500</v>
      </c>
      <c r="D118" s="6"/>
      <c r="E118" s="6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86"/>
      <c r="V118" s="86"/>
    </row>
    <row r="119" spans="2:22" ht="15" hidden="1" customHeight="1" thickBot="1" x14ac:dyDescent="0.3">
      <c r="B119" s="6" t="s">
        <v>82</v>
      </c>
      <c r="C119" s="66">
        <v>415000</v>
      </c>
      <c r="D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6"/>
      <c r="V119" s="86"/>
    </row>
    <row r="120" spans="2:22" ht="3" customHeight="1" x14ac:dyDescent="0.25">
      <c r="B120" s="6"/>
      <c r="C120" s="68">
        <f>SUM(C118:C119)</f>
        <v>235866500</v>
      </c>
      <c r="D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6"/>
      <c r="V120" s="86"/>
    </row>
    <row r="121" spans="2:22" ht="15" hidden="1" customHeight="1" x14ac:dyDescent="0.25">
      <c r="B121" s="6"/>
      <c r="C121" s="57"/>
      <c r="D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6"/>
      <c r="V121" s="86"/>
    </row>
    <row r="122" spans="2:22" ht="15" hidden="1" customHeight="1" x14ac:dyDescent="0.25">
      <c r="B122" s="6"/>
      <c r="C122" s="69">
        <f>C120-P102</f>
        <v>0</v>
      </c>
      <c r="D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6"/>
      <c r="V122" s="86"/>
    </row>
    <row r="123" spans="2:22" ht="15" hidden="1" customHeight="1" x14ac:dyDescent="0.25">
      <c r="B123" s="67" t="s">
        <v>132</v>
      </c>
      <c r="C123" s="57"/>
      <c r="D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6"/>
      <c r="V123" s="86"/>
    </row>
    <row r="124" spans="2:22" ht="15" hidden="1" customHeight="1" x14ac:dyDescent="0.25">
      <c r="B124" s="6" t="s">
        <v>81</v>
      </c>
      <c r="C124" s="57">
        <v>211947090</v>
      </c>
      <c r="D124" s="6"/>
      <c r="E124" s="6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6"/>
      <c r="V124" s="86"/>
    </row>
    <row r="125" spans="2:22" ht="15" hidden="1" customHeight="1" thickBot="1" x14ac:dyDescent="0.3">
      <c r="B125" s="6" t="s">
        <v>82</v>
      </c>
      <c r="C125" s="66">
        <v>597000</v>
      </c>
      <c r="D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6"/>
      <c r="V125" s="86"/>
    </row>
    <row r="126" spans="2:22" ht="15" hidden="1" customHeight="1" thickTop="1" x14ac:dyDescent="0.25">
      <c r="B126" s="6"/>
      <c r="C126" s="68">
        <f>SUM(C124:C125)</f>
        <v>212544090</v>
      </c>
      <c r="D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6"/>
      <c r="V126" s="86"/>
    </row>
    <row r="127" spans="2:22" ht="15" hidden="1" customHeight="1" x14ac:dyDescent="0.25">
      <c r="B127" s="6"/>
      <c r="C127" s="57"/>
      <c r="D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6"/>
      <c r="V127" s="86"/>
    </row>
    <row r="128" spans="2:22" ht="15" hidden="1" customHeight="1" x14ac:dyDescent="0.25">
      <c r="B128" s="6"/>
      <c r="C128" s="69">
        <f>C126-O102</f>
        <v>0</v>
      </c>
      <c r="D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6"/>
      <c r="V128" s="86"/>
    </row>
    <row r="129" spans="2:22" ht="15" hidden="1" customHeight="1" x14ac:dyDescent="0.25">
      <c r="B129" s="67" t="s">
        <v>130</v>
      </c>
      <c r="C129" s="57"/>
      <c r="D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6"/>
      <c r="V129" s="86"/>
    </row>
    <row r="130" spans="2:22" ht="12.75" hidden="1" customHeight="1" x14ac:dyDescent="0.25">
      <c r="B130" s="6" t="s">
        <v>81</v>
      </c>
      <c r="C130" s="57">
        <v>262329032</v>
      </c>
      <c r="D130" s="6"/>
      <c r="E130" s="6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6"/>
      <c r="V130" s="86"/>
    </row>
    <row r="131" spans="2:22" ht="12.75" hidden="1" customHeight="1" thickBot="1" x14ac:dyDescent="0.3">
      <c r="B131" s="6" t="s">
        <v>82</v>
      </c>
      <c r="C131" s="66">
        <v>1012000</v>
      </c>
      <c r="D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86"/>
      <c r="V131" s="86"/>
    </row>
    <row r="132" spans="2:22" ht="12.75" hidden="1" customHeight="1" thickTop="1" x14ac:dyDescent="0.25">
      <c r="B132" s="6"/>
      <c r="C132" s="68">
        <f>SUM(C130:C131)</f>
        <v>263341032</v>
      </c>
      <c r="D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6"/>
      <c r="V132" s="86"/>
    </row>
    <row r="133" spans="2:22" ht="12.75" hidden="1" customHeight="1" x14ac:dyDescent="0.25">
      <c r="B133" s="6"/>
      <c r="C133" s="57"/>
      <c r="D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6"/>
      <c r="V133" s="86"/>
    </row>
    <row r="134" spans="2:22" ht="12.75" hidden="1" customHeight="1" x14ac:dyDescent="0.25">
      <c r="B134" s="6"/>
      <c r="C134" s="69">
        <f>C132-N102</f>
        <v>0</v>
      </c>
      <c r="D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6"/>
      <c r="V134" s="86"/>
    </row>
    <row r="135" spans="2:22" ht="12.75" hidden="1" customHeight="1" x14ac:dyDescent="0.25">
      <c r="B135" s="67" t="s">
        <v>131</v>
      </c>
      <c r="C135" s="57"/>
      <c r="D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6"/>
      <c r="V135" s="86"/>
    </row>
    <row r="136" spans="2:22" ht="17.25" hidden="1" customHeight="1" x14ac:dyDescent="0.25">
      <c r="B136" s="6" t="s">
        <v>81</v>
      </c>
      <c r="C136" s="57">
        <v>242017050</v>
      </c>
      <c r="D136" s="6"/>
      <c r="E136" s="6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6"/>
      <c r="V136" s="86"/>
    </row>
    <row r="137" spans="2:22" ht="15" hidden="1" customHeight="1" thickBot="1" x14ac:dyDescent="0.3">
      <c r="B137" s="6" t="s">
        <v>82</v>
      </c>
      <c r="C137" s="66">
        <v>1380500</v>
      </c>
      <c r="D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6"/>
      <c r="V137" s="86"/>
    </row>
    <row r="138" spans="2:22" ht="15.75" hidden="1" customHeight="1" thickTop="1" x14ac:dyDescent="0.25">
      <c r="B138" s="6"/>
      <c r="C138" s="68">
        <f>SUM(C136:C137)</f>
        <v>243397550</v>
      </c>
      <c r="D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6"/>
      <c r="V138" s="86"/>
    </row>
    <row r="139" spans="2:22" ht="18" hidden="1" customHeight="1" x14ac:dyDescent="0.25">
      <c r="B139" s="6"/>
      <c r="C139" s="57"/>
      <c r="D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6"/>
      <c r="V139" s="86"/>
    </row>
    <row r="140" spans="2:22" ht="15" hidden="1" customHeight="1" x14ac:dyDescent="0.25">
      <c r="B140" s="6"/>
      <c r="C140" s="69">
        <f>C138-M102</f>
        <v>0</v>
      </c>
      <c r="D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86"/>
      <c r="V140" s="86"/>
    </row>
    <row r="141" spans="2:22" ht="12" hidden="1" customHeight="1" x14ac:dyDescent="0.25">
      <c r="B141" s="67" t="s">
        <v>129</v>
      </c>
      <c r="C141" s="57"/>
      <c r="D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6"/>
      <c r="V141" s="86"/>
    </row>
    <row r="142" spans="2:22" ht="15" hidden="1" customHeight="1" x14ac:dyDescent="0.25">
      <c r="B142" s="6" t="s">
        <v>81</v>
      </c>
      <c r="C142" s="57">
        <v>249253500</v>
      </c>
      <c r="D142" s="6"/>
      <c r="E142" s="6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6"/>
      <c r="V142" s="86"/>
    </row>
    <row r="143" spans="2:22" ht="15" hidden="1" customHeight="1" thickBot="1" x14ac:dyDescent="0.3">
      <c r="B143" s="6" t="s">
        <v>82</v>
      </c>
      <c r="C143" s="66">
        <v>710000</v>
      </c>
      <c r="D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6"/>
      <c r="V143" s="86"/>
    </row>
    <row r="144" spans="2:22" ht="15" hidden="1" customHeight="1" thickTop="1" x14ac:dyDescent="0.25">
      <c r="B144" s="6"/>
      <c r="C144" s="68">
        <f>SUM(C142:C143)</f>
        <v>249963500</v>
      </c>
      <c r="D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6"/>
      <c r="V144" s="86"/>
    </row>
    <row r="145" spans="2:22" ht="15" hidden="1" customHeight="1" x14ac:dyDescent="0.25">
      <c r="B145" s="6"/>
      <c r="C145" s="57"/>
      <c r="D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6"/>
      <c r="V145" s="86"/>
    </row>
    <row r="146" spans="2:22" ht="15" hidden="1" customHeight="1" x14ac:dyDescent="0.25">
      <c r="B146" s="6"/>
      <c r="C146" s="69">
        <f>C144-L102</f>
        <v>0</v>
      </c>
      <c r="D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6"/>
      <c r="V146" s="86"/>
    </row>
    <row r="147" spans="2:22" ht="15" hidden="1" customHeight="1" x14ac:dyDescent="0.25">
      <c r="B147" s="67" t="s">
        <v>128</v>
      </c>
      <c r="C147" s="57"/>
      <c r="D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6"/>
      <c r="V147" s="86"/>
    </row>
    <row r="148" spans="2:22" ht="15" hidden="1" customHeight="1" x14ac:dyDescent="0.25">
      <c r="B148" s="6" t="s">
        <v>81</v>
      </c>
      <c r="C148" s="57">
        <v>278921700</v>
      </c>
      <c r="D148" s="6"/>
      <c r="E148" s="6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86"/>
      <c r="V148" s="86"/>
    </row>
    <row r="149" spans="2:22" ht="6" hidden="1" customHeight="1" thickBot="1" x14ac:dyDescent="0.3">
      <c r="B149" s="6" t="s">
        <v>82</v>
      </c>
      <c r="C149" s="66">
        <v>1867000</v>
      </c>
      <c r="D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86"/>
      <c r="V149" s="86"/>
    </row>
    <row r="150" spans="2:22" ht="15" hidden="1" customHeight="1" thickTop="1" x14ac:dyDescent="0.25">
      <c r="B150" s="6"/>
      <c r="C150" s="68">
        <f>SUM(C148:C149)</f>
        <v>280788700</v>
      </c>
      <c r="D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86"/>
      <c r="V150" s="86"/>
    </row>
    <row r="151" spans="2:22" ht="15" hidden="1" customHeight="1" x14ac:dyDescent="0.25">
      <c r="B151" s="6"/>
      <c r="C151" s="57"/>
      <c r="D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86"/>
      <c r="V151" s="86"/>
    </row>
    <row r="152" spans="2:22" ht="15" hidden="1" customHeight="1" x14ac:dyDescent="0.25">
      <c r="B152" s="6"/>
      <c r="C152" s="69">
        <f>C150-K102</f>
        <v>0</v>
      </c>
      <c r="D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86"/>
      <c r="V152" s="86"/>
    </row>
    <row r="153" spans="2:22" ht="15" hidden="1" customHeight="1" x14ac:dyDescent="0.25">
      <c r="B153" s="67" t="s">
        <v>127</v>
      </c>
      <c r="C153" s="57"/>
      <c r="D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6"/>
      <c r="V153" s="86"/>
    </row>
    <row r="154" spans="2:22" ht="15" hidden="1" customHeight="1" x14ac:dyDescent="0.25">
      <c r="B154" s="6" t="s">
        <v>81</v>
      </c>
      <c r="C154" s="57">
        <v>274646065</v>
      </c>
      <c r="D154" s="6"/>
      <c r="E154" s="6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6"/>
      <c r="V154" s="86"/>
    </row>
    <row r="155" spans="2:22" ht="15" hidden="1" customHeight="1" thickBot="1" x14ac:dyDescent="0.3">
      <c r="B155" s="6" t="s">
        <v>82</v>
      </c>
      <c r="C155" s="66">
        <v>2400400</v>
      </c>
      <c r="D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6"/>
      <c r="V155" s="86"/>
    </row>
    <row r="156" spans="2:22" ht="15" hidden="1" customHeight="1" thickTop="1" x14ac:dyDescent="0.25">
      <c r="B156" s="6"/>
      <c r="C156" s="68">
        <f>SUM(C154:C155)</f>
        <v>277046465</v>
      </c>
      <c r="D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6"/>
      <c r="V156" s="86"/>
    </row>
    <row r="157" spans="2:22" ht="15" hidden="1" customHeight="1" x14ac:dyDescent="0.25">
      <c r="B157" s="6"/>
      <c r="C157" s="57"/>
      <c r="D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86"/>
      <c r="V157" s="86"/>
    </row>
    <row r="158" spans="2:22" ht="15" hidden="1" customHeight="1" x14ac:dyDescent="0.25">
      <c r="B158" s="6"/>
      <c r="C158" s="69">
        <f>C156-J102</f>
        <v>0</v>
      </c>
      <c r="D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6"/>
      <c r="V158" s="86"/>
    </row>
    <row r="159" spans="2:22" ht="15" hidden="1" customHeight="1" x14ac:dyDescent="0.25">
      <c r="B159" s="67" t="s">
        <v>125</v>
      </c>
      <c r="C159" s="57"/>
      <c r="D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6"/>
      <c r="V159" s="86"/>
    </row>
    <row r="160" spans="2:22" ht="15" hidden="1" customHeight="1" x14ac:dyDescent="0.25">
      <c r="B160" s="6" t="s">
        <v>81</v>
      </c>
      <c r="C160" s="57">
        <v>304986400</v>
      </c>
      <c r="D160" s="6"/>
      <c r="E160" s="6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86"/>
      <c r="V160" s="86"/>
    </row>
    <row r="161" spans="2:22" ht="15" hidden="1" customHeight="1" thickBot="1" x14ac:dyDescent="0.3">
      <c r="B161" s="6" t="s">
        <v>82</v>
      </c>
      <c r="C161" s="66">
        <v>2300600</v>
      </c>
      <c r="D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6"/>
      <c r="V161" s="86"/>
    </row>
    <row r="162" spans="2:22" ht="15" hidden="1" customHeight="1" thickTop="1" x14ac:dyDescent="0.25">
      <c r="B162" s="6"/>
      <c r="C162" s="68">
        <f>SUM(C160:C161)</f>
        <v>307287000</v>
      </c>
      <c r="D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86"/>
      <c r="V162" s="86"/>
    </row>
    <row r="163" spans="2:22" ht="15" hidden="1" customHeight="1" x14ac:dyDescent="0.25">
      <c r="B163" s="6"/>
      <c r="C163" s="57"/>
      <c r="D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6"/>
      <c r="V163" s="86"/>
    </row>
    <row r="164" spans="2:22" ht="15" hidden="1" customHeight="1" x14ac:dyDescent="0.25">
      <c r="B164" s="6"/>
      <c r="C164" s="69">
        <f>C162-I102</f>
        <v>0</v>
      </c>
      <c r="D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6"/>
      <c r="V164" s="86"/>
    </row>
    <row r="165" spans="2:22" ht="15" hidden="1" customHeight="1" x14ac:dyDescent="0.25">
      <c r="B165" s="67" t="s">
        <v>124</v>
      </c>
      <c r="C165" s="57"/>
      <c r="D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86"/>
      <c r="V165" s="86"/>
    </row>
    <row r="166" spans="2:22" ht="15" hidden="1" customHeight="1" x14ac:dyDescent="0.25">
      <c r="B166" s="6" t="s">
        <v>81</v>
      </c>
      <c r="C166" s="57">
        <v>276617850</v>
      </c>
      <c r="D166" s="6"/>
      <c r="E166" s="6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6"/>
      <c r="V166" s="86"/>
    </row>
    <row r="167" spans="2:22" ht="15" hidden="1" customHeight="1" thickBot="1" x14ac:dyDescent="0.3">
      <c r="B167" s="6" t="s">
        <v>82</v>
      </c>
      <c r="C167" s="66">
        <v>1626000</v>
      </c>
      <c r="D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6"/>
      <c r="V167" s="86"/>
    </row>
    <row r="168" spans="2:22" ht="15" hidden="1" customHeight="1" thickTop="1" x14ac:dyDescent="0.25">
      <c r="B168" s="6"/>
      <c r="C168" s="68">
        <f>SUM(C166:C167)</f>
        <v>278243850</v>
      </c>
      <c r="D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86"/>
      <c r="V168" s="86"/>
    </row>
    <row r="169" spans="2:22" ht="15" hidden="1" customHeight="1" x14ac:dyDescent="0.25">
      <c r="B169" s="6"/>
      <c r="C169" s="57"/>
      <c r="D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86"/>
      <c r="V169" s="86"/>
    </row>
    <row r="170" spans="2:22" ht="15" hidden="1" customHeight="1" x14ac:dyDescent="0.25">
      <c r="B170" s="6"/>
      <c r="C170" s="69">
        <f>C168-H102</f>
        <v>0</v>
      </c>
      <c r="D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86"/>
      <c r="V170" s="86"/>
    </row>
    <row r="171" spans="2:22" ht="15" hidden="1" customHeight="1" x14ac:dyDescent="0.25">
      <c r="B171" s="67" t="s">
        <v>122</v>
      </c>
      <c r="C171" s="57"/>
      <c r="D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86"/>
      <c r="V171" s="86"/>
    </row>
    <row r="172" spans="2:22" ht="15" hidden="1" customHeight="1" x14ac:dyDescent="0.25">
      <c r="B172" s="6" t="s">
        <v>81</v>
      </c>
      <c r="C172" s="57">
        <v>326557071</v>
      </c>
      <c r="D172" s="6"/>
      <c r="E172" s="6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86"/>
      <c r="V172" s="86"/>
    </row>
    <row r="173" spans="2:22" ht="15.75" hidden="1" thickBot="1" x14ac:dyDescent="0.3">
      <c r="B173" s="6" t="s">
        <v>82</v>
      </c>
      <c r="C173" s="66">
        <v>2561200</v>
      </c>
      <c r="D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86"/>
      <c r="V173" s="86"/>
    </row>
    <row r="174" spans="2:22" ht="15.75" hidden="1" thickTop="1" x14ac:dyDescent="0.25">
      <c r="B174" s="6"/>
      <c r="C174" s="68">
        <f>SUM(C172:C173)</f>
        <v>329118271</v>
      </c>
      <c r="D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86"/>
      <c r="V174" s="86"/>
    </row>
    <row r="175" spans="2:22" hidden="1" x14ac:dyDescent="0.25">
      <c r="B175" s="6"/>
      <c r="C175" s="57"/>
      <c r="D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86"/>
      <c r="V175" s="86"/>
    </row>
    <row r="176" spans="2:22" hidden="1" x14ac:dyDescent="0.25">
      <c r="B176" s="6"/>
      <c r="C176" s="69">
        <f>C174-G102</f>
        <v>0</v>
      </c>
      <c r="D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86"/>
      <c r="V176" s="86"/>
    </row>
    <row r="177" spans="1:28" s="6" customFormat="1" ht="14.25" hidden="1" x14ac:dyDescent="0.2">
      <c r="A177" s="5"/>
      <c r="C177" s="57"/>
      <c r="U177" s="7"/>
      <c r="Y177" s="132"/>
      <c r="Z177" s="132"/>
      <c r="AA177" s="132"/>
      <c r="AB177" s="132"/>
    </row>
    <row r="178" spans="1:28" s="6" customFormat="1" hidden="1" thickTop="1" x14ac:dyDescent="0.2">
      <c r="A178" s="5"/>
      <c r="C178" s="57"/>
      <c r="U178" s="7"/>
      <c r="Y178" s="132"/>
      <c r="Z178" s="132"/>
      <c r="AA178" s="132"/>
      <c r="AB178" s="132"/>
    </row>
    <row r="179" spans="1:28" s="6" customFormat="1" ht="14.25" x14ac:dyDescent="0.2">
      <c r="A179" s="5"/>
      <c r="C179" s="57"/>
      <c r="U179" s="7"/>
      <c r="Y179" s="132"/>
      <c r="Z179" s="132"/>
      <c r="AA179" s="132"/>
      <c r="AB179" s="132"/>
    </row>
  </sheetData>
  <mergeCells count="12">
    <mergeCell ref="U104:V104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39370078740157483" header="0.11811023622047245" footer="0.11811023622047245"/>
  <pageSetup paperSize="9" scale="68" fitToHeight="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2023</vt:lpstr>
      <vt:lpstr>Sheet5</vt:lpstr>
      <vt:lpstr>'RPD 2023'!Print_Area</vt:lpstr>
      <vt:lpstr>'RPD 2023'!Print_Titles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 User</cp:lastModifiedBy>
  <cp:lastPrinted>2021-06-07T00:07:07Z</cp:lastPrinted>
  <dcterms:created xsi:type="dcterms:W3CDTF">2020-01-06T01:47:07Z</dcterms:created>
  <dcterms:modified xsi:type="dcterms:W3CDTF">2024-01-02T02:48:12Z</dcterms:modified>
</cp:coreProperties>
</file>