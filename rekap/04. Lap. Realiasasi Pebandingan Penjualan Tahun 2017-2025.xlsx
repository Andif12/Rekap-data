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Arshaka Maherza Zaldy\07. File Lap. Keuangan 2025\02. Lap. Akhir Bulan\Lap. Bulanan Makassar\10. Lap. Akhir Bulan Per Oktober 2025\"/>
    </mc:Choice>
  </mc:AlternateContent>
  <bookViews>
    <workbookView xWindow="-120" yWindow="-120" windowWidth="21840" windowHeight="13140" tabRatio="810" firstSheet="16" activeTab="18"/>
  </bookViews>
  <sheets>
    <sheet name="Realisasi Pen. Januari" sheetId="21" state="hidden" r:id="rId1"/>
    <sheet name="Realisasi Pen. Februari" sheetId="22" state="hidden" r:id="rId2"/>
    <sheet name="Realisasi Pen. Maret" sheetId="23" state="hidden" r:id="rId3"/>
    <sheet name="Realisasi Pen. April" sheetId="24" state="hidden" r:id="rId4"/>
    <sheet name="Realisasi Pen. Mei" sheetId="25" state="hidden" r:id="rId5"/>
    <sheet name="Realisasi Pen. Juni" sheetId="27" state="hidden" r:id="rId6"/>
    <sheet name="Realisasi Pen. Juli" sheetId="28" state="hidden" r:id="rId7"/>
    <sheet name="Realisasi Pen. Agustus" sheetId="29" state="hidden" r:id="rId8"/>
    <sheet name="Realisasi Pen. September" sheetId="30" state="hidden" r:id="rId9"/>
    <sheet name="Realisasi Pen. Oktober" sheetId="31" state="hidden" r:id="rId10"/>
    <sheet name="Realisasi Pen. November" sheetId="32" state="hidden" r:id="rId11"/>
    <sheet name="Penggantian" sheetId="6" state="hidden" r:id="rId12"/>
    <sheet name="Realisasi 2017-2019" sheetId="10" r:id="rId13"/>
    <sheet name="Rea. Pen. PEMDA" sheetId="12" state="hidden" r:id="rId14"/>
    <sheet name="Realisasi 2017-2020" sheetId="34" r:id="rId15"/>
    <sheet name="Realisasi 2017-2021" sheetId="35" r:id="rId16"/>
    <sheet name="Realisasi 2017-2022" sheetId="37" r:id="rId17"/>
    <sheet name="Realisasi 2017-2024" sheetId="36" r:id="rId18"/>
    <sheet name="Realisasi 2017-2025" sheetId="38" r:id="rId19"/>
  </sheets>
  <definedNames>
    <definedName name="_xlnm.Print_Area" localSheetId="13">'Rea. Pen. PEMDA'!$B$232:$F$363</definedName>
    <definedName name="_xlnm.Print_Area" localSheetId="12">'Realisasi 2017-2019'!$B$1:$S$73</definedName>
    <definedName name="_xlnm.Print_Area" localSheetId="14">'Realisasi 2017-2020'!$U$9:$U$46</definedName>
    <definedName name="_xlnm.Print_Area" localSheetId="7">'Realisasi Pen. Agustus'!$B$2:$I$91</definedName>
    <definedName name="_xlnm.Print_Area" localSheetId="3">'Realisasi Pen. April'!$B$1:$I$90</definedName>
    <definedName name="_xlnm.Print_Area" localSheetId="1">'Realisasi Pen. Februari'!$B$2:$I$90</definedName>
    <definedName name="_xlnm.Print_Area" localSheetId="0">'Realisasi Pen. Januari'!$B$2:$I$90</definedName>
    <definedName name="_xlnm.Print_Area" localSheetId="6">'Realisasi Pen. Juli'!$B$2:$I$91</definedName>
    <definedName name="_xlnm.Print_Area" localSheetId="5">'Realisasi Pen. Juni'!$B$2:$I$91</definedName>
    <definedName name="_xlnm.Print_Area" localSheetId="2">'Realisasi Pen. Maret'!$B$2:$I$91</definedName>
    <definedName name="_xlnm.Print_Area" localSheetId="4">'Realisasi Pen. Mei'!$B$2:$I$91</definedName>
    <definedName name="_xlnm.Print_Area" localSheetId="10">'Realisasi Pen. November'!$B$2:$I$90</definedName>
    <definedName name="_xlnm.Print_Area" localSheetId="9">'Realisasi Pen. Oktober'!$B$2:$I$90</definedName>
    <definedName name="_xlnm.Print_Area" localSheetId="8">'Realisasi Pen. September'!$B$2:$I$90</definedName>
    <definedName name="_xlnm.Print_Titles" localSheetId="12">'Realisasi 2017-2019'!$4:$5</definedName>
    <definedName name="_xlnm.Print_Titles" localSheetId="14">'Realisasi 2017-2020'!$5:$6</definedName>
  </definedNames>
  <calcPr calcId="162913"/>
</workbook>
</file>

<file path=xl/calcChain.xml><?xml version="1.0" encoding="utf-8"?>
<calcChain xmlns="http://schemas.openxmlformats.org/spreadsheetml/2006/main">
  <c r="AA10" i="38" l="1"/>
  <c r="AB10" i="38" s="1"/>
  <c r="AA72" i="38" l="1"/>
  <c r="AB72" i="38" s="1"/>
  <c r="AA73" i="38"/>
  <c r="AB73" i="38" s="1"/>
  <c r="AA74" i="38"/>
  <c r="AB74" i="38" s="1"/>
  <c r="AA75" i="38"/>
  <c r="AB75" i="38" s="1"/>
  <c r="O64" i="38" l="1"/>
  <c r="Z64" i="38"/>
  <c r="H64" i="38"/>
  <c r="I64" i="38"/>
  <c r="J64" i="38"/>
  <c r="K64" i="38"/>
  <c r="L64" i="38"/>
  <c r="M64" i="38"/>
  <c r="N64" i="38"/>
  <c r="P64" i="38"/>
  <c r="Q64" i="38"/>
  <c r="R64" i="38"/>
  <c r="S64" i="38"/>
  <c r="T64" i="38"/>
  <c r="U64" i="38"/>
  <c r="V64" i="38"/>
  <c r="W64" i="38"/>
  <c r="X64" i="38"/>
  <c r="Y64" i="38"/>
  <c r="G64" i="38"/>
  <c r="H60" i="38"/>
  <c r="G60" i="38"/>
  <c r="AA12" i="38"/>
  <c r="AB12" i="38" s="1"/>
  <c r="N110" i="38"/>
  <c r="N92" i="38"/>
  <c r="N77" i="38"/>
  <c r="N60" i="38"/>
  <c r="N54" i="38"/>
  <c r="N43" i="38"/>
  <c r="N36" i="38"/>
  <c r="N28" i="38"/>
  <c r="N17" i="38"/>
  <c r="Z110" i="38"/>
  <c r="Y110" i="38"/>
  <c r="X110" i="38"/>
  <c r="W110" i="38"/>
  <c r="V110" i="38"/>
  <c r="U110" i="38"/>
  <c r="T110" i="38"/>
  <c r="S110" i="38"/>
  <c r="R110" i="38"/>
  <c r="Q110" i="38"/>
  <c r="P110" i="38"/>
  <c r="O110" i="38"/>
  <c r="M110" i="38"/>
  <c r="L110" i="38"/>
  <c r="K110" i="38"/>
  <c r="J110" i="38"/>
  <c r="I110" i="38"/>
  <c r="H110" i="38"/>
  <c r="G110" i="38"/>
  <c r="AA109" i="38"/>
  <c r="AB109" i="38" s="1"/>
  <c r="AA108" i="38"/>
  <c r="AB108" i="38" s="1"/>
  <c r="AA107" i="38"/>
  <c r="AB107" i="38" s="1"/>
  <c r="AA106" i="38"/>
  <c r="AB106" i="38" s="1"/>
  <c r="AA105" i="38"/>
  <c r="AB105" i="38" s="1"/>
  <c r="AA104" i="38"/>
  <c r="AB104" i="38" s="1"/>
  <c r="AA103" i="38"/>
  <c r="AB103" i="38" s="1"/>
  <c r="AA102" i="38"/>
  <c r="AB102" i="38" s="1"/>
  <c r="AA101" i="38"/>
  <c r="AB101" i="38" s="1"/>
  <c r="AA100" i="38"/>
  <c r="AB100" i="38" s="1"/>
  <c r="AA99" i="38"/>
  <c r="AB99" i="38" s="1"/>
  <c r="AA98" i="38"/>
  <c r="AB98" i="38" s="1"/>
  <c r="AA97" i="38"/>
  <c r="AB97" i="38" s="1"/>
  <c r="AA96" i="38"/>
  <c r="AB96" i="38" s="1"/>
  <c r="AA95" i="38"/>
  <c r="AB95" i="38" s="1"/>
  <c r="Z92" i="38"/>
  <c r="Y92" i="38"/>
  <c r="X92" i="38"/>
  <c r="W92" i="38"/>
  <c r="V92" i="38"/>
  <c r="U92" i="38"/>
  <c r="T92" i="38"/>
  <c r="S92" i="38"/>
  <c r="R92" i="38"/>
  <c r="Q92" i="38"/>
  <c r="P92" i="38"/>
  <c r="O92" i="38"/>
  <c r="M92" i="38"/>
  <c r="L92" i="38"/>
  <c r="K92" i="38"/>
  <c r="J92" i="38"/>
  <c r="I92" i="38"/>
  <c r="H92" i="38"/>
  <c r="G92" i="38"/>
  <c r="AA91" i="38"/>
  <c r="AB91" i="38" s="1"/>
  <c r="AA90" i="38"/>
  <c r="AB90" i="38" s="1"/>
  <c r="AA89" i="38"/>
  <c r="AB89" i="38" s="1"/>
  <c r="AA88" i="38"/>
  <c r="AB88" i="38" s="1"/>
  <c r="AA87" i="38"/>
  <c r="AB87" i="38" s="1"/>
  <c r="AA86" i="38"/>
  <c r="AB86" i="38" s="1"/>
  <c r="AA85" i="38"/>
  <c r="AB85" i="38" s="1"/>
  <c r="AA84" i="38"/>
  <c r="AB84" i="38" s="1"/>
  <c r="AA83" i="38"/>
  <c r="AB83" i="38" s="1"/>
  <c r="AA82" i="38"/>
  <c r="AB82" i="38" s="1"/>
  <c r="AA81" i="38"/>
  <c r="AB81" i="38" s="1"/>
  <c r="AA80" i="38"/>
  <c r="AB80" i="38" s="1"/>
  <c r="Z77" i="38"/>
  <c r="Y77" i="38"/>
  <c r="X77" i="38"/>
  <c r="W77" i="38"/>
  <c r="V77" i="38"/>
  <c r="U77" i="38"/>
  <c r="T77" i="38"/>
  <c r="S77" i="38"/>
  <c r="R77" i="38"/>
  <c r="Q77" i="38"/>
  <c r="P77" i="38"/>
  <c r="O77" i="38"/>
  <c r="M77" i="38"/>
  <c r="L77" i="38"/>
  <c r="K77" i="38"/>
  <c r="J77" i="38"/>
  <c r="I77" i="38"/>
  <c r="H77" i="38"/>
  <c r="G77" i="38"/>
  <c r="AA76" i="38"/>
  <c r="AB76" i="38" s="1"/>
  <c r="AA69" i="38"/>
  <c r="AB69" i="38" s="1"/>
  <c r="AA71" i="38"/>
  <c r="AB71" i="38" s="1"/>
  <c r="AA70" i="38"/>
  <c r="AB70" i="38" s="1"/>
  <c r="AA68" i="38"/>
  <c r="AB68" i="38" s="1"/>
  <c r="AA62" i="38"/>
  <c r="AB62" i="38" s="1"/>
  <c r="AA63" i="38"/>
  <c r="AB63" i="38" s="1"/>
  <c r="Z60" i="38"/>
  <c r="Y60" i="38"/>
  <c r="X60" i="38"/>
  <c r="W60" i="38"/>
  <c r="V60" i="38"/>
  <c r="U60" i="38"/>
  <c r="T60" i="38"/>
  <c r="S60" i="38"/>
  <c r="R60" i="38"/>
  <c r="Q60" i="38"/>
  <c r="P60" i="38"/>
  <c r="O60" i="38"/>
  <c r="M60" i="38"/>
  <c r="L60" i="38"/>
  <c r="K60" i="38"/>
  <c r="J60" i="38"/>
  <c r="I60" i="38"/>
  <c r="AA58" i="38"/>
  <c r="AB58" i="38" s="1"/>
  <c r="AA59" i="38"/>
  <c r="AB59" i="38" s="1"/>
  <c r="AA57" i="38"/>
  <c r="AB57" i="38" s="1"/>
  <c r="Z54" i="38"/>
  <c r="Y54" i="38"/>
  <c r="X54" i="38"/>
  <c r="W54" i="38"/>
  <c r="V54" i="38"/>
  <c r="U54" i="38"/>
  <c r="T54" i="38"/>
  <c r="S54" i="38"/>
  <c r="R54" i="38"/>
  <c r="Q54" i="38"/>
  <c r="P54" i="38"/>
  <c r="O54" i="38"/>
  <c r="M54" i="38"/>
  <c r="L54" i="38"/>
  <c r="K54" i="38"/>
  <c r="J54" i="38"/>
  <c r="I54" i="38"/>
  <c r="H54" i="38"/>
  <c r="G54" i="38"/>
  <c r="AA53" i="38"/>
  <c r="AB53" i="38" s="1"/>
  <c r="AA52" i="38"/>
  <c r="AB52" i="38" s="1"/>
  <c r="AA51" i="38"/>
  <c r="AB51" i="38" s="1"/>
  <c r="AA50" i="38"/>
  <c r="AB50" i="38" s="1"/>
  <c r="AA49" i="38"/>
  <c r="AB49" i="38" s="1"/>
  <c r="AA48" i="38"/>
  <c r="AB48" i="38" s="1"/>
  <c r="AA47" i="38"/>
  <c r="AB47" i="38" s="1"/>
  <c r="AA46" i="38"/>
  <c r="AB46" i="38" s="1"/>
  <c r="Z43" i="38"/>
  <c r="Y43" i="38"/>
  <c r="X43" i="38"/>
  <c r="W43" i="38"/>
  <c r="V43" i="38"/>
  <c r="U43" i="38"/>
  <c r="T43" i="38"/>
  <c r="S43" i="38"/>
  <c r="R43" i="38"/>
  <c r="Q43" i="38"/>
  <c r="P43" i="38"/>
  <c r="O43" i="38"/>
  <c r="M43" i="38"/>
  <c r="L43" i="38"/>
  <c r="K43" i="38"/>
  <c r="J43" i="38"/>
  <c r="I43" i="38"/>
  <c r="H43" i="38"/>
  <c r="G43" i="38"/>
  <c r="AA42" i="38"/>
  <c r="AB42" i="38" s="1"/>
  <c r="AA41" i="38"/>
  <c r="AB41" i="38" s="1"/>
  <c r="AA40" i="38"/>
  <c r="AB40" i="38" s="1"/>
  <c r="AA39" i="38"/>
  <c r="AB39" i="38" s="1"/>
  <c r="Z36" i="38"/>
  <c r="Y36" i="38"/>
  <c r="X36" i="38"/>
  <c r="W36" i="38"/>
  <c r="V36" i="38"/>
  <c r="U36" i="38"/>
  <c r="T36" i="38"/>
  <c r="S36" i="38"/>
  <c r="R36" i="38"/>
  <c r="Q36" i="38"/>
  <c r="P36" i="38"/>
  <c r="O36" i="38"/>
  <c r="M36" i="38"/>
  <c r="L36" i="38"/>
  <c r="K36" i="38"/>
  <c r="J36" i="38"/>
  <c r="I36" i="38"/>
  <c r="H36" i="38"/>
  <c r="G36" i="38"/>
  <c r="AA35" i="38"/>
  <c r="AB35" i="38" s="1"/>
  <c r="AA34" i="38"/>
  <c r="AB34" i="38" s="1"/>
  <c r="AA33" i="38"/>
  <c r="AB33" i="38" s="1"/>
  <c r="AA32" i="38"/>
  <c r="AB32" i="38" s="1"/>
  <c r="Z28" i="38"/>
  <c r="Y28" i="38"/>
  <c r="X28" i="38"/>
  <c r="W28" i="38"/>
  <c r="V28" i="38"/>
  <c r="U28" i="38"/>
  <c r="T28" i="38"/>
  <c r="S28" i="38"/>
  <c r="R28" i="38"/>
  <c r="Q28" i="38"/>
  <c r="P28" i="38"/>
  <c r="O28" i="38"/>
  <c r="M28" i="38"/>
  <c r="L28" i="38"/>
  <c r="K28" i="38"/>
  <c r="J28" i="38"/>
  <c r="I28" i="38"/>
  <c r="H28" i="38"/>
  <c r="G28" i="38"/>
  <c r="AA27" i="38"/>
  <c r="AB27" i="38" s="1"/>
  <c r="AA26" i="38"/>
  <c r="AB26" i="38" s="1"/>
  <c r="AA25" i="38"/>
  <c r="AB25" i="38" s="1"/>
  <c r="AA24" i="38"/>
  <c r="AB24" i="38" s="1"/>
  <c r="AA23" i="38"/>
  <c r="AB23" i="38" s="1"/>
  <c r="AA22" i="38"/>
  <c r="AB22" i="38" s="1"/>
  <c r="AA21" i="38"/>
  <c r="AB21" i="38" s="1"/>
  <c r="AA20" i="38"/>
  <c r="AB20" i="38" s="1"/>
  <c r="Z17" i="38"/>
  <c r="Y17" i="38"/>
  <c r="X17" i="38"/>
  <c r="W17" i="38"/>
  <c r="V17" i="38"/>
  <c r="U17" i="38"/>
  <c r="T17" i="38"/>
  <c r="S17" i="38"/>
  <c r="R17" i="38"/>
  <c r="Q17" i="38"/>
  <c r="P17" i="38"/>
  <c r="O17" i="38"/>
  <c r="M17" i="38"/>
  <c r="L17" i="38"/>
  <c r="K17" i="38"/>
  <c r="J17" i="38"/>
  <c r="I17" i="38"/>
  <c r="H17" i="38"/>
  <c r="G17" i="38"/>
  <c r="AA16" i="38"/>
  <c r="AB16" i="38" s="1"/>
  <c r="AA15" i="38"/>
  <c r="AB15" i="38" s="1"/>
  <c r="AA14" i="38"/>
  <c r="AB14" i="38" s="1"/>
  <c r="AA13" i="38"/>
  <c r="AB13" i="38" s="1"/>
  <c r="AA11" i="38"/>
  <c r="AB11" i="38" s="1"/>
  <c r="AB64" i="38" l="1"/>
  <c r="AB36" i="38"/>
  <c r="AB28" i="38"/>
  <c r="AB60" i="38"/>
  <c r="AB54" i="38"/>
  <c r="AB43" i="38"/>
  <c r="AB77" i="38"/>
  <c r="AA60" i="38"/>
  <c r="AA64" i="38"/>
  <c r="I29" i="38"/>
  <c r="R29" i="38"/>
  <c r="V29" i="38"/>
  <c r="M29" i="38"/>
  <c r="Z29" i="38"/>
  <c r="O29" i="38"/>
  <c r="S29" i="38"/>
  <c r="AA17" i="38"/>
  <c r="J29" i="38"/>
  <c r="W29" i="38"/>
  <c r="H29" i="38"/>
  <c r="L29" i="38"/>
  <c r="Q29" i="38"/>
  <c r="U29" i="38"/>
  <c r="Y29" i="38"/>
  <c r="AA43" i="38"/>
  <c r="G29" i="38"/>
  <c r="K29" i="38"/>
  <c r="P29" i="38"/>
  <c r="T29" i="38"/>
  <c r="X29" i="38"/>
  <c r="H65" i="38"/>
  <c r="L65" i="38"/>
  <c r="I65" i="38"/>
  <c r="I111" i="38" s="1"/>
  <c r="M65" i="38"/>
  <c r="AB17" i="38"/>
  <c r="J65" i="38"/>
  <c r="AA110" i="38"/>
  <c r="AB92" i="38"/>
  <c r="AA92" i="38"/>
  <c r="AA77" i="38"/>
  <c r="V65" i="38"/>
  <c r="R65" i="38"/>
  <c r="Z65" i="38"/>
  <c r="Z111" i="38" s="1"/>
  <c r="U65" i="38"/>
  <c r="Y65" i="38"/>
  <c r="O65" i="38"/>
  <c r="S65" i="38"/>
  <c r="W65" i="38"/>
  <c r="Q65" i="38"/>
  <c r="AA36" i="38"/>
  <c r="N65" i="38"/>
  <c r="N29" i="38"/>
  <c r="G65" i="38"/>
  <c r="K65" i="38"/>
  <c r="K111" i="38" s="1"/>
  <c r="P65" i="38"/>
  <c r="T65" i="38"/>
  <c r="X65" i="38"/>
  <c r="H111" i="38"/>
  <c r="AA28" i="38"/>
  <c r="AA54" i="38"/>
  <c r="AB110" i="38"/>
  <c r="Z10" i="36"/>
  <c r="AA10" i="36" s="1"/>
  <c r="H64" i="36"/>
  <c r="I64" i="36"/>
  <c r="J64" i="36"/>
  <c r="K64" i="36"/>
  <c r="L64" i="36"/>
  <c r="M64" i="36"/>
  <c r="N64" i="36"/>
  <c r="O64" i="36"/>
  <c r="P64" i="36"/>
  <c r="Q64" i="36"/>
  <c r="R64" i="36"/>
  <c r="S64" i="36"/>
  <c r="T64" i="36"/>
  <c r="U64" i="36"/>
  <c r="V64" i="36"/>
  <c r="W64" i="36"/>
  <c r="X64" i="36"/>
  <c r="Y64" i="36"/>
  <c r="G64" i="36"/>
  <c r="H60" i="36"/>
  <c r="I60" i="36"/>
  <c r="J60" i="36"/>
  <c r="K60" i="36"/>
  <c r="L60" i="36"/>
  <c r="M60" i="36"/>
  <c r="N60" i="36"/>
  <c r="O60" i="36"/>
  <c r="P60" i="36"/>
  <c r="Q60" i="36"/>
  <c r="R60" i="36"/>
  <c r="S60" i="36"/>
  <c r="T60" i="36"/>
  <c r="U60" i="36"/>
  <c r="V60" i="36"/>
  <c r="W60" i="36"/>
  <c r="X60" i="36"/>
  <c r="Y60" i="36"/>
  <c r="G60" i="36"/>
  <c r="Z63" i="36"/>
  <c r="AA63" i="36" s="1"/>
  <c r="Z59" i="36"/>
  <c r="AA59" i="36" s="1"/>
  <c r="W111" i="38" l="1"/>
  <c r="V111" i="38"/>
  <c r="U111" i="38"/>
  <c r="S111" i="38"/>
  <c r="R111" i="38"/>
  <c r="AB29" i="38"/>
  <c r="O111" i="38"/>
  <c r="AA65" i="38"/>
  <c r="AA29" i="38"/>
  <c r="T111" i="38"/>
  <c r="M111" i="38"/>
  <c r="P111" i="38"/>
  <c r="Y111" i="38"/>
  <c r="J111" i="38"/>
  <c r="L111" i="38"/>
  <c r="Q111" i="38"/>
  <c r="X111" i="38"/>
  <c r="G111" i="38"/>
  <c r="N111" i="38"/>
  <c r="AB65" i="38"/>
  <c r="Y88" i="36"/>
  <c r="X88" i="36"/>
  <c r="W88" i="36"/>
  <c r="V88" i="36"/>
  <c r="U88" i="36"/>
  <c r="T88" i="36"/>
  <c r="S88" i="36"/>
  <c r="R88" i="36"/>
  <c r="Q88" i="36"/>
  <c r="P88" i="36"/>
  <c r="O88" i="36"/>
  <c r="M88" i="36"/>
  <c r="N88" i="36"/>
  <c r="L88" i="36"/>
  <c r="K88" i="36"/>
  <c r="J88" i="36"/>
  <c r="I88" i="36"/>
  <c r="H88" i="36"/>
  <c r="G88" i="36"/>
  <c r="Y73" i="36"/>
  <c r="X73" i="36"/>
  <c r="W73" i="36"/>
  <c r="V73" i="36"/>
  <c r="U73" i="36"/>
  <c r="T73" i="36"/>
  <c r="S73" i="36"/>
  <c r="R73" i="36"/>
  <c r="Q73" i="36"/>
  <c r="P73" i="36"/>
  <c r="O73" i="36"/>
  <c r="N73" i="36"/>
  <c r="M73" i="36"/>
  <c r="L73" i="36"/>
  <c r="K73" i="36"/>
  <c r="J73" i="36"/>
  <c r="I73" i="36"/>
  <c r="H73" i="36"/>
  <c r="G73" i="36"/>
  <c r="Z72" i="36"/>
  <c r="AA72" i="36" s="1"/>
  <c r="AA111" i="38" l="1"/>
  <c r="AB111" i="38"/>
  <c r="Y54" i="36"/>
  <c r="X54" i="36"/>
  <c r="W54" i="36"/>
  <c r="V54" i="36"/>
  <c r="U54" i="36"/>
  <c r="T54" i="36"/>
  <c r="S54" i="36"/>
  <c r="R54" i="36"/>
  <c r="Q54" i="36"/>
  <c r="P54" i="36"/>
  <c r="O54" i="36"/>
  <c r="N54" i="36"/>
  <c r="M54" i="36"/>
  <c r="L54" i="36"/>
  <c r="K54" i="36"/>
  <c r="J54" i="36"/>
  <c r="I54" i="36"/>
  <c r="H54" i="36"/>
  <c r="G54" i="36"/>
  <c r="Z53" i="36"/>
  <c r="AA53" i="36" s="1"/>
  <c r="Z52" i="36"/>
  <c r="AA52" i="36" s="1"/>
  <c r="Z51" i="36"/>
  <c r="AA51" i="36" s="1"/>
  <c r="Z50" i="36"/>
  <c r="AA50" i="36" s="1"/>
  <c r="Z49" i="36"/>
  <c r="AA49" i="36" s="1"/>
  <c r="Z48" i="36"/>
  <c r="AA48" i="36" s="1"/>
  <c r="Z47" i="36"/>
  <c r="AA47" i="36" s="1"/>
  <c r="Z46" i="36"/>
  <c r="AA46" i="36" s="1"/>
  <c r="N43" i="36"/>
  <c r="N36" i="36"/>
  <c r="N65" i="36" s="1"/>
  <c r="N17" i="36"/>
  <c r="N28" i="36"/>
  <c r="M17" i="36"/>
  <c r="M28" i="36"/>
  <c r="M36" i="36"/>
  <c r="M43" i="36"/>
  <c r="M106" i="36"/>
  <c r="M65" i="36" l="1"/>
  <c r="N29" i="36"/>
  <c r="M29" i="36"/>
  <c r="Z54" i="36"/>
  <c r="AA54" i="36"/>
  <c r="M107" i="36" l="1"/>
  <c r="P106" i="36"/>
  <c r="Z70" i="36"/>
  <c r="AA70" i="36" s="1"/>
  <c r="Z76" i="36"/>
  <c r="AA76" i="36" s="1"/>
  <c r="Z77" i="36"/>
  <c r="AA77" i="36" s="1"/>
  <c r="Z78" i="36"/>
  <c r="AA78" i="36" s="1"/>
  <c r="Z79" i="36"/>
  <c r="AA79" i="36" s="1"/>
  <c r="Z80" i="36"/>
  <c r="AA80" i="36" s="1"/>
  <c r="Z21" i="36"/>
  <c r="AA21" i="36" s="1"/>
  <c r="W95" i="37"/>
  <c r="V95" i="37"/>
  <c r="U95" i="37"/>
  <c r="T95" i="37"/>
  <c r="S95" i="37"/>
  <c r="R95" i="37"/>
  <c r="Q95" i="37"/>
  <c r="P95" i="37"/>
  <c r="O95" i="37"/>
  <c r="N95" i="37"/>
  <c r="M95" i="37"/>
  <c r="L95" i="37"/>
  <c r="K95" i="37"/>
  <c r="J95" i="37"/>
  <c r="I95" i="37"/>
  <c r="H95" i="37"/>
  <c r="G95" i="37"/>
  <c r="X94" i="37"/>
  <c r="Y94" i="37" s="1"/>
  <c r="X93" i="37"/>
  <c r="Y93" i="37" s="1"/>
  <c r="X92" i="37"/>
  <c r="Y92" i="37" s="1"/>
  <c r="X91" i="37"/>
  <c r="Y91" i="37" s="1"/>
  <c r="X90" i="37"/>
  <c r="Y90" i="37" s="1"/>
  <c r="X89" i="37"/>
  <c r="Y89" i="37" s="1"/>
  <c r="X88" i="37"/>
  <c r="Y88" i="37" s="1"/>
  <c r="X87" i="37"/>
  <c r="Y87" i="37" s="1"/>
  <c r="X86" i="37"/>
  <c r="Y86" i="37" s="1"/>
  <c r="X85" i="37"/>
  <c r="Y85" i="37" s="1"/>
  <c r="X84" i="37"/>
  <c r="Y84" i="37" s="1"/>
  <c r="X83" i="37"/>
  <c r="Y83" i="37" s="1"/>
  <c r="X82" i="37"/>
  <c r="Y82" i="37" s="1"/>
  <c r="X81" i="37"/>
  <c r="Y81" i="37" s="1"/>
  <c r="X80" i="37"/>
  <c r="X95" i="37" s="1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Y76" i="37"/>
  <c r="X76" i="37"/>
  <c r="Y75" i="37"/>
  <c r="X75" i="37"/>
  <c r="Y74" i="37"/>
  <c r="X74" i="37"/>
  <c r="Y73" i="37"/>
  <c r="X73" i="37"/>
  <c r="Y72" i="37"/>
  <c r="X72" i="37"/>
  <c r="Y71" i="37"/>
  <c r="X71" i="37"/>
  <c r="Y70" i="37"/>
  <c r="X70" i="37"/>
  <c r="Y69" i="37"/>
  <c r="X69" i="37"/>
  <c r="Y68" i="37"/>
  <c r="X68" i="37"/>
  <c r="Y67" i="37"/>
  <c r="X67" i="37"/>
  <c r="Y66" i="37"/>
  <c r="Y77" i="37" s="1"/>
  <c r="X66" i="37"/>
  <c r="X77" i="37" s="1"/>
  <c r="X62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Y61" i="37"/>
  <c r="X61" i="37"/>
  <c r="Y60" i="37"/>
  <c r="X60" i="37"/>
  <c r="Y59" i="37"/>
  <c r="X59" i="37"/>
  <c r="Y58" i="37"/>
  <c r="X58" i="37"/>
  <c r="Y57" i="37"/>
  <c r="Y62" i="37" s="1"/>
  <c r="X57" i="37"/>
  <c r="W54" i="37"/>
  <c r="W63" i="37" s="1"/>
  <c r="V54" i="37"/>
  <c r="U54" i="37"/>
  <c r="T54" i="37"/>
  <c r="S54" i="37"/>
  <c r="S63" i="37" s="1"/>
  <c r="R54" i="37"/>
  <c r="Q54" i="37"/>
  <c r="P54" i="37"/>
  <c r="O54" i="37"/>
  <c r="O63" i="37" s="1"/>
  <c r="N54" i="37"/>
  <c r="M54" i="37"/>
  <c r="L54" i="37"/>
  <c r="K54" i="37"/>
  <c r="K63" i="37" s="1"/>
  <c r="J54" i="37"/>
  <c r="I54" i="37"/>
  <c r="H54" i="37"/>
  <c r="G54" i="37"/>
  <c r="G63" i="37" s="1"/>
  <c r="X53" i="37"/>
  <c r="Y53" i="37" s="1"/>
  <c r="X52" i="37"/>
  <c r="Y52" i="37" s="1"/>
  <c r="X51" i="37"/>
  <c r="Y51" i="37" s="1"/>
  <c r="X50" i="37"/>
  <c r="X54" i="37" s="1"/>
  <c r="X47" i="37"/>
  <c r="W47" i="37"/>
  <c r="V47" i="37"/>
  <c r="V63" i="37" s="1"/>
  <c r="U47" i="37"/>
  <c r="U63" i="37" s="1"/>
  <c r="T47" i="37"/>
  <c r="T63" i="37" s="1"/>
  <c r="S47" i="37"/>
  <c r="R47" i="37"/>
  <c r="R63" i="37" s="1"/>
  <c r="Q47" i="37"/>
  <c r="Q63" i="37" s="1"/>
  <c r="P47" i="37"/>
  <c r="P63" i="37" s="1"/>
  <c r="O47" i="37"/>
  <c r="N47" i="37"/>
  <c r="N63" i="37" s="1"/>
  <c r="M47" i="37"/>
  <c r="M63" i="37" s="1"/>
  <c r="L47" i="37"/>
  <c r="L63" i="37" s="1"/>
  <c r="K47" i="37"/>
  <c r="J47" i="37"/>
  <c r="J63" i="37" s="1"/>
  <c r="I47" i="37"/>
  <c r="I63" i="37" s="1"/>
  <c r="H47" i="37"/>
  <c r="H63" i="37" s="1"/>
  <c r="G47" i="37"/>
  <c r="Y46" i="37"/>
  <c r="X46" i="37"/>
  <c r="Y45" i="37"/>
  <c r="X45" i="37"/>
  <c r="Y44" i="37"/>
  <c r="X44" i="37"/>
  <c r="Y43" i="37"/>
  <c r="Y47" i="37" s="1"/>
  <c r="X43" i="37"/>
  <c r="U40" i="37"/>
  <c r="Q40" i="37"/>
  <c r="Q96" i="37" s="1"/>
  <c r="M40" i="37"/>
  <c r="I40" i="37"/>
  <c r="X39" i="37"/>
  <c r="W39" i="37"/>
  <c r="V39" i="37"/>
  <c r="U39" i="37"/>
  <c r="T39" i="37"/>
  <c r="S39" i="37"/>
  <c r="R39" i="37"/>
  <c r="Q39" i="37"/>
  <c r="P39" i="37"/>
  <c r="O39" i="37"/>
  <c r="N39" i="37"/>
  <c r="M39" i="37"/>
  <c r="L39" i="37"/>
  <c r="K39" i="37"/>
  <c r="J39" i="37"/>
  <c r="I39" i="37"/>
  <c r="H39" i="37"/>
  <c r="G39" i="37"/>
  <c r="Y38" i="37"/>
  <c r="X38" i="37"/>
  <c r="Y37" i="37"/>
  <c r="X37" i="37"/>
  <c r="Y36" i="37"/>
  <c r="X36" i="37"/>
  <c r="Y35" i="37"/>
  <c r="X35" i="37"/>
  <c r="Y34" i="37"/>
  <c r="X34" i="37"/>
  <c r="Y33" i="37"/>
  <c r="X33" i="37"/>
  <c r="Y32" i="37"/>
  <c r="X32" i="37"/>
  <c r="Y31" i="37"/>
  <c r="Y39" i="37" s="1"/>
  <c r="X31" i="37"/>
  <c r="W28" i="37"/>
  <c r="V28" i="37"/>
  <c r="U28" i="37"/>
  <c r="T28" i="37"/>
  <c r="S28" i="37"/>
  <c r="R28" i="37"/>
  <c r="Q28" i="37"/>
  <c r="P28" i="37"/>
  <c r="O28" i="37"/>
  <c r="N28" i="37"/>
  <c r="M28" i="37"/>
  <c r="L28" i="37"/>
  <c r="K28" i="37"/>
  <c r="J28" i="37"/>
  <c r="I28" i="37"/>
  <c r="H28" i="37"/>
  <c r="G28" i="37"/>
  <c r="X27" i="37"/>
  <c r="Y27" i="37" s="1"/>
  <c r="X26" i="37"/>
  <c r="Y26" i="37" s="1"/>
  <c r="X25" i="37"/>
  <c r="Y25" i="37" s="1"/>
  <c r="X24" i="37"/>
  <c r="Y24" i="37" s="1"/>
  <c r="X23" i="37"/>
  <c r="Y23" i="37" s="1"/>
  <c r="X22" i="37"/>
  <c r="Y22" i="37" s="1"/>
  <c r="X21" i="37"/>
  <c r="Y21" i="37" s="1"/>
  <c r="X20" i="37"/>
  <c r="X28" i="37" s="1"/>
  <c r="X17" i="37"/>
  <c r="W17" i="37"/>
  <c r="W40" i="37" s="1"/>
  <c r="V17" i="37"/>
  <c r="V40" i="37" s="1"/>
  <c r="V96" i="37" s="1"/>
  <c r="U17" i="37"/>
  <c r="T17" i="37"/>
  <c r="T40" i="37" s="1"/>
  <c r="T96" i="37" s="1"/>
  <c r="S17" i="37"/>
  <c r="S40" i="37" s="1"/>
  <c r="R17" i="37"/>
  <c r="R40" i="37" s="1"/>
  <c r="R96" i="37" s="1"/>
  <c r="Q17" i="37"/>
  <c r="P17" i="37"/>
  <c r="P40" i="37" s="1"/>
  <c r="P96" i="37" s="1"/>
  <c r="O17" i="37"/>
  <c r="O40" i="37" s="1"/>
  <c r="N17" i="37"/>
  <c r="N40" i="37" s="1"/>
  <c r="N96" i="37" s="1"/>
  <c r="M17" i="37"/>
  <c r="L17" i="37"/>
  <c r="L40" i="37" s="1"/>
  <c r="L96" i="37" s="1"/>
  <c r="K17" i="37"/>
  <c r="K40" i="37" s="1"/>
  <c r="J17" i="37"/>
  <c r="J40" i="37" s="1"/>
  <c r="J96" i="37" s="1"/>
  <c r="I17" i="37"/>
  <c r="H17" i="37"/>
  <c r="H40" i="37" s="1"/>
  <c r="H96" i="37" s="1"/>
  <c r="G17" i="37"/>
  <c r="G40" i="37" s="1"/>
  <c r="Y16" i="37"/>
  <c r="X16" i="37"/>
  <c r="Y15" i="37"/>
  <c r="X15" i="37"/>
  <c r="Y14" i="37"/>
  <c r="X14" i="37"/>
  <c r="Y13" i="37"/>
  <c r="X13" i="37"/>
  <c r="Y12" i="37"/>
  <c r="X12" i="37"/>
  <c r="Y11" i="37"/>
  <c r="X11" i="37"/>
  <c r="Y10" i="37"/>
  <c r="Y17" i="37" s="1"/>
  <c r="X10" i="37"/>
  <c r="K96" i="37" l="1"/>
  <c r="O96" i="37"/>
  <c r="S96" i="37"/>
  <c r="W96" i="37"/>
  <c r="U96" i="37"/>
  <c r="G96" i="37"/>
  <c r="X40" i="37"/>
  <c r="I96" i="37"/>
  <c r="M96" i="37"/>
  <c r="X63" i="37"/>
  <c r="Y20" i="37"/>
  <c r="Y28" i="37" s="1"/>
  <c r="Y40" i="37" s="1"/>
  <c r="Y96" i="37" s="1"/>
  <c r="Y50" i="37"/>
  <c r="Y54" i="37" s="1"/>
  <c r="Y63" i="37" s="1"/>
  <c r="Y80" i="37"/>
  <c r="Y95" i="37" s="1"/>
  <c r="X96" i="37" l="1"/>
  <c r="Z105" i="36" l="1"/>
  <c r="AA105" i="36" s="1"/>
  <c r="Z104" i="36"/>
  <c r="AA104" i="36" s="1"/>
  <c r="Z103" i="36"/>
  <c r="AA103" i="36" s="1"/>
  <c r="Z102" i="36"/>
  <c r="AA102" i="36" s="1"/>
  <c r="Z101" i="36"/>
  <c r="AA101" i="36" s="1"/>
  <c r="Z100" i="36"/>
  <c r="AA100" i="36" s="1"/>
  <c r="Z99" i="36"/>
  <c r="AA99" i="36" s="1"/>
  <c r="Z98" i="36"/>
  <c r="AA98" i="36" s="1"/>
  <c r="Z97" i="36"/>
  <c r="AA97" i="36" s="1"/>
  <c r="Z96" i="36"/>
  <c r="AA96" i="36" s="1"/>
  <c r="Z95" i="36"/>
  <c r="AA95" i="36" s="1"/>
  <c r="Z94" i="36"/>
  <c r="AA94" i="36" s="1"/>
  <c r="Z93" i="36"/>
  <c r="AA93" i="36" s="1"/>
  <c r="Z92" i="36"/>
  <c r="AA92" i="36" s="1"/>
  <c r="Z91" i="36"/>
  <c r="AA91" i="36" s="1"/>
  <c r="Z87" i="36"/>
  <c r="AA87" i="36" s="1"/>
  <c r="Z86" i="36"/>
  <c r="AA86" i="36" s="1"/>
  <c r="Z85" i="36"/>
  <c r="AA85" i="36" s="1"/>
  <c r="Z84" i="36"/>
  <c r="AA84" i="36" s="1"/>
  <c r="Z83" i="36"/>
  <c r="AA83" i="36" s="1"/>
  <c r="Z82" i="36"/>
  <c r="AA82" i="36" s="1"/>
  <c r="Z81" i="36"/>
  <c r="AA81" i="36" s="1"/>
  <c r="Z71" i="36"/>
  <c r="AA71" i="36" s="1"/>
  <c r="Z69" i="36"/>
  <c r="AA69" i="36" s="1"/>
  <c r="Z68" i="36"/>
  <c r="AA68" i="36" s="1"/>
  <c r="Z62" i="36"/>
  <c r="AA62" i="36" s="1"/>
  <c r="Z58" i="36"/>
  <c r="AA58" i="36" s="1"/>
  <c r="Z57" i="36"/>
  <c r="AA57" i="36" s="1"/>
  <c r="Z42" i="36"/>
  <c r="AA42" i="36" s="1"/>
  <c r="Z41" i="36"/>
  <c r="AA41" i="36" s="1"/>
  <c r="Z40" i="36"/>
  <c r="AA40" i="36" s="1"/>
  <c r="Z39" i="36"/>
  <c r="AA39" i="36" s="1"/>
  <c r="Z35" i="36"/>
  <c r="AA35" i="36" s="1"/>
  <c r="Z34" i="36"/>
  <c r="AA34" i="36" s="1"/>
  <c r="Z33" i="36"/>
  <c r="AA33" i="36" s="1"/>
  <c r="Z32" i="36"/>
  <c r="AA32" i="36" s="1"/>
  <c r="Z27" i="36"/>
  <c r="AA27" i="36" s="1"/>
  <c r="Z26" i="36"/>
  <c r="AA26" i="36" s="1"/>
  <c r="Z25" i="36"/>
  <c r="AA25" i="36" s="1"/>
  <c r="Z24" i="36"/>
  <c r="AA24" i="36" s="1"/>
  <c r="Z23" i="36"/>
  <c r="AA23" i="36" s="1"/>
  <c r="Z22" i="36"/>
  <c r="AA22" i="36" s="1"/>
  <c r="Z20" i="36"/>
  <c r="AA20" i="36" s="1"/>
  <c r="Z16" i="36"/>
  <c r="AA16" i="36" s="1"/>
  <c r="Z15" i="36"/>
  <c r="AA15" i="36" s="1"/>
  <c r="Z14" i="36"/>
  <c r="AA14" i="36" s="1"/>
  <c r="Z13" i="36"/>
  <c r="AA13" i="36" s="1"/>
  <c r="Z12" i="36"/>
  <c r="AA12" i="36" s="1"/>
  <c r="Z11" i="36"/>
  <c r="AA11" i="36" s="1"/>
  <c r="X106" i="36"/>
  <c r="X43" i="36"/>
  <c r="X36" i="36"/>
  <c r="X28" i="36"/>
  <c r="X17" i="36"/>
  <c r="Z64" i="36" l="1"/>
  <c r="AA64" i="36" s="1"/>
  <c r="X65" i="36"/>
  <c r="Z60" i="36"/>
  <c r="X29" i="36"/>
  <c r="AA88" i="36"/>
  <c r="Z88" i="36"/>
  <c r="AA73" i="36"/>
  <c r="Z73" i="36"/>
  <c r="AA36" i="36"/>
  <c r="AA60" i="36"/>
  <c r="X107" i="36" l="1"/>
  <c r="Y106" i="36"/>
  <c r="Y43" i="36"/>
  <c r="Y36" i="36"/>
  <c r="Y28" i="36"/>
  <c r="Y17" i="36"/>
  <c r="O17" i="36"/>
  <c r="P17" i="36"/>
  <c r="Q17" i="36"/>
  <c r="R17" i="36"/>
  <c r="S17" i="36"/>
  <c r="T17" i="36"/>
  <c r="U17" i="36"/>
  <c r="V17" i="36"/>
  <c r="W17" i="36"/>
  <c r="O28" i="36"/>
  <c r="P28" i="36"/>
  <c r="Q28" i="36"/>
  <c r="R28" i="36"/>
  <c r="S28" i="36"/>
  <c r="T28" i="36"/>
  <c r="U28" i="36"/>
  <c r="V28" i="36"/>
  <c r="W28" i="36"/>
  <c r="O36" i="36"/>
  <c r="P36" i="36"/>
  <c r="Q36" i="36"/>
  <c r="R36" i="36"/>
  <c r="S36" i="36"/>
  <c r="T36" i="36"/>
  <c r="U36" i="36"/>
  <c r="V36" i="36"/>
  <c r="W36" i="36"/>
  <c r="O43" i="36"/>
  <c r="P43" i="36"/>
  <c r="Q43" i="36"/>
  <c r="R43" i="36"/>
  <c r="S43" i="36"/>
  <c r="T43" i="36"/>
  <c r="U43" i="36"/>
  <c r="V43" i="36"/>
  <c r="W43" i="36"/>
  <c r="N106" i="36"/>
  <c r="N107" i="36" s="1"/>
  <c r="O106" i="36"/>
  <c r="Q106" i="36"/>
  <c r="R106" i="36"/>
  <c r="S106" i="36"/>
  <c r="T106" i="36"/>
  <c r="U106" i="36"/>
  <c r="V106" i="36"/>
  <c r="W106" i="36"/>
  <c r="L17" i="36"/>
  <c r="L28" i="36"/>
  <c r="L36" i="36"/>
  <c r="L43" i="36"/>
  <c r="L106" i="36"/>
  <c r="K106" i="36"/>
  <c r="J106" i="36"/>
  <c r="I106" i="36"/>
  <c r="H106" i="36"/>
  <c r="G106" i="36"/>
  <c r="K43" i="36"/>
  <c r="J43" i="36"/>
  <c r="I43" i="36"/>
  <c r="H43" i="36"/>
  <c r="G43" i="36"/>
  <c r="K36" i="36"/>
  <c r="K65" i="36" s="1"/>
  <c r="J36" i="36"/>
  <c r="J65" i="36" s="1"/>
  <c r="I36" i="36"/>
  <c r="H36" i="36"/>
  <c r="G36" i="36"/>
  <c r="G65" i="36" s="1"/>
  <c r="K28" i="36"/>
  <c r="J28" i="36"/>
  <c r="I28" i="36"/>
  <c r="H28" i="36"/>
  <c r="G28" i="36"/>
  <c r="K17" i="36"/>
  <c r="J17" i="36"/>
  <c r="I17" i="36"/>
  <c r="H17" i="36"/>
  <c r="G17" i="36"/>
  <c r="W91" i="35"/>
  <c r="X91" i="35" s="1"/>
  <c r="W90" i="35"/>
  <c r="X90" i="35" s="1"/>
  <c r="W89" i="35"/>
  <c r="X89" i="35" s="1"/>
  <c r="W88" i="35"/>
  <c r="X88" i="35" s="1"/>
  <c r="W87" i="35"/>
  <c r="X87" i="35" s="1"/>
  <c r="W86" i="35"/>
  <c r="X86" i="35" s="1"/>
  <c r="W85" i="35"/>
  <c r="X85" i="35" s="1"/>
  <c r="W84" i="35"/>
  <c r="X84" i="35" s="1"/>
  <c r="W83" i="35"/>
  <c r="X83" i="35" s="1"/>
  <c r="W82" i="35"/>
  <c r="X82" i="35" s="1"/>
  <c r="W81" i="35"/>
  <c r="X81" i="35" s="1"/>
  <c r="W80" i="35"/>
  <c r="X80" i="35" s="1"/>
  <c r="W79" i="35"/>
  <c r="X79" i="35" s="1"/>
  <c r="W78" i="35"/>
  <c r="X78" i="35" s="1"/>
  <c r="W77" i="35"/>
  <c r="X77" i="35" s="1"/>
  <c r="W73" i="35"/>
  <c r="X73" i="35" s="1"/>
  <c r="W72" i="35"/>
  <c r="X72" i="35" s="1"/>
  <c r="W71" i="35"/>
  <c r="X71" i="35" s="1"/>
  <c r="W70" i="35"/>
  <c r="X70" i="35" s="1"/>
  <c r="W69" i="35"/>
  <c r="X69" i="35" s="1"/>
  <c r="W68" i="35"/>
  <c r="X68" i="35" s="1"/>
  <c r="W67" i="35"/>
  <c r="X67" i="35" s="1"/>
  <c r="W66" i="35"/>
  <c r="X66" i="35" s="1"/>
  <c r="W65" i="35"/>
  <c r="X65" i="35" s="1"/>
  <c r="W64" i="35"/>
  <c r="X64" i="35" s="1"/>
  <c r="W59" i="35"/>
  <c r="X59" i="35" s="1"/>
  <c r="W58" i="35"/>
  <c r="X58" i="35" s="1"/>
  <c r="W57" i="35"/>
  <c r="X57" i="35" s="1"/>
  <c r="W56" i="35"/>
  <c r="X56" i="35" s="1"/>
  <c r="W52" i="35"/>
  <c r="X52" i="35" s="1"/>
  <c r="W51" i="35"/>
  <c r="X51" i="35" s="1"/>
  <c r="W50" i="35"/>
  <c r="X50" i="35" s="1"/>
  <c r="W49" i="35"/>
  <c r="X49" i="35" s="1"/>
  <c r="W44" i="35"/>
  <c r="X44" i="35" s="1"/>
  <c r="W43" i="35"/>
  <c r="X43" i="35" s="1"/>
  <c r="W42" i="35"/>
  <c r="X42" i="35" s="1"/>
  <c r="W41" i="35"/>
  <c r="X41" i="35" s="1"/>
  <c r="W40" i="35"/>
  <c r="X40" i="35" s="1"/>
  <c r="W39" i="35"/>
  <c r="X39" i="35" s="1"/>
  <c r="W38" i="35"/>
  <c r="X38" i="35" s="1"/>
  <c r="W37" i="35"/>
  <c r="X37" i="35" s="1"/>
  <c r="W33" i="35"/>
  <c r="X33" i="35" s="1"/>
  <c r="W32" i="35"/>
  <c r="X32" i="35" s="1"/>
  <c r="W31" i="35"/>
  <c r="X31" i="35" s="1"/>
  <c r="W30" i="35"/>
  <c r="X30" i="35" s="1"/>
  <c r="W29" i="35"/>
  <c r="X29" i="35" s="1"/>
  <c r="W25" i="35"/>
  <c r="X25" i="35" s="1"/>
  <c r="W24" i="35"/>
  <c r="X24" i="35" s="1"/>
  <c r="W23" i="35"/>
  <c r="X23" i="35" s="1"/>
  <c r="W22" i="35"/>
  <c r="X22" i="35" s="1"/>
  <c r="W21" i="35"/>
  <c r="X21" i="35" s="1"/>
  <c r="W20" i="35"/>
  <c r="X20" i="35" s="1"/>
  <c r="W16" i="35"/>
  <c r="X16" i="35" s="1"/>
  <c r="W15" i="35"/>
  <c r="X15" i="35" s="1"/>
  <c r="W14" i="35"/>
  <c r="X14" i="35" s="1"/>
  <c r="W13" i="35"/>
  <c r="X13" i="35" s="1"/>
  <c r="W12" i="35"/>
  <c r="X12" i="35" s="1"/>
  <c r="W11" i="35"/>
  <c r="X11" i="35" s="1"/>
  <c r="W10" i="35"/>
  <c r="X10" i="35" s="1"/>
  <c r="V92" i="35"/>
  <c r="V74" i="35"/>
  <c r="V60" i="35"/>
  <c r="V53" i="35"/>
  <c r="V45" i="35"/>
  <c r="V34" i="35"/>
  <c r="V26" i="35"/>
  <c r="V17" i="35"/>
  <c r="U92" i="35"/>
  <c r="U74" i="35"/>
  <c r="U60" i="35"/>
  <c r="U53" i="35"/>
  <c r="U45" i="35"/>
  <c r="U34" i="35"/>
  <c r="U26" i="35"/>
  <c r="U17" i="35"/>
  <c r="T92" i="35"/>
  <c r="T74" i="35"/>
  <c r="T60" i="35"/>
  <c r="T53" i="35"/>
  <c r="T45" i="35"/>
  <c r="T34" i="35"/>
  <c r="T26" i="35"/>
  <c r="T17" i="35"/>
  <c r="Y65" i="36" l="1"/>
  <c r="V65" i="36"/>
  <c r="W65" i="36"/>
  <c r="R65" i="36"/>
  <c r="S65" i="36"/>
  <c r="U65" i="36"/>
  <c r="Q65" i="36"/>
  <c r="H65" i="36"/>
  <c r="L65" i="36"/>
  <c r="T65" i="36"/>
  <c r="P65" i="36"/>
  <c r="I65" i="36"/>
  <c r="O65" i="36"/>
  <c r="G29" i="36"/>
  <c r="G107" i="36" s="1"/>
  <c r="K29" i="36"/>
  <c r="U29" i="36"/>
  <c r="Q29" i="36"/>
  <c r="I29" i="36"/>
  <c r="I107" i="36" s="1"/>
  <c r="W29" i="36"/>
  <c r="H29" i="36"/>
  <c r="L29" i="36"/>
  <c r="T29" i="36"/>
  <c r="P29" i="36"/>
  <c r="K107" i="36"/>
  <c r="Q107" i="36"/>
  <c r="S29" i="36"/>
  <c r="O29" i="36"/>
  <c r="O107" i="36" s="1"/>
  <c r="J29" i="36"/>
  <c r="V29" i="36"/>
  <c r="Y29" i="36"/>
  <c r="Y107" i="36" s="1"/>
  <c r="R29" i="36"/>
  <c r="AA28" i="36"/>
  <c r="Z17" i="36"/>
  <c r="Z106" i="36"/>
  <c r="AA43" i="36"/>
  <c r="AA65" i="36" s="1"/>
  <c r="Z28" i="36"/>
  <c r="Z43" i="36"/>
  <c r="AA17" i="36"/>
  <c r="AA106" i="36"/>
  <c r="Z36" i="36"/>
  <c r="V61" i="35"/>
  <c r="V46" i="35"/>
  <c r="U61" i="35"/>
  <c r="U46" i="35"/>
  <c r="T61" i="35"/>
  <c r="T46" i="35"/>
  <c r="S26" i="35"/>
  <c r="W107" i="36" l="1"/>
  <c r="V107" i="36"/>
  <c r="S107" i="36"/>
  <c r="Z65" i="36"/>
  <c r="J107" i="36"/>
  <c r="U107" i="36"/>
  <c r="P107" i="36"/>
  <c r="T107" i="36"/>
  <c r="H107" i="36"/>
  <c r="L107" i="36"/>
  <c r="R107" i="36"/>
  <c r="AA29" i="36"/>
  <c r="Z29" i="36"/>
  <c r="V93" i="35"/>
  <c r="U93" i="35"/>
  <c r="T93" i="35"/>
  <c r="S92" i="35"/>
  <c r="S74" i="35"/>
  <c r="S60" i="35"/>
  <c r="S53" i="35"/>
  <c r="S45" i="35"/>
  <c r="S34" i="35"/>
  <c r="S17" i="35"/>
  <c r="AA107" i="36" l="1"/>
  <c r="Z107" i="36"/>
  <c r="X92" i="35"/>
  <c r="X45" i="35"/>
  <c r="X26" i="35"/>
  <c r="S61" i="35"/>
  <c r="S46" i="35"/>
  <c r="R92" i="35"/>
  <c r="R74" i="35"/>
  <c r="R60" i="35"/>
  <c r="R53" i="35"/>
  <c r="R45" i="35"/>
  <c r="R34" i="35"/>
  <c r="R26" i="35"/>
  <c r="R17" i="35"/>
  <c r="S93" i="35" l="1"/>
  <c r="R61" i="35"/>
  <c r="R46" i="35"/>
  <c r="Q92" i="35"/>
  <c r="Q74" i="35"/>
  <c r="Q60" i="35"/>
  <c r="Q53" i="35"/>
  <c r="Q45" i="35"/>
  <c r="Q34" i="35"/>
  <c r="Q26" i="35"/>
  <c r="Q17" i="35"/>
  <c r="P92" i="35"/>
  <c r="P74" i="35"/>
  <c r="P60" i="35"/>
  <c r="P53" i="35"/>
  <c r="P45" i="35"/>
  <c r="P34" i="35"/>
  <c r="P26" i="35"/>
  <c r="P17" i="35"/>
  <c r="R93" i="35" l="1"/>
  <c r="Q61" i="35"/>
  <c r="Q46" i="35"/>
  <c r="P46" i="35"/>
  <c r="P61" i="35"/>
  <c r="O92" i="35"/>
  <c r="O74" i="35"/>
  <c r="O60" i="35"/>
  <c r="O53" i="35"/>
  <c r="O45" i="35"/>
  <c r="O34" i="35"/>
  <c r="O26" i="35"/>
  <c r="O17" i="35"/>
  <c r="P93" i="35" l="1"/>
  <c r="Q93" i="35"/>
  <c r="O61" i="35"/>
  <c r="O46" i="35"/>
  <c r="N17" i="35"/>
  <c r="N26" i="35"/>
  <c r="N34" i="35"/>
  <c r="N74" i="35"/>
  <c r="N92" i="35"/>
  <c r="N60" i="35"/>
  <c r="N53" i="35"/>
  <c r="N45" i="35"/>
  <c r="O93" i="35" l="1"/>
  <c r="W26" i="35"/>
  <c r="N46" i="35"/>
  <c r="N61" i="35"/>
  <c r="M92" i="35"/>
  <c r="M74" i="35"/>
  <c r="M60" i="35"/>
  <c r="M53" i="35"/>
  <c r="M45" i="35"/>
  <c r="M34" i="35"/>
  <c r="M26" i="35"/>
  <c r="M17" i="35"/>
  <c r="N93" i="35" l="1"/>
  <c r="M61" i="35"/>
  <c r="M46" i="35"/>
  <c r="L92" i="35"/>
  <c r="L74" i="35"/>
  <c r="L60" i="35"/>
  <c r="L53" i="35"/>
  <c r="L45" i="35"/>
  <c r="L34" i="35"/>
  <c r="L26" i="35"/>
  <c r="L17" i="35"/>
  <c r="M93" i="35" l="1"/>
  <c r="L61" i="35"/>
  <c r="L46" i="35"/>
  <c r="W92" i="35"/>
  <c r="W74" i="35"/>
  <c r="K74" i="35"/>
  <c r="J74" i="35"/>
  <c r="I74" i="35"/>
  <c r="H74" i="35"/>
  <c r="G74" i="35"/>
  <c r="J92" i="35"/>
  <c r="L93" i="35" l="1"/>
  <c r="K26" i="35"/>
  <c r="X74" i="35"/>
  <c r="K60" i="35"/>
  <c r="K53" i="35"/>
  <c r="K17" i="35"/>
  <c r="K34" i="35"/>
  <c r="K45" i="35"/>
  <c r="K92" i="35"/>
  <c r="I92" i="35"/>
  <c r="H92" i="35"/>
  <c r="G92" i="35"/>
  <c r="J60" i="35"/>
  <c r="I60" i="35"/>
  <c r="H60" i="35"/>
  <c r="G60" i="35"/>
  <c r="J53" i="35"/>
  <c r="J61" i="35" s="1"/>
  <c r="I53" i="35"/>
  <c r="I61" i="35" s="1"/>
  <c r="H53" i="35"/>
  <c r="H61" i="35" s="1"/>
  <c r="G53" i="35"/>
  <c r="J45" i="35"/>
  <c r="I45" i="35"/>
  <c r="H45" i="35"/>
  <c r="G45" i="35"/>
  <c r="J34" i="35"/>
  <c r="I34" i="35"/>
  <c r="H34" i="35"/>
  <c r="G34" i="35"/>
  <c r="J26" i="35"/>
  <c r="I26" i="35"/>
  <c r="H26" i="35"/>
  <c r="G26" i="35"/>
  <c r="J17" i="35"/>
  <c r="I17" i="35"/>
  <c r="H17" i="35"/>
  <c r="G17" i="35"/>
  <c r="H46" i="35" l="1"/>
  <c r="H93" i="35" s="1"/>
  <c r="G46" i="35"/>
  <c r="G61" i="35"/>
  <c r="K61" i="35"/>
  <c r="J46" i="35"/>
  <c r="J93" i="35" s="1"/>
  <c r="K46" i="35"/>
  <c r="W17" i="35"/>
  <c r="W45" i="35"/>
  <c r="W53" i="35"/>
  <c r="I46" i="35"/>
  <c r="I93" i="35" s="1"/>
  <c r="W34" i="35"/>
  <c r="X53" i="35"/>
  <c r="X60" i="35"/>
  <c r="X34" i="35"/>
  <c r="W60" i="35"/>
  <c r="X17" i="35"/>
  <c r="U63" i="34"/>
  <c r="K93" i="35" l="1"/>
  <c r="G93" i="35"/>
  <c r="X61" i="35"/>
  <c r="X46" i="35"/>
  <c r="W61" i="35"/>
  <c r="W46" i="35"/>
  <c r="T34" i="34"/>
  <c r="T45" i="34"/>
  <c r="U51" i="34"/>
  <c r="V51" i="34" s="1"/>
  <c r="U79" i="34"/>
  <c r="V79" i="34" s="1"/>
  <c r="U85" i="34"/>
  <c r="V85" i="34" s="1"/>
  <c r="U84" i="34"/>
  <c r="V84" i="34" s="1"/>
  <c r="U83" i="34"/>
  <c r="V83" i="34" s="1"/>
  <c r="U82" i="34"/>
  <c r="V82" i="34" s="1"/>
  <c r="U81" i="34"/>
  <c r="V81" i="34" s="1"/>
  <c r="U80" i="34"/>
  <c r="V80" i="34" s="1"/>
  <c r="U78" i="34"/>
  <c r="V78" i="34" s="1"/>
  <c r="U77" i="34"/>
  <c r="V77" i="34" s="1"/>
  <c r="U76" i="34"/>
  <c r="V76" i="34" s="1"/>
  <c r="U75" i="34"/>
  <c r="V75" i="34" s="1"/>
  <c r="U74" i="34"/>
  <c r="V74" i="34" s="1"/>
  <c r="U73" i="34"/>
  <c r="V73" i="34" s="1"/>
  <c r="U72" i="34"/>
  <c r="V72" i="34" s="1"/>
  <c r="U71" i="34"/>
  <c r="V71" i="34" s="1"/>
  <c r="U70" i="34"/>
  <c r="V70" i="34" s="1"/>
  <c r="U65" i="34"/>
  <c r="V65" i="34" s="1"/>
  <c r="U64" i="34"/>
  <c r="V64" i="34" s="1"/>
  <c r="V63" i="34"/>
  <c r="U62" i="34"/>
  <c r="V62" i="34" s="1"/>
  <c r="U59" i="34"/>
  <c r="V59" i="34" s="1"/>
  <c r="U58" i="34"/>
  <c r="V58" i="34" s="1"/>
  <c r="U57" i="34"/>
  <c r="V57" i="34" s="1"/>
  <c r="U56" i="34"/>
  <c r="V56" i="34" s="1"/>
  <c r="U52" i="34"/>
  <c r="V52" i="34" s="1"/>
  <c r="U50" i="34"/>
  <c r="V50" i="34" s="1"/>
  <c r="U49" i="34"/>
  <c r="V49" i="34" s="1"/>
  <c r="U44" i="34"/>
  <c r="V44" i="34" s="1"/>
  <c r="U43" i="34"/>
  <c r="V43" i="34" s="1"/>
  <c r="U42" i="34"/>
  <c r="V42" i="34" s="1"/>
  <c r="U41" i="34"/>
  <c r="V41" i="34" s="1"/>
  <c r="U40" i="34"/>
  <c r="V40" i="34" s="1"/>
  <c r="U39" i="34"/>
  <c r="V39" i="34" s="1"/>
  <c r="U38" i="34"/>
  <c r="V38" i="34" s="1"/>
  <c r="U37" i="34"/>
  <c r="V37" i="34" s="1"/>
  <c r="U33" i="34"/>
  <c r="V33" i="34" s="1"/>
  <c r="U32" i="34"/>
  <c r="V32" i="34" s="1"/>
  <c r="U31" i="34"/>
  <c r="V31" i="34" s="1"/>
  <c r="U30" i="34"/>
  <c r="V30" i="34" s="1"/>
  <c r="U29" i="34"/>
  <c r="V29" i="34" s="1"/>
  <c r="U25" i="34"/>
  <c r="V25" i="34" s="1"/>
  <c r="U23" i="34"/>
  <c r="V23" i="34" s="1"/>
  <c r="U19" i="34"/>
  <c r="V19" i="34" s="1"/>
  <c r="U24" i="34"/>
  <c r="V24" i="34" s="1"/>
  <c r="U22" i="34"/>
  <c r="V22" i="34" s="1"/>
  <c r="U21" i="34"/>
  <c r="V21" i="34" s="1"/>
  <c r="U20" i="34"/>
  <c r="V20" i="34" s="1"/>
  <c r="U15" i="34"/>
  <c r="V15" i="34" s="1"/>
  <c r="U14" i="34"/>
  <c r="V14" i="34" s="1"/>
  <c r="U13" i="34"/>
  <c r="V13" i="34" s="1"/>
  <c r="U12" i="34"/>
  <c r="V12" i="34" s="1"/>
  <c r="U11" i="34"/>
  <c r="V11" i="34" s="1"/>
  <c r="U10" i="34"/>
  <c r="V10" i="34" s="1"/>
  <c r="U9" i="34"/>
  <c r="V9" i="34" s="1"/>
  <c r="T86" i="34"/>
  <c r="T66" i="34"/>
  <c r="T60" i="34"/>
  <c r="T53" i="34"/>
  <c r="T26" i="34"/>
  <c r="T16" i="34"/>
  <c r="X93" i="35" l="1"/>
  <c r="W93" i="35"/>
  <c r="W1048576" i="35" s="1"/>
  <c r="T46" i="34"/>
  <c r="T67" i="34"/>
  <c r="T87" i="34" s="1"/>
  <c r="S86" i="34"/>
  <c r="S66" i="34"/>
  <c r="S60" i="34"/>
  <c r="S53" i="34"/>
  <c r="S45" i="34"/>
  <c r="S34" i="34"/>
  <c r="S26" i="34"/>
  <c r="S16" i="34"/>
  <c r="U86" i="34" l="1"/>
  <c r="S67" i="34"/>
  <c r="S46" i="34"/>
  <c r="S87" i="34" l="1"/>
  <c r="R86" i="34"/>
  <c r="R66" i="34"/>
  <c r="R60" i="34"/>
  <c r="R53" i="34"/>
  <c r="R45" i="34"/>
  <c r="R34" i="34"/>
  <c r="R26" i="34"/>
  <c r="R16" i="34"/>
  <c r="R67" i="34" l="1"/>
  <c r="R46" i="34"/>
  <c r="Q66" i="34"/>
  <c r="J60" i="34"/>
  <c r="Q16" i="34"/>
  <c r="Q86" i="34"/>
  <c r="Q60" i="34"/>
  <c r="Q53" i="34"/>
  <c r="Q45" i="34"/>
  <c r="Q34" i="34"/>
  <c r="Q26" i="34"/>
  <c r="P86" i="34"/>
  <c r="P66" i="34"/>
  <c r="P60" i="34"/>
  <c r="P53" i="34"/>
  <c r="P45" i="34"/>
  <c r="P34" i="34"/>
  <c r="P26" i="34"/>
  <c r="P16" i="34"/>
  <c r="R87" i="34" l="1"/>
  <c r="U66" i="34"/>
  <c r="Q67" i="34"/>
  <c r="U60" i="34"/>
  <c r="Q46" i="34"/>
  <c r="V34" i="34"/>
  <c r="V86" i="34"/>
  <c r="P67" i="34"/>
  <c r="P46" i="34"/>
  <c r="O53" i="34"/>
  <c r="O86" i="34"/>
  <c r="O66" i="34"/>
  <c r="O60" i="34"/>
  <c r="O45" i="34"/>
  <c r="O34" i="34"/>
  <c r="O26" i="34"/>
  <c r="O16" i="34"/>
  <c r="N16" i="34"/>
  <c r="U16" i="34"/>
  <c r="U26" i="34"/>
  <c r="N86" i="34"/>
  <c r="N66" i="34"/>
  <c r="N60" i="34"/>
  <c r="N53" i="34"/>
  <c r="N45" i="34"/>
  <c r="N34" i="34"/>
  <c r="N26" i="34"/>
  <c r="N46" i="34" l="1"/>
  <c r="Q87" i="34"/>
  <c r="P87" i="34"/>
  <c r="O67" i="34"/>
  <c r="U45" i="34"/>
  <c r="U34" i="34"/>
  <c r="V26" i="34"/>
  <c r="O46" i="34"/>
  <c r="V16" i="34"/>
  <c r="N67" i="34"/>
  <c r="M86" i="34"/>
  <c r="M66" i="34"/>
  <c r="M60" i="34"/>
  <c r="M53" i="34"/>
  <c r="M45" i="34"/>
  <c r="M34" i="34"/>
  <c r="M26" i="34"/>
  <c r="M16" i="34"/>
  <c r="L66" i="34"/>
  <c r="L60" i="34"/>
  <c r="L53" i="34"/>
  <c r="L86" i="34"/>
  <c r="K86" i="34"/>
  <c r="L45" i="34"/>
  <c r="L26" i="34"/>
  <c r="L34" i="34"/>
  <c r="L16" i="34"/>
  <c r="K16" i="34"/>
  <c r="O87" i="34" l="1"/>
  <c r="N87" i="34"/>
  <c r="M67" i="34"/>
  <c r="M46" i="34"/>
  <c r="L46" i="34"/>
  <c r="L67" i="34"/>
  <c r="M87" i="34" l="1"/>
  <c r="L87" i="34"/>
  <c r="K66" i="34" l="1"/>
  <c r="K60" i="34"/>
  <c r="K53" i="34"/>
  <c r="K45" i="34"/>
  <c r="K34" i="34"/>
  <c r="K26" i="34"/>
  <c r="K46" i="34" l="1"/>
  <c r="K67" i="34"/>
  <c r="J66" i="34"/>
  <c r="J86" i="34"/>
  <c r="I66" i="34"/>
  <c r="H66" i="34"/>
  <c r="G66" i="34"/>
  <c r="F66" i="34"/>
  <c r="G60" i="34"/>
  <c r="F60" i="34"/>
  <c r="J53" i="34"/>
  <c r="J45" i="34"/>
  <c r="J34" i="34"/>
  <c r="J26" i="34"/>
  <c r="J16" i="34"/>
  <c r="I86" i="34"/>
  <c r="H86" i="34"/>
  <c r="G86" i="34"/>
  <c r="F86" i="34"/>
  <c r="I45" i="34"/>
  <c r="H45" i="34"/>
  <c r="G45" i="34"/>
  <c r="F45" i="34"/>
  <c r="K87" i="34" l="1"/>
  <c r="J46" i="34"/>
  <c r="V66" i="34"/>
  <c r="J67" i="34"/>
  <c r="I53" i="34"/>
  <c r="F16" i="34"/>
  <c r="F34" i="34"/>
  <c r="F26" i="34"/>
  <c r="F53" i="34"/>
  <c r="F67" i="34" s="1"/>
  <c r="H60" i="34"/>
  <c r="H53" i="34"/>
  <c r="H34" i="34"/>
  <c r="H26" i="34"/>
  <c r="H16" i="34"/>
  <c r="I60" i="34"/>
  <c r="G53" i="34"/>
  <c r="G67" i="34" s="1"/>
  <c r="I34" i="34"/>
  <c r="G34" i="34"/>
  <c r="I26" i="34"/>
  <c r="G26" i="34"/>
  <c r="I16" i="34"/>
  <c r="G16" i="34"/>
  <c r="F46" i="34" l="1"/>
  <c r="F87" i="34" s="1"/>
  <c r="G46" i="34"/>
  <c r="G87" i="34" s="1"/>
  <c r="I46" i="34"/>
  <c r="H46" i="34"/>
  <c r="H67" i="34"/>
  <c r="J87" i="34"/>
  <c r="I67" i="34"/>
  <c r="V45" i="34"/>
  <c r="V60" i="34"/>
  <c r="V53" i="34"/>
  <c r="U46" i="34"/>
  <c r="U53" i="34"/>
  <c r="U67" i="34" s="1"/>
  <c r="R49" i="10"/>
  <c r="S49" i="10" s="1"/>
  <c r="R33" i="10"/>
  <c r="S33" i="10" s="1"/>
  <c r="R34" i="10"/>
  <c r="S34" i="10" s="1"/>
  <c r="R35" i="10"/>
  <c r="S35" i="10" s="1"/>
  <c r="R36" i="10"/>
  <c r="S36" i="10" s="1"/>
  <c r="R37" i="10"/>
  <c r="S37" i="10" s="1"/>
  <c r="R38" i="10"/>
  <c r="S38" i="10" s="1"/>
  <c r="R39" i="10"/>
  <c r="S39" i="10" s="1"/>
  <c r="R40" i="10"/>
  <c r="S40" i="10" s="1"/>
  <c r="R41" i="10"/>
  <c r="S41" i="10" s="1"/>
  <c r="R42" i="10"/>
  <c r="S42" i="10" s="1"/>
  <c r="R43" i="10"/>
  <c r="S43" i="10" s="1"/>
  <c r="R44" i="10"/>
  <c r="S44" i="10" s="1"/>
  <c r="R45" i="10"/>
  <c r="S45" i="10" s="1"/>
  <c r="R46" i="10"/>
  <c r="S46" i="10" s="1"/>
  <c r="R47" i="10"/>
  <c r="S47" i="10" s="1"/>
  <c r="R48" i="10"/>
  <c r="S48" i="10" s="1"/>
  <c r="R32" i="10"/>
  <c r="S32" i="10" s="1"/>
  <c r="R55" i="10"/>
  <c r="S55" i="10" s="1"/>
  <c r="R56" i="10"/>
  <c r="S56" i="10" s="1"/>
  <c r="R57" i="10"/>
  <c r="S57" i="10" s="1"/>
  <c r="R58" i="10"/>
  <c r="S58" i="10" s="1"/>
  <c r="R59" i="10"/>
  <c r="S59" i="10" s="1"/>
  <c r="R60" i="10"/>
  <c r="S60" i="10" s="1"/>
  <c r="R61" i="10"/>
  <c r="S61" i="10" s="1"/>
  <c r="R62" i="10"/>
  <c r="S62" i="10" s="1"/>
  <c r="R63" i="10"/>
  <c r="S63" i="10" s="1"/>
  <c r="R64" i="10"/>
  <c r="S64" i="10" s="1"/>
  <c r="R65" i="10"/>
  <c r="S65" i="10" s="1"/>
  <c r="R66" i="10"/>
  <c r="S66" i="10" s="1"/>
  <c r="R67" i="10"/>
  <c r="S67" i="10" s="1"/>
  <c r="R54" i="10"/>
  <c r="S54" i="10" s="1"/>
  <c r="R27" i="10"/>
  <c r="S27" i="10" s="1"/>
  <c r="R9" i="10"/>
  <c r="S9" i="10" s="1"/>
  <c r="R10" i="10"/>
  <c r="S10" i="10" s="1"/>
  <c r="R11" i="10"/>
  <c r="S11" i="10" s="1"/>
  <c r="R12" i="10"/>
  <c r="S12" i="10" s="1"/>
  <c r="R13" i="10"/>
  <c r="S13" i="10" s="1"/>
  <c r="R14" i="10"/>
  <c r="S14" i="10" s="1"/>
  <c r="R15" i="10"/>
  <c r="S15" i="10" s="1"/>
  <c r="R16" i="10"/>
  <c r="S16" i="10" s="1"/>
  <c r="R17" i="10"/>
  <c r="S17" i="10" s="1"/>
  <c r="R18" i="10"/>
  <c r="S18" i="10" s="1"/>
  <c r="R19" i="10"/>
  <c r="S19" i="10" s="1"/>
  <c r="R20" i="10"/>
  <c r="S20" i="10" s="1"/>
  <c r="R21" i="10"/>
  <c r="S21" i="10" s="1"/>
  <c r="R22" i="10"/>
  <c r="S22" i="10" s="1"/>
  <c r="R23" i="10"/>
  <c r="S23" i="10" s="1"/>
  <c r="R24" i="10"/>
  <c r="S24" i="10" s="1"/>
  <c r="R25" i="10"/>
  <c r="S25" i="10" s="1"/>
  <c r="R26" i="10"/>
  <c r="S26" i="10" s="1"/>
  <c r="R8" i="10"/>
  <c r="S8" i="10" s="1"/>
  <c r="Q69" i="10"/>
  <c r="Q51" i="10"/>
  <c r="Q29" i="10"/>
  <c r="V46" i="34" l="1"/>
  <c r="I87" i="34"/>
  <c r="H87" i="34"/>
  <c r="U87" i="34"/>
  <c r="V67" i="34"/>
  <c r="Q71" i="10"/>
  <c r="V87" i="34" l="1"/>
  <c r="F25" i="32"/>
  <c r="F41" i="32"/>
  <c r="F9" i="32"/>
  <c r="F33" i="32"/>
  <c r="F104" i="32"/>
  <c r="F113" i="32"/>
  <c r="F105" i="32"/>
  <c r="F135" i="32"/>
  <c r="F24" i="32"/>
  <c r="F26" i="32" l="1"/>
  <c r="G168" i="32"/>
  <c r="G82" i="32" l="1"/>
  <c r="G83" i="32"/>
  <c r="G88" i="32" l="1"/>
  <c r="G89" i="32"/>
  <c r="G85" i="32" l="1"/>
  <c r="G84" i="32" l="1"/>
  <c r="G16" i="32" l="1"/>
  <c r="P69" i="10" l="1"/>
  <c r="P51" i="10"/>
  <c r="P29" i="10"/>
  <c r="P71" i="10" l="1"/>
  <c r="G171" i="32"/>
  <c r="F10" i="31" l="1"/>
  <c r="F32" i="31"/>
  <c r="F9" i="31"/>
  <c r="F40" i="31"/>
  <c r="F41" i="31"/>
  <c r="F55" i="31"/>
  <c r="F24" i="31"/>
  <c r="F26" i="31"/>
  <c r="F14" i="31"/>
  <c r="F12" i="31"/>
  <c r="F33" i="31"/>
  <c r="F111" i="31"/>
  <c r="F135" i="31"/>
  <c r="F105" i="31"/>
  <c r="F104" i="31"/>
  <c r="F128" i="31"/>
  <c r="G168" i="31" l="1"/>
  <c r="G82" i="31" l="1"/>
  <c r="G83" i="31"/>
  <c r="G85" i="31"/>
  <c r="G89" i="31" l="1"/>
  <c r="G84" i="31" l="1"/>
  <c r="G88" i="31" l="1"/>
  <c r="G170" i="32" l="1"/>
  <c r="F163" i="32"/>
  <c r="F78" i="32" s="1"/>
  <c r="E163" i="32"/>
  <c r="D163" i="32"/>
  <c r="G161" i="32"/>
  <c r="I161" i="32" s="1"/>
  <c r="G160" i="32"/>
  <c r="I160" i="32" s="1"/>
  <c r="G159" i="32"/>
  <c r="I159" i="32" s="1"/>
  <c r="G158" i="32"/>
  <c r="I158" i="32" s="1"/>
  <c r="G157" i="32"/>
  <c r="I157" i="32" s="1"/>
  <c r="G156" i="32"/>
  <c r="I156" i="32" s="1"/>
  <c r="G155" i="32"/>
  <c r="I155" i="32" s="1"/>
  <c r="G154" i="32"/>
  <c r="I154" i="32" s="1"/>
  <c r="G153" i="32"/>
  <c r="I153" i="32" s="1"/>
  <c r="G152" i="32"/>
  <c r="I152" i="32" s="1"/>
  <c r="G151" i="32"/>
  <c r="I151" i="32" s="1"/>
  <c r="G150" i="32"/>
  <c r="I150" i="32" s="1"/>
  <c r="G149" i="32"/>
  <c r="I149" i="32" s="1"/>
  <c r="G148" i="32"/>
  <c r="I148" i="32" s="1"/>
  <c r="F145" i="32"/>
  <c r="F76" i="32" s="1"/>
  <c r="E145" i="32"/>
  <c r="E76" i="32" s="1"/>
  <c r="D145" i="32"/>
  <c r="G143" i="32"/>
  <c r="I143" i="32" s="1"/>
  <c r="G142" i="32"/>
  <c r="I142" i="32" s="1"/>
  <c r="G141" i="32"/>
  <c r="I141" i="32" s="1"/>
  <c r="G140" i="32"/>
  <c r="I140" i="32" s="1"/>
  <c r="G139" i="32"/>
  <c r="I139" i="32" s="1"/>
  <c r="G138" i="32"/>
  <c r="I138" i="32" s="1"/>
  <c r="G137" i="32"/>
  <c r="I137" i="32" s="1"/>
  <c r="G136" i="32"/>
  <c r="I136" i="32" s="1"/>
  <c r="G135" i="32"/>
  <c r="I135" i="32" s="1"/>
  <c r="G134" i="32"/>
  <c r="I134" i="32" s="1"/>
  <c r="G133" i="32"/>
  <c r="I133" i="32" s="1"/>
  <c r="G132" i="32"/>
  <c r="I132" i="32" s="1"/>
  <c r="G131" i="32"/>
  <c r="I131" i="32" s="1"/>
  <c r="G130" i="32"/>
  <c r="I130" i="32" s="1"/>
  <c r="G129" i="32"/>
  <c r="I129" i="32" s="1"/>
  <c r="G128" i="32"/>
  <c r="I128" i="32" s="1"/>
  <c r="G127" i="32"/>
  <c r="I127" i="32" s="1"/>
  <c r="G126" i="32"/>
  <c r="I126" i="32" s="1"/>
  <c r="F123" i="32"/>
  <c r="E123" i="32"/>
  <c r="E74" i="32" s="1"/>
  <c r="D123" i="32"/>
  <c r="G121" i="32"/>
  <c r="I121" i="32" s="1"/>
  <c r="G120" i="32"/>
  <c r="I120" i="32" s="1"/>
  <c r="G119" i="32"/>
  <c r="I119" i="32" s="1"/>
  <c r="G118" i="32"/>
  <c r="I118" i="32" s="1"/>
  <c r="G117" i="32"/>
  <c r="I117" i="32" s="1"/>
  <c r="G116" i="32"/>
  <c r="I116" i="32" s="1"/>
  <c r="G115" i="32"/>
  <c r="I115" i="32" s="1"/>
  <c r="G114" i="32"/>
  <c r="I114" i="32" s="1"/>
  <c r="G113" i="32"/>
  <c r="I113" i="32" s="1"/>
  <c r="G112" i="32"/>
  <c r="I112" i="32" s="1"/>
  <c r="G111" i="32"/>
  <c r="I111" i="32" s="1"/>
  <c r="G110" i="32"/>
  <c r="I110" i="32" s="1"/>
  <c r="G109" i="32"/>
  <c r="I109" i="32" s="1"/>
  <c r="G108" i="32"/>
  <c r="I108" i="32" s="1"/>
  <c r="G107" i="32"/>
  <c r="I107" i="32" s="1"/>
  <c r="G106" i="32"/>
  <c r="G105" i="32"/>
  <c r="I105" i="32" s="1"/>
  <c r="G104" i="32"/>
  <c r="I104" i="32" s="1"/>
  <c r="F101" i="32"/>
  <c r="E101" i="32"/>
  <c r="J88" i="32"/>
  <c r="J92" i="32"/>
  <c r="G86" i="32"/>
  <c r="J94" i="32" s="1"/>
  <c r="D80" i="32"/>
  <c r="E78" i="32"/>
  <c r="F69" i="32"/>
  <c r="E69" i="32"/>
  <c r="D69" i="32"/>
  <c r="G67" i="32"/>
  <c r="I67" i="32" s="1"/>
  <c r="G66" i="32"/>
  <c r="I66" i="32" s="1"/>
  <c r="G65" i="32"/>
  <c r="I65" i="32" s="1"/>
  <c r="G64" i="32"/>
  <c r="I64" i="32" s="1"/>
  <c r="G63" i="32"/>
  <c r="I63" i="32" s="1"/>
  <c r="G62" i="32"/>
  <c r="I62" i="32" s="1"/>
  <c r="G61" i="32"/>
  <c r="I61" i="32" s="1"/>
  <c r="G60" i="32"/>
  <c r="I60" i="32" s="1"/>
  <c r="G59" i="32"/>
  <c r="I59" i="32" s="1"/>
  <c r="G58" i="32"/>
  <c r="I58" i="32" s="1"/>
  <c r="G57" i="32"/>
  <c r="I57" i="32" s="1"/>
  <c r="G56" i="32"/>
  <c r="I56" i="32" s="1"/>
  <c r="G55" i="32"/>
  <c r="I55" i="32" s="1"/>
  <c r="G54" i="32"/>
  <c r="I54" i="32" s="1"/>
  <c r="F51" i="32"/>
  <c r="E51" i="32"/>
  <c r="D51" i="32"/>
  <c r="G49" i="32"/>
  <c r="I49" i="32" s="1"/>
  <c r="G48" i="32"/>
  <c r="I48" i="32" s="1"/>
  <c r="G47" i="32"/>
  <c r="I47" i="32" s="1"/>
  <c r="G46" i="32"/>
  <c r="I46" i="32" s="1"/>
  <c r="G45" i="32"/>
  <c r="I45" i="32" s="1"/>
  <c r="G44" i="32"/>
  <c r="H44" i="32" s="1"/>
  <c r="G43" i="32"/>
  <c r="I43" i="32" s="1"/>
  <c r="G42" i="32"/>
  <c r="I42" i="32" s="1"/>
  <c r="G41" i="32"/>
  <c r="G40" i="32"/>
  <c r="H40" i="32" s="1"/>
  <c r="G39" i="32"/>
  <c r="I39" i="32" s="1"/>
  <c r="G38" i="32"/>
  <c r="H38" i="32" s="1"/>
  <c r="G37" i="32"/>
  <c r="I37" i="32" s="1"/>
  <c r="G36" i="32"/>
  <c r="I36" i="32" s="1"/>
  <c r="G35" i="32"/>
  <c r="I35" i="32" s="1"/>
  <c r="G34" i="32"/>
  <c r="H34" i="32" s="1"/>
  <c r="G33" i="32"/>
  <c r="I33" i="32" s="1"/>
  <c r="G32" i="32"/>
  <c r="I32" i="32" s="1"/>
  <c r="G31" i="32"/>
  <c r="F28" i="32"/>
  <c r="E28" i="32"/>
  <c r="D28" i="32"/>
  <c r="G26" i="32"/>
  <c r="I26" i="32" s="1"/>
  <c r="G25" i="32"/>
  <c r="I25" i="32" s="1"/>
  <c r="G24" i="32"/>
  <c r="I24" i="32" s="1"/>
  <c r="G23" i="32"/>
  <c r="I23" i="32" s="1"/>
  <c r="G22" i="32"/>
  <c r="I22" i="32" s="1"/>
  <c r="G21" i="32"/>
  <c r="I21" i="32" s="1"/>
  <c r="G20" i="32"/>
  <c r="H20" i="32" s="1"/>
  <c r="G19" i="32"/>
  <c r="I19" i="32" s="1"/>
  <c r="G18" i="32"/>
  <c r="I18" i="32" s="1"/>
  <c r="G17" i="32"/>
  <c r="I17" i="32" s="1"/>
  <c r="H16" i="32"/>
  <c r="G15" i="32"/>
  <c r="I15" i="32" s="1"/>
  <c r="G14" i="32"/>
  <c r="H14" i="32" s="1"/>
  <c r="G13" i="32"/>
  <c r="I13" i="32" s="1"/>
  <c r="G12" i="32"/>
  <c r="I12" i="32" s="1"/>
  <c r="G11" i="32"/>
  <c r="G10" i="32"/>
  <c r="G9" i="32"/>
  <c r="I9" i="32" s="1"/>
  <c r="H159" i="32" l="1"/>
  <c r="H161" i="32"/>
  <c r="H153" i="32"/>
  <c r="H151" i="32"/>
  <c r="H149" i="32"/>
  <c r="H157" i="32"/>
  <c r="H121" i="32"/>
  <c r="H155" i="32"/>
  <c r="D165" i="32"/>
  <c r="G78" i="32"/>
  <c r="I78" i="32" s="1"/>
  <c r="I41" i="32"/>
  <c r="G51" i="32"/>
  <c r="I51" i="32" s="1"/>
  <c r="H109" i="32"/>
  <c r="F165" i="32"/>
  <c r="E71" i="32"/>
  <c r="H17" i="32"/>
  <c r="H143" i="32"/>
  <c r="H33" i="32"/>
  <c r="H41" i="32"/>
  <c r="F71" i="32"/>
  <c r="G76" i="32"/>
  <c r="H76" i="32" s="1"/>
  <c r="E80" i="32"/>
  <c r="E165" i="32"/>
  <c r="H135" i="32"/>
  <c r="H61" i="32"/>
  <c r="H57" i="32"/>
  <c r="H37" i="32"/>
  <c r="H45" i="32"/>
  <c r="H13" i="32"/>
  <c r="H21" i="32"/>
  <c r="H127" i="32"/>
  <c r="H131" i="32"/>
  <c r="H105" i="32"/>
  <c r="H113" i="32"/>
  <c r="H129" i="32"/>
  <c r="H133" i="32"/>
  <c r="H137" i="32"/>
  <c r="H141" i="32"/>
  <c r="H139" i="32"/>
  <c r="H107" i="32"/>
  <c r="H111" i="32"/>
  <c r="H115" i="32"/>
  <c r="H119" i="32"/>
  <c r="H117" i="32"/>
  <c r="H65" i="32"/>
  <c r="H55" i="32"/>
  <c r="H59" i="32"/>
  <c r="H63" i="32"/>
  <c r="H67" i="32"/>
  <c r="H31" i="32"/>
  <c r="H35" i="32"/>
  <c r="H39" i="32"/>
  <c r="H43" i="32"/>
  <c r="H47" i="32"/>
  <c r="H49" i="32"/>
  <c r="G28" i="32"/>
  <c r="I28" i="32" s="1"/>
  <c r="H25" i="32"/>
  <c r="D71" i="32"/>
  <c r="H9" i="32"/>
  <c r="H15" i="32"/>
  <c r="H19" i="32"/>
  <c r="H23" i="32"/>
  <c r="I14" i="32"/>
  <c r="I16" i="32"/>
  <c r="I20" i="32"/>
  <c r="I34" i="32"/>
  <c r="I38" i="32"/>
  <c r="I40" i="32"/>
  <c r="I44" i="32"/>
  <c r="H10" i="32"/>
  <c r="H12" i="32"/>
  <c r="H18" i="32"/>
  <c r="H22" i="32"/>
  <c r="H24" i="32"/>
  <c r="H26" i="32"/>
  <c r="I31" i="32"/>
  <c r="H32" i="32"/>
  <c r="H36" i="32"/>
  <c r="H42" i="32"/>
  <c r="H46" i="32"/>
  <c r="H48" i="32"/>
  <c r="H54" i="32"/>
  <c r="H56" i="32"/>
  <c r="H58" i="32"/>
  <c r="H60" i="32"/>
  <c r="H62" i="32"/>
  <c r="H64" i="32"/>
  <c r="H66" i="32"/>
  <c r="G69" i="32"/>
  <c r="I69" i="32" s="1"/>
  <c r="F74" i="32"/>
  <c r="F80" i="32" s="1"/>
  <c r="H104" i="32"/>
  <c r="H108" i="32"/>
  <c r="H110" i="32"/>
  <c r="H112" i="32"/>
  <c r="H114" i="32"/>
  <c r="H116" i="32"/>
  <c r="H118" i="32"/>
  <c r="H120" i="32"/>
  <c r="G123" i="32"/>
  <c r="H126" i="32"/>
  <c r="H128" i="32"/>
  <c r="H130" i="32"/>
  <c r="H132" i="32"/>
  <c r="H134" i="32"/>
  <c r="H136" i="32"/>
  <c r="H138" i="32"/>
  <c r="H140" i="32"/>
  <c r="H142" i="32"/>
  <c r="G145" i="32"/>
  <c r="I145" i="32" s="1"/>
  <c r="H148" i="32"/>
  <c r="H150" i="32"/>
  <c r="H152" i="32"/>
  <c r="H154" i="32"/>
  <c r="H156" i="32"/>
  <c r="H158" i="32"/>
  <c r="H160" i="32"/>
  <c r="G163" i="32"/>
  <c r="I163" i="32" s="1"/>
  <c r="I10" i="32"/>
  <c r="H78" i="32" l="1"/>
  <c r="I76" i="32"/>
  <c r="G71" i="32"/>
  <c r="G91" i="32" s="1"/>
  <c r="H51" i="32"/>
  <c r="H28" i="32"/>
  <c r="G165" i="32"/>
  <c r="I123" i="32"/>
  <c r="H163" i="32"/>
  <c r="H145" i="32"/>
  <c r="H69" i="32"/>
  <c r="G74" i="32"/>
  <c r="H123" i="32"/>
  <c r="I71" i="32" l="1"/>
  <c r="H71" i="32"/>
  <c r="G80" i="32"/>
  <c r="I80" i="32" s="1"/>
  <c r="I74" i="32"/>
  <c r="H74" i="32"/>
  <c r="H80" i="32" s="1"/>
  <c r="G173" i="32"/>
  <c r="I165" i="32"/>
  <c r="H165" i="32"/>
  <c r="O69" i="10" l="1"/>
  <c r="O51" i="10"/>
  <c r="O29" i="10"/>
  <c r="R69" i="10" l="1"/>
  <c r="O71" i="10"/>
  <c r="F16" i="30" l="1"/>
  <c r="F12" i="30"/>
  <c r="F13" i="30"/>
  <c r="F9" i="30"/>
  <c r="F32" i="30"/>
  <c r="F33" i="30"/>
  <c r="F19" i="30"/>
  <c r="F40" i="30"/>
  <c r="G168" i="30" l="1"/>
  <c r="G82" i="30" l="1"/>
  <c r="G83" i="30"/>
  <c r="G88" i="30" l="1"/>
  <c r="G89" i="30"/>
  <c r="G171" i="31" l="1"/>
  <c r="G170" i="31"/>
  <c r="F163" i="31"/>
  <c r="F78" i="31" s="1"/>
  <c r="E163" i="31"/>
  <c r="E78" i="31" s="1"/>
  <c r="D163" i="31"/>
  <c r="G161" i="31"/>
  <c r="H161" i="31" s="1"/>
  <c r="G160" i="31"/>
  <c r="I160" i="31" s="1"/>
  <c r="G159" i="31"/>
  <c r="H159" i="31" s="1"/>
  <c r="G158" i="31"/>
  <c r="I158" i="31" s="1"/>
  <c r="G157" i="31"/>
  <c r="H157" i="31" s="1"/>
  <c r="G156" i="31"/>
  <c r="I156" i="31" s="1"/>
  <c r="G155" i="31"/>
  <c r="H155" i="31" s="1"/>
  <c r="G154" i="31"/>
  <c r="I154" i="31" s="1"/>
  <c r="G153" i="31"/>
  <c r="H153" i="31" s="1"/>
  <c r="G152" i="31"/>
  <c r="I152" i="31" s="1"/>
  <c r="G151" i="31"/>
  <c r="H151" i="31" s="1"/>
  <c r="G150" i="31"/>
  <c r="I150" i="31" s="1"/>
  <c r="G149" i="31"/>
  <c r="H149" i="31" s="1"/>
  <c r="G148" i="31"/>
  <c r="I148" i="31" s="1"/>
  <c r="F145" i="31"/>
  <c r="F76" i="31" s="1"/>
  <c r="E145" i="31"/>
  <c r="E76" i="31" s="1"/>
  <c r="D145" i="31"/>
  <c r="G143" i="31"/>
  <c r="H143" i="31" s="1"/>
  <c r="G142" i="31"/>
  <c r="I142" i="31" s="1"/>
  <c r="G141" i="31"/>
  <c r="H141" i="31" s="1"/>
  <c r="G140" i="31"/>
  <c r="I140" i="31" s="1"/>
  <c r="G139" i="31"/>
  <c r="H139" i="31" s="1"/>
  <c r="G138" i="31"/>
  <c r="I138" i="31" s="1"/>
  <c r="G137" i="31"/>
  <c r="H137" i="31" s="1"/>
  <c r="G136" i="31"/>
  <c r="I136" i="31" s="1"/>
  <c r="G135" i="31"/>
  <c r="H135" i="31" s="1"/>
  <c r="G134" i="31"/>
  <c r="I134" i="31" s="1"/>
  <c r="G133" i="31"/>
  <c r="H133" i="31" s="1"/>
  <c r="G132" i="31"/>
  <c r="I132" i="31" s="1"/>
  <c r="G131" i="31"/>
  <c r="H131" i="31" s="1"/>
  <c r="G130" i="31"/>
  <c r="I130" i="31" s="1"/>
  <c r="G129" i="31"/>
  <c r="H129" i="31" s="1"/>
  <c r="G128" i="31"/>
  <c r="I128" i="31" s="1"/>
  <c r="G127" i="31"/>
  <c r="H127" i="31" s="1"/>
  <c r="G126" i="31"/>
  <c r="I126" i="31" s="1"/>
  <c r="F123" i="31"/>
  <c r="E123" i="31"/>
  <c r="E74" i="31" s="1"/>
  <c r="D123" i="31"/>
  <c r="G121" i="31"/>
  <c r="H121" i="31" s="1"/>
  <c r="G120" i="31"/>
  <c r="I120" i="31" s="1"/>
  <c r="G119" i="31"/>
  <c r="H119" i="31" s="1"/>
  <c r="G118" i="31"/>
  <c r="I118" i="31" s="1"/>
  <c r="G117" i="31"/>
  <c r="H117" i="31" s="1"/>
  <c r="G116" i="31"/>
  <c r="I116" i="31" s="1"/>
  <c r="G115" i="31"/>
  <c r="H115" i="31" s="1"/>
  <c r="G114" i="31"/>
  <c r="I114" i="31" s="1"/>
  <c r="G113" i="31"/>
  <c r="H113" i="31" s="1"/>
  <c r="G112" i="31"/>
  <c r="I112" i="31" s="1"/>
  <c r="G111" i="31"/>
  <c r="H111" i="31" s="1"/>
  <c r="G110" i="31"/>
  <c r="I110" i="31" s="1"/>
  <c r="G109" i="31"/>
  <c r="H109" i="31" s="1"/>
  <c r="G108" i="31"/>
  <c r="I108" i="31" s="1"/>
  <c r="G107" i="31"/>
  <c r="H107" i="31" s="1"/>
  <c r="G106" i="31"/>
  <c r="G105" i="31"/>
  <c r="H105" i="31" s="1"/>
  <c r="G104" i="31"/>
  <c r="I104" i="31" s="1"/>
  <c r="F101" i="31"/>
  <c r="E101" i="31"/>
  <c r="J88" i="31"/>
  <c r="J92" i="31"/>
  <c r="D80" i="31"/>
  <c r="F69" i="31"/>
  <c r="E69" i="31"/>
  <c r="D69" i="31"/>
  <c r="G67" i="31"/>
  <c r="H67" i="31" s="1"/>
  <c r="G66" i="31"/>
  <c r="I66" i="31" s="1"/>
  <c r="G65" i="31"/>
  <c r="H65" i="31" s="1"/>
  <c r="G64" i="31"/>
  <c r="I64" i="31" s="1"/>
  <c r="G63" i="31"/>
  <c r="H63" i="31" s="1"/>
  <c r="G62" i="31"/>
  <c r="I62" i="31" s="1"/>
  <c r="G61" i="31"/>
  <c r="H61" i="31" s="1"/>
  <c r="G60" i="31"/>
  <c r="I60" i="31" s="1"/>
  <c r="G59" i="31"/>
  <c r="H59" i="31" s="1"/>
  <c r="G58" i="31"/>
  <c r="I58" i="31" s="1"/>
  <c r="G57" i="31"/>
  <c r="H57" i="31" s="1"/>
  <c r="G56" i="31"/>
  <c r="I56" i="31" s="1"/>
  <c r="G55" i="31"/>
  <c r="H55" i="31" s="1"/>
  <c r="G54" i="31"/>
  <c r="I54" i="31" s="1"/>
  <c r="F51" i="31"/>
  <c r="D51" i="31"/>
  <c r="G49" i="31"/>
  <c r="H49" i="31" s="1"/>
  <c r="G48" i="31"/>
  <c r="I48" i="31" s="1"/>
  <c r="G47" i="31"/>
  <c r="H47" i="31" s="1"/>
  <c r="G46" i="31"/>
  <c r="I46" i="31" s="1"/>
  <c r="G45" i="31"/>
  <c r="H45" i="31" s="1"/>
  <c r="G44" i="31"/>
  <c r="I44" i="31" s="1"/>
  <c r="G43" i="31"/>
  <c r="H43" i="31" s="1"/>
  <c r="G42" i="31"/>
  <c r="G41" i="31"/>
  <c r="I41" i="31" s="1"/>
  <c r="G40" i="31"/>
  <c r="H40" i="31" s="1"/>
  <c r="G39" i="31"/>
  <c r="I39" i="31" s="1"/>
  <c r="G38" i="31"/>
  <c r="H38" i="31" s="1"/>
  <c r="G37" i="31"/>
  <c r="I37" i="31" s="1"/>
  <c r="G36" i="31"/>
  <c r="H36" i="31" s="1"/>
  <c r="G35" i="31"/>
  <c r="I35" i="31" s="1"/>
  <c r="G34" i="31"/>
  <c r="H34" i="31" s="1"/>
  <c r="G33" i="31"/>
  <c r="I33" i="31" s="1"/>
  <c r="G32" i="31"/>
  <c r="H32" i="31" s="1"/>
  <c r="G31" i="31"/>
  <c r="I31" i="31" s="1"/>
  <c r="F28" i="31"/>
  <c r="D28" i="31"/>
  <c r="G26" i="31"/>
  <c r="H26" i="31" s="1"/>
  <c r="G25" i="31"/>
  <c r="I25" i="31" s="1"/>
  <c r="G24" i="31"/>
  <c r="H24" i="31" s="1"/>
  <c r="G23" i="31"/>
  <c r="I23" i="31" s="1"/>
  <c r="G22" i="31"/>
  <c r="H22" i="31" s="1"/>
  <c r="G21" i="31"/>
  <c r="G20" i="31"/>
  <c r="I20" i="31" s="1"/>
  <c r="G19" i="31"/>
  <c r="H19" i="31" s="1"/>
  <c r="G18" i="31"/>
  <c r="I18" i="31" s="1"/>
  <c r="G17" i="31"/>
  <c r="H17" i="31" s="1"/>
  <c r="G16" i="31"/>
  <c r="I16" i="31" s="1"/>
  <c r="G15" i="31"/>
  <c r="H15" i="31" s="1"/>
  <c r="G14" i="31"/>
  <c r="I14" i="31" s="1"/>
  <c r="G13" i="31"/>
  <c r="H13" i="31" s="1"/>
  <c r="G12" i="31"/>
  <c r="I12" i="31" s="1"/>
  <c r="G11" i="31"/>
  <c r="G10" i="31"/>
  <c r="I10" i="31" s="1"/>
  <c r="G9" i="31"/>
  <c r="H120" i="31" l="1"/>
  <c r="H132" i="31"/>
  <c r="H134" i="31"/>
  <c r="H60" i="31"/>
  <c r="H140" i="31"/>
  <c r="H58" i="31"/>
  <c r="H118" i="31"/>
  <c r="H152" i="31"/>
  <c r="H46" i="31"/>
  <c r="D165" i="31"/>
  <c r="H136" i="31"/>
  <c r="H142" i="31"/>
  <c r="H150" i="31"/>
  <c r="H64" i="31"/>
  <c r="H37" i="31"/>
  <c r="H44" i="31"/>
  <c r="H116" i="31"/>
  <c r="H130" i="31"/>
  <c r="H138" i="31"/>
  <c r="H148" i="31"/>
  <c r="H160" i="31"/>
  <c r="H154" i="31"/>
  <c r="H126" i="31"/>
  <c r="H156" i="31"/>
  <c r="H158" i="31"/>
  <c r="G78" i="31"/>
  <c r="I78" i="31" s="1"/>
  <c r="H114" i="31"/>
  <c r="H35" i="31"/>
  <c r="H62" i="31"/>
  <c r="F165" i="31"/>
  <c r="H128" i="31"/>
  <c r="I9" i="31"/>
  <c r="H9" i="31"/>
  <c r="H54" i="31"/>
  <c r="G76" i="31"/>
  <c r="I76" i="31" s="1"/>
  <c r="F74" i="31"/>
  <c r="F80" i="31" s="1"/>
  <c r="H110" i="31"/>
  <c r="F71" i="31"/>
  <c r="H23" i="31"/>
  <c r="H112" i="31"/>
  <c r="H108" i="31"/>
  <c r="I107" i="31"/>
  <c r="H104" i="31"/>
  <c r="D71" i="31"/>
  <c r="H56" i="31"/>
  <c r="H66" i="31"/>
  <c r="H48" i="31"/>
  <c r="H41" i="31"/>
  <c r="H39" i="31"/>
  <c r="H33" i="31"/>
  <c r="H31" i="31"/>
  <c r="H25" i="31"/>
  <c r="H20" i="31"/>
  <c r="H18" i="31"/>
  <c r="H16" i="31"/>
  <c r="H14" i="31"/>
  <c r="H12" i="31"/>
  <c r="H10" i="31"/>
  <c r="I21" i="31"/>
  <c r="H21" i="31"/>
  <c r="E80" i="31"/>
  <c r="I42" i="31"/>
  <c r="H42" i="31"/>
  <c r="I17" i="31"/>
  <c r="E28" i="31"/>
  <c r="I36" i="31"/>
  <c r="I40" i="31"/>
  <c r="I43" i="31"/>
  <c r="I47" i="31"/>
  <c r="I49" i="31"/>
  <c r="G51" i="31"/>
  <c r="I51" i="31" s="1"/>
  <c r="I57" i="31"/>
  <c r="I61" i="31"/>
  <c r="I67" i="31"/>
  <c r="I13" i="31"/>
  <c r="I15" i="31"/>
  <c r="I19" i="31"/>
  <c r="I22" i="31"/>
  <c r="I24" i="31"/>
  <c r="I26" i="31"/>
  <c r="G28" i="31"/>
  <c r="I28" i="31" s="1"/>
  <c r="I32" i="31"/>
  <c r="I34" i="31"/>
  <c r="I38" i="31"/>
  <c r="I45" i="31"/>
  <c r="E51" i="31"/>
  <c r="I55" i="31"/>
  <c r="I59" i="31"/>
  <c r="I63" i="31"/>
  <c r="I65" i="31"/>
  <c r="G69" i="31"/>
  <c r="I69" i="31" s="1"/>
  <c r="G86" i="31"/>
  <c r="J94" i="31" s="1"/>
  <c r="I105" i="31"/>
  <c r="I109" i="31"/>
  <c r="I111" i="31"/>
  <c r="I113" i="31"/>
  <c r="I115" i="31"/>
  <c r="I117" i="31"/>
  <c r="I119" i="31"/>
  <c r="I121" i="31"/>
  <c r="G123" i="31"/>
  <c r="I127" i="31"/>
  <c r="I129" i="31"/>
  <c r="I131" i="31"/>
  <c r="I133" i="31"/>
  <c r="I135" i="31"/>
  <c r="I137" i="31"/>
  <c r="I139" i="31"/>
  <c r="I141" i="31"/>
  <c r="I143" i="31"/>
  <c r="G145" i="31"/>
  <c r="I145" i="31" s="1"/>
  <c r="I149" i="31"/>
  <c r="I151" i="31"/>
  <c r="I153" i="31"/>
  <c r="I155" i="31"/>
  <c r="I157" i="31"/>
  <c r="I159" i="31"/>
  <c r="I161" i="31"/>
  <c r="G163" i="31"/>
  <c r="I163" i="31" s="1"/>
  <c r="E165" i="31"/>
  <c r="H76" i="31" l="1"/>
  <c r="H163" i="31"/>
  <c r="H145" i="31"/>
  <c r="H69" i="31"/>
  <c r="H78" i="31"/>
  <c r="H28" i="31"/>
  <c r="G74" i="31"/>
  <c r="G80" i="31" s="1"/>
  <c r="I80" i="31" s="1"/>
  <c r="H123" i="31"/>
  <c r="E71" i="31"/>
  <c r="H51" i="31"/>
  <c r="G71" i="31"/>
  <c r="I71" i="31" s="1"/>
  <c r="G165" i="31"/>
  <c r="G173" i="31" s="1"/>
  <c r="I123" i="31"/>
  <c r="H165" i="31" l="1"/>
  <c r="I74" i="31"/>
  <c r="H74" i="31"/>
  <c r="H80" i="31" s="1"/>
  <c r="H71" i="31"/>
  <c r="G91" i="31"/>
  <c r="I165" i="31"/>
  <c r="G84" i="30" l="1"/>
  <c r="E21" i="30" l="1"/>
  <c r="E28" i="30" s="1"/>
  <c r="G85" i="30"/>
  <c r="G32" i="30" l="1"/>
  <c r="I32" i="30" s="1"/>
  <c r="N69" i="10" l="1"/>
  <c r="N51" i="10"/>
  <c r="N29" i="10"/>
  <c r="S69" i="10" l="1"/>
  <c r="N71" i="10"/>
  <c r="G134" i="30" l="1"/>
  <c r="H134" i="30" s="1"/>
  <c r="G39" i="30"/>
  <c r="H39" i="30" s="1"/>
  <c r="I134" i="30" l="1"/>
  <c r="I39" i="30"/>
  <c r="H171" i="30" l="1"/>
  <c r="E42" i="30"/>
  <c r="E105" i="29" l="1"/>
  <c r="E16" i="29"/>
  <c r="E12" i="29"/>
  <c r="E108" i="29"/>
  <c r="E20" i="29"/>
  <c r="E19" i="29"/>
  <c r="E15" i="29"/>
  <c r="E13" i="29"/>
  <c r="E10" i="29"/>
  <c r="F28" i="29"/>
  <c r="F12" i="29"/>
  <c r="F36" i="29"/>
  <c r="F34" i="29"/>
  <c r="F9" i="29"/>
  <c r="F14" i="29"/>
  <c r="F13" i="29"/>
  <c r="F56" i="29"/>
  <c r="F19" i="29"/>
  <c r="F113" i="29"/>
  <c r="F105" i="29"/>
  <c r="F108" i="29"/>
  <c r="F112" i="29"/>
  <c r="G170" i="29"/>
  <c r="G90" i="29"/>
  <c r="G89" i="29"/>
  <c r="G86" i="29"/>
  <c r="G12" i="29" l="1"/>
  <c r="G83" i="29"/>
  <c r="G84" i="29"/>
  <c r="G85" i="29" l="1"/>
  <c r="G170" i="30" l="1"/>
  <c r="F163" i="30"/>
  <c r="F78" i="30" s="1"/>
  <c r="E163" i="30"/>
  <c r="E78" i="30" s="1"/>
  <c r="D163" i="30"/>
  <c r="G161" i="30"/>
  <c r="I161" i="30" s="1"/>
  <c r="G160" i="30"/>
  <c r="I160" i="30" s="1"/>
  <c r="G159" i="30"/>
  <c r="I159" i="30" s="1"/>
  <c r="G158" i="30"/>
  <c r="I158" i="30" s="1"/>
  <c r="G157" i="30"/>
  <c r="I157" i="30" s="1"/>
  <c r="G156" i="30"/>
  <c r="I156" i="30" s="1"/>
  <c r="G155" i="30"/>
  <c r="I155" i="30" s="1"/>
  <c r="G154" i="30"/>
  <c r="I154" i="30" s="1"/>
  <c r="G153" i="30"/>
  <c r="I153" i="30" s="1"/>
  <c r="G152" i="30"/>
  <c r="I152" i="30" s="1"/>
  <c r="G151" i="30"/>
  <c r="I151" i="30" s="1"/>
  <c r="G150" i="30"/>
  <c r="I150" i="30" s="1"/>
  <c r="G149" i="30"/>
  <c r="H149" i="30" s="1"/>
  <c r="G148" i="30"/>
  <c r="I148" i="30" s="1"/>
  <c r="F145" i="30"/>
  <c r="F76" i="30" s="1"/>
  <c r="E145" i="30"/>
  <c r="E76" i="30" s="1"/>
  <c r="D145" i="30"/>
  <c r="G143" i="30"/>
  <c r="H143" i="30" s="1"/>
  <c r="G142" i="30"/>
  <c r="I142" i="30" s="1"/>
  <c r="G141" i="30"/>
  <c r="H141" i="30" s="1"/>
  <c r="G140" i="30"/>
  <c r="I140" i="30" s="1"/>
  <c r="G139" i="30"/>
  <c r="I139" i="30" s="1"/>
  <c r="G138" i="30"/>
  <c r="I138" i="30" s="1"/>
  <c r="G137" i="30"/>
  <c r="I137" i="30" s="1"/>
  <c r="G136" i="30"/>
  <c r="I136" i="30" s="1"/>
  <c r="G135" i="30"/>
  <c r="I135" i="30" s="1"/>
  <c r="G133" i="30"/>
  <c r="I133" i="30" s="1"/>
  <c r="G132" i="30"/>
  <c r="H132" i="30" s="1"/>
  <c r="G131" i="30"/>
  <c r="I131" i="30" s="1"/>
  <c r="G130" i="30"/>
  <c r="H130" i="30" s="1"/>
  <c r="G129" i="30"/>
  <c r="I129" i="30" s="1"/>
  <c r="G128" i="30"/>
  <c r="H128" i="30" s="1"/>
  <c r="G127" i="30"/>
  <c r="I127" i="30" s="1"/>
  <c r="G126" i="30"/>
  <c r="H126" i="30" s="1"/>
  <c r="F123" i="30"/>
  <c r="F74" i="30" s="1"/>
  <c r="E123" i="30"/>
  <c r="E74" i="30" s="1"/>
  <c r="D123" i="30"/>
  <c r="G121" i="30"/>
  <c r="H121" i="30" s="1"/>
  <c r="G120" i="30"/>
  <c r="I120" i="30" s="1"/>
  <c r="G119" i="30"/>
  <c r="H119" i="30" s="1"/>
  <c r="G118" i="30"/>
  <c r="I118" i="30" s="1"/>
  <c r="G117" i="30"/>
  <c r="H117" i="30" s="1"/>
  <c r="G116" i="30"/>
  <c r="I116" i="30" s="1"/>
  <c r="G115" i="30"/>
  <c r="H115" i="30" s="1"/>
  <c r="G114" i="30"/>
  <c r="I114" i="30" s="1"/>
  <c r="G113" i="30"/>
  <c r="H113" i="30" s="1"/>
  <c r="G112" i="30"/>
  <c r="I112" i="30" s="1"/>
  <c r="G111" i="30"/>
  <c r="H111" i="30" s="1"/>
  <c r="G110" i="30"/>
  <c r="I110" i="30" s="1"/>
  <c r="G109" i="30"/>
  <c r="H109" i="30" s="1"/>
  <c r="G108" i="30"/>
  <c r="I108" i="30" s="1"/>
  <c r="G107" i="30"/>
  <c r="H107" i="30" s="1"/>
  <c r="G106" i="30"/>
  <c r="G105" i="30"/>
  <c r="H105" i="30" s="1"/>
  <c r="G104" i="30"/>
  <c r="F101" i="30"/>
  <c r="E101" i="30"/>
  <c r="J88" i="30"/>
  <c r="J92" i="30"/>
  <c r="D80" i="30"/>
  <c r="F69" i="30"/>
  <c r="E69" i="30"/>
  <c r="D69" i="30"/>
  <c r="G67" i="30"/>
  <c r="H67" i="30" s="1"/>
  <c r="G66" i="30"/>
  <c r="I66" i="30" s="1"/>
  <c r="G65" i="30"/>
  <c r="H65" i="30" s="1"/>
  <c r="G64" i="30"/>
  <c r="I64" i="30" s="1"/>
  <c r="G63" i="30"/>
  <c r="H63" i="30" s="1"/>
  <c r="G62" i="30"/>
  <c r="I62" i="30" s="1"/>
  <c r="G61" i="30"/>
  <c r="H61" i="30" s="1"/>
  <c r="G60" i="30"/>
  <c r="I60" i="30" s="1"/>
  <c r="G59" i="30"/>
  <c r="H59" i="30" s="1"/>
  <c r="G58" i="30"/>
  <c r="I58" i="30" s="1"/>
  <c r="G57" i="30"/>
  <c r="H57" i="30" s="1"/>
  <c r="G56" i="30"/>
  <c r="I56" i="30" s="1"/>
  <c r="G55" i="30"/>
  <c r="G54" i="30"/>
  <c r="I54" i="30" s="1"/>
  <c r="F51" i="30"/>
  <c r="E51" i="30"/>
  <c r="D51" i="30"/>
  <c r="G49" i="30"/>
  <c r="H49" i="30" s="1"/>
  <c r="G48" i="30"/>
  <c r="I48" i="30" s="1"/>
  <c r="G47" i="30"/>
  <c r="H47" i="30" s="1"/>
  <c r="G46" i="30"/>
  <c r="I46" i="30" s="1"/>
  <c r="G45" i="30"/>
  <c r="H45" i="30" s="1"/>
  <c r="G44" i="30"/>
  <c r="I44" i="30" s="1"/>
  <c r="G43" i="30"/>
  <c r="H43" i="30" s="1"/>
  <c r="G42" i="30"/>
  <c r="I42" i="30" s="1"/>
  <c r="G41" i="30"/>
  <c r="G40" i="30"/>
  <c r="I40" i="30" s="1"/>
  <c r="G38" i="30"/>
  <c r="H38" i="30" s="1"/>
  <c r="G37" i="30"/>
  <c r="I37" i="30" s="1"/>
  <c r="G36" i="30"/>
  <c r="H36" i="30" s="1"/>
  <c r="G35" i="30"/>
  <c r="I35" i="30" s="1"/>
  <c r="G34" i="30"/>
  <c r="H34" i="30" s="1"/>
  <c r="G33" i="30"/>
  <c r="I33" i="30" s="1"/>
  <c r="H32" i="30"/>
  <c r="G31" i="30"/>
  <c r="I31" i="30" s="1"/>
  <c r="F28" i="30"/>
  <c r="D28" i="30"/>
  <c r="G26" i="30"/>
  <c r="I26" i="30" s="1"/>
  <c r="G25" i="30"/>
  <c r="H25" i="30" s="1"/>
  <c r="G24" i="30"/>
  <c r="I24" i="30" s="1"/>
  <c r="G23" i="30"/>
  <c r="H23" i="30" s="1"/>
  <c r="G22" i="30"/>
  <c r="I22" i="30" s="1"/>
  <c r="G21" i="30"/>
  <c r="H21" i="30" s="1"/>
  <c r="G20" i="30"/>
  <c r="I20" i="30" s="1"/>
  <c r="G19" i="30"/>
  <c r="G18" i="30"/>
  <c r="I18" i="30" s="1"/>
  <c r="G17" i="30"/>
  <c r="H17" i="30" s="1"/>
  <c r="G16" i="30"/>
  <c r="I16" i="30" s="1"/>
  <c r="G15" i="30"/>
  <c r="H15" i="30" s="1"/>
  <c r="G14" i="30"/>
  <c r="I14" i="30" s="1"/>
  <c r="G13" i="30"/>
  <c r="H13" i="30" s="1"/>
  <c r="G12" i="30"/>
  <c r="I12" i="30" s="1"/>
  <c r="G11" i="30"/>
  <c r="G10" i="30"/>
  <c r="I10" i="30" s="1"/>
  <c r="G9" i="30"/>
  <c r="H9" i="30" s="1"/>
  <c r="G78" i="30" l="1"/>
  <c r="I78" i="30" s="1"/>
  <c r="H55" i="30"/>
  <c r="I55" i="30"/>
  <c r="H41" i="30"/>
  <c r="I41" i="30"/>
  <c r="H19" i="30"/>
  <c r="I19" i="30"/>
  <c r="E80" i="30"/>
  <c r="D71" i="30"/>
  <c r="H159" i="30"/>
  <c r="H108" i="30"/>
  <c r="E71" i="30"/>
  <c r="H60" i="30"/>
  <c r="F80" i="30"/>
  <c r="H116" i="30"/>
  <c r="D165" i="30"/>
  <c r="H139" i="30"/>
  <c r="H157" i="30"/>
  <c r="H20" i="30"/>
  <c r="F71" i="30"/>
  <c r="H46" i="30"/>
  <c r="H54" i="30"/>
  <c r="G76" i="30"/>
  <c r="I76" i="30" s="1"/>
  <c r="E165" i="30"/>
  <c r="H155" i="30"/>
  <c r="F165" i="30"/>
  <c r="H153" i="30"/>
  <c r="H161" i="30"/>
  <c r="H56" i="30"/>
  <c r="H64" i="30"/>
  <c r="H33" i="30"/>
  <c r="H42" i="30"/>
  <c r="H48" i="30"/>
  <c r="H37" i="30"/>
  <c r="H16" i="30"/>
  <c r="H24" i="30"/>
  <c r="H12" i="30"/>
  <c r="G123" i="30"/>
  <c r="I123" i="30" s="1"/>
  <c r="H112" i="30"/>
  <c r="H120" i="30"/>
  <c r="H104" i="30"/>
  <c r="H110" i="30"/>
  <c r="H114" i="30"/>
  <c r="H118" i="30"/>
  <c r="H135" i="30"/>
  <c r="H151" i="30"/>
  <c r="H137" i="30"/>
  <c r="H14" i="30"/>
  <c r="H18" i="30"/>
  <c r="H22" i="30"/>
  <c r="H26" i="30"/>
  <c r="H31" i="30"/>
  <c r="H35" i="30"/>
  <c r="H40" i="30"/>
  <c r="H44" i="30"/>
  <c r="H58" i="30"/>
  <c r="H62" i="30"/>
  <c r="H66" i="30"/>
  <c r="H76" i="30"/>
  <c r="I9" i="30"/>
  <c r="H10" i="30"/>
  <c r="I13" i="30"/>
  <c r="I15" i="30"/>
  <c r="I17" i="30"/>
  <c r="I21" i="30"/>
  <c r="I23" i="30"/>
  <c r="I25" i="30"/>
  <c r="G28" i="30"/>
  <c r="I34" i="30"/>
  <c r="I36" i="30"/>
  <c r="I38" i="30"/>
  <c r="I43" i="30"/>
  <c r="I45" i="30"/>
  <c r="I47" i="30"/>
  <c r="I49" i="30"/>
  <c r="G51" i="30"/>
  <c r="I51" i="30" s="1"/>
  <c r="I57" i="30"/>
  <c r="I59" i="30"/>
  <c r="I61" i="30"/>
  <c r="I63" i="30"/>
  <c r="I65" i="30"/>
  <c r="I67" i="30"/>
  <c r="G69" i="30"/>
  <c r="I69" i="30" s="1"/>
  <c r="G86" i="30"/>
  <c r="J94" i="30" s="1"/>
  <c r="I105" i="30"/>
  <c r="I107" i="30"/>
  <c r="I109" i="30"/>
  <c r="I111" i="30"/>
  <c r="I113" i="30"/>
  <c r="I115" i="30"/>
  <c r="I117" i="30"/>
  <c r="I119" i="30"/>
  <c r="I121" i="30"/>
  <c r="I126" i="30"/>
  <c r="H127" i="30"/>
  <c r="I128" i="30"/>
  <c r="H129" i="30"/>
  <c r="I130" i="30"/>
  <c r="H131" i="30"/>
  <c r="I132" i="30"/>
  <c r="H133" i="30"/>
  <c r="H136" i="30"/>
  <c r="H138" i="30"/>
  <c r="H140" i="30"/>
  <c r="I141" i="30"/>
  <c r="H142" i="30"/>
  <c r="I143" i="30"/>
  <c r="G145" i="30"/>
  <c r="I145" i="30" s="1"/>
  <c r="H148" i="30"/>
  <c r="I149" i="30"/>
  <c r="H150" i="30"/>
  <c r="H152" i="30"/>
  <c r="H154" i="30"/>
  <c r="H156" i="30"/>
  <c r="H158" i="30"/>
  <c r="H160" i="30"/>
  <c r="G163" i="30"/>
  <c r="I163" i="30" s="1"/>
  <c r="G74" i="30"/>
  <c r="I104" i="30"/>
  <c r="H78" i="30" l="1"/>
  <c r="H69" i="30"/>
  <c r="H28" i="30"/>
  <c r="H123" i="30"/>
  <c r="H145" i="30"/>
  <c r="H51" i="30"/>
  <c r="G80" i="30"/>
  <c r="I80" i="30" s="1"/>
  <c r="I74" i="30"/>
  <c r="H74" i="30"/>
  <c r="H80" i="30" s="1"/>
  <c r="G71" i="30"/>
  <c r="G91" i="30" s="1"/>
  <c r="I28" i="30"/>
  <c r="H163" i="30"/>
  <c r="G165" i="30"/>
  <c r="H165" i="30" l="1"/>
  <c r="H71" i="30"/>
  <c r="I71" i="30"/>
  <c r="G173" i="30"/>
  <c r="I165" i="30"/>
  <c r="G34" i="29" l="1"/>
  <c r="J93" i="29" l="1"/>
  <c r="G36" i="29" l="1"/>
  <c r="J89" i="29" l="1"/>
  <c r="M69" i="10" l="1"/>
  <c r="M51" i="10"/>
  <c r="M29" i="10"/>
  <c r="M71" i="10" l="1"/>
  <c r="F25" i="28" l="1"/>
  <c r="F34" i="28"/>
  <c r="F15" i="28"/>
  <c r="F14" i="28"/>
  <c r="F41" i="28"/>
  <c r="F55" i="28"/>
  <c r="F13" i="28"/>
  <c r="F35" i="28"/>
  <c r="F56" i="28"/>
  <c r="F9" i="28"/>
  <c r="F137" i="28"/>
  <c r="F105" i="28"/>
  <c r="G90" i="28"/>
  <c r="G170" i="28" l="1"/>
  <c r="G83" i="28"/>
  <c r="G84" i="28" l="1"/>
  <c r="H173" i="29" l="1"/>
  <c r="G172" i="29"/>
  <c r="F165" i="29"/>
  <c r="F79" i="29" s="1"/>
  <c r="E165" i="29"/>
  <c r="E79" i="29" s="1"/>
  <c r="D165" i="29"/>
  <c r="G163" i="29"/>
  <c r="H163" i="29" s="1"/>
  <c r="G162" i="29"/>
  <c r="I162" i="29" s="1"/>
  <c r="G161" i="29"/>
  <c r="H161" i="29" s="1"/>
  <c r="G160" i="29"/>
  <c r="I160" i="29" s="1"/>
  <c r="G159" i="29"/>
  <c r="H159" i="29" s="1"/>
  <c r="G158" i="29"/>
  <c r="I158" i="29" s="1"/>
  <c r="G157" i="29"/>
  <c r="H157" i="29" s="1"/>
  <c r="G156" i="29"/>
  <c r="I156" i="29" s="1"/>
  <c r="G155" i="29"/>
  <c r="H155" i="29" s="1"/>
  <c r="G154" i="29"/>
  <c r="I154" i="29" s="1"/>
  <c r="G153" i="29"/>
  <c r="H153" i="29" s="1"/>
  <c r="G152" i="29"/>
  <c r="I152" i="29" s="1"/>
  <c r="G151" i="29"/>
  <c r="H151" i="29" s="1"/>
  <c r="G150" i="29"/>
  <c r="I150" i="29" s="1"/>
  <c r="F147" i="29"/>
  <c r="F77" i="29" s="1"/>
  <c r="E147" i="29"/>
  <c r="E77" i="29" s="1"/>
  <c r="D147" i="29"/>
  <c r="G145" i="29"/>
  <c r="H145" i="29" s="1"/>
  <c r="G144" i="29"/>
  <c r="I144" i="29" s="1"/>
  <c r="G143" i="29"/>
  <c r="H143" i="29" s="1"/>
  <c r="G142" i="29"/>
  <c r="I142" i="29" s="1"/>
  <c r="G141" i="29"/>
  <c r="H141" i="29" s="1"/>
  <c r="G140" i="29"/>
  <c r="I140" i="29" s="1"/>
  <c r="G139" i="29"/>
  <c r="H139" i="29" s="1"/>
  <c r="G138" i="29"/>
  <c r="I138" i="29" s="1"/>
  <c r="G137" i="29"/>
  <c r="H137" i="29" s="1"/>
  <c r="G136" i="29"/>
  <c r="I136" i="29" s="1"/>
  <c r="G135" i="29"/>
  <c r="H135" i="29" s="1"/>
  <c r="G134" i="29"/>
  <c r="I134" i="29" s="1"/>
  <c r="G133" i="29"/>
  <c r="H133" i="29" s="1"/>
  <c r="G132" i="29"/>
  <c r="I132" i="29" s="1"/>
  <c r="G131" i="29"/>
  <c r="H131" i="29" s="1"/>
  <c r="G130" i="29"/>
  <c r="I130" i="29" s="1"/>
  <c r="G129" i="29"/>
  <c r="H129" i="29" s="1"/>
  <c r="F126" i="29"/>
  <c r="E126" i="29"/>
  <c r="E75" i="29" s="1"/>
  <c r="D126" i="29"/>
  <c r="G124" i="29"/>
  <c r="H124" i="29" s="1"/>
  <c r="G123" i="29"/>
  <c r="I123" i="29" s="1"/>
  <c r="G122" i="29"/>
  <c r="H122" i="29" s="1"/>
  <c r="G121" i="29"/>
  <c r="I121" i="29" s="1"/>
  <c r="G120" i="29"/>
  <c r="H120" i="29" s="1"/>
  <c r="G119" i="29"/>
  <c r="I119" i="29" s="1"/>
  <c r="G118" i="29"/>
  <c r="H118" i="29" s="1"/>
  <c r="G117" i="29"/>
  <c r="I117" i="29" s="1"/>
  <c r="G116" i="29"/>
  <c r="H116" i="29" s="1"/>
  <c r="G115" i="29"/>
  <c r="I115" i="29" s="1"/>
  <c r="G114" i="29"/>
  <c r="H114" i="29" s="1"/>
  <c r="G113" i="29"/>
  <c r="I113" i="29" s="1"/>
  <c r="G112" i="29"/>
  <c r="H112" i="29" s="1"/>
  <c r="G111" i="29"/>
  <c r="I111" i="29" s="1"/>
  <c r="G110" i="29"/>
  <c r="H110" i="29" s="1"/>
  <c r="G109" i="29"/>
  <c r="I109" i="29" s="1"/>
  <c r="G108" i="29"/>
  <c r="H108" i="29" s="1"/>
  <c r="G107" i="29"/>
  <c r="G106" i="29"/>
  <c r="H106" i="29" s="1"/>
  <c r="G105" i="29"/>
  <c r="F102" i="29"/>
  <c r="E102" i="29"/>
  <c r="G87" i="29"/>
  <c r="J95" i="29" s="1"/>
  <c r="D81" i="29"/>
  <c r="F70" i="29"/>
  <c r="E70" i="29"/>
  <c r="D70" i="29"/>
  <c r="G68" i="29"/>
  <c r="I68" i="29" s="1"/>
  <c r="G67" i="29"/>
  <c r="H67" i="29" s="1"/>
  <c r="G66" i="29"/>
  <c r="I66" i="29" s="1"/>
  <c r="G65" i="29"/>
  <c r="H65" i="29" s="1"/>
  <c r="G64" i="29"/>
  <c r="I64" i="29" s="1"/>
  <c r="G63" i="29"/>
  <c r="H63" i="29" s="1"/>
  <c r="G62" i="29"/>
  <c r="I62" i="29" s="1"/>
  <c r="G61" i="29"/>
  <c r="H61" i="29" s="1"/>
  <c r="G60" i="29"/>
  <c r="I60" i="29" s="1"/>
  <c r="G59" i="29"/>
  <c r="H59" i="29" s="1"/>
  <c r="G58" i="29"/>
  <c r="I58" i="29" s="1"/>
  <c r="G57" i="29"/>
  <c r="H57" i="29" s="1"/>
  <c r="G56" i="29"/>
  <c r="I56" i="29" s="1"/>
  <c r="G55" i="29"/>
  <c r="F52" i="29"/>
  <c r="D52" i="29"/>
  <c r="G50" i="29"/>
  <c r="I50" i="29" s="1"/>
  <c r="G49" i="29"/>
  <c r="H49" i="29" s="1"/>
  <c r="G48" i="29"/>
  <c r="I48" i="29" s="1"/>
  <c r="G47" i="29"/>
  <c r="H47" i="29" s="1"/>
  <c r="G46" i="29"/>
  <c r="I46" i="29" s="1"/>
  <c r="G45" i="29"/>
  <c r="H45" i="29" s="1"/>
  <c r="G44" i="29"/>
  <c r="I44" i="29" s="1"/>
  <c r="G43" i="29"/>
  <c r="H43" i="29" s="1"/>
  <c r="G42" i="29"/>
  <c r="I42" i="29" s="1"/>
  <c r="G41" i="29"/>
  <c r="H41" i="29" s="1"/>
  <c r="E52" i="29"/>
  <c r="G39" i="29"/>
  <c r="I39" i="29" s="1"/>
  <c r="G38" i="29"/>
  <c r="H38" i="29" s="1"/>
  <c r="G37" i="29"/>
  <c r="I37" i="29" s="1"/>
  <c r="H36" i="29"/>
  <c r="G35" i="29"/>
  <c r="I35" i="29" s="1"/>
  <c r="H34" i="29"/>
  <c r="G33" i="29"/>
  <c r="H33" i="29" s="1"/>
  <c r="F30" i="29"/>
  <c r="E30" i="29"/>
  <c r="D30" i="29"/>
  <c r="G28" i="29"/>
  <c r="H28" i="29" s="1"/>
  <c r="G27" i="29"/>
  <c r="H27" i="29" s="1"/>
  <c r="G26" i="29"/>
  <c r="I26" i="29" s="1"/>
  <c r="G25" i="29"/>
  <c r="H25" i="29" s="1"/>
  <c r="G24" i="29"/>
  <c r="I24" i="29" s="1"/>
  <c r="G23" i="29"/>
  <c r="H23" i="29" s="1"/>
  <c r="G22" i="29"/>
  <c r="I22" i="29" s="1"/>
  <c r="G21" i="29"/>
  <c r="H21" i="29" s="1"/>
  <c r="G20" i="29"/>
  <c r="I20" i="29" s="1"/>
  <c r="G19" i="29"/>
  <c r="H19" i="29" s="1"/>
  <c r="G18" i="29"/>
  <c r="I18" i="29" s="1"/>
  <c r="G17" i="29"/>
  <c r="H17" i="29" s="1"/>
  <c r="G16" i="29"/>
  <c r="I16" i="29" s="1"/>
  <c r="G15" i="29"/>
  <c r="H15" i="29" s="1"/>
  <c r="G14" i="29"/>
  <c r="I14" i="29" s="1"/>
  <c r="G13" i="29"/>
  <c r="H13" i="29" s="1"/>
  <c r="I12" i="29"/>
  <c r="G11" i="29"/>
  <c r="G10" i="29"/>
  <c r="G9" i="29"/>
  <c r="H9" i="29" s="1"/>
  <c r="D167" i="29" l="1"/>
  <c r="H11" i="29"/>
  <c r="I11" i="29"/>
  <c r="I10" i="29"/>
  <c r="H10" i="29"/>
  <c r="H150" i="29"/>
  <c r="H119" i="29"/>
  <c r="H113" i="29"/>
  <c r="G77" i="29"/>
  <c r="I77" i="29" s="1"/>
  <c r="G79" i="29"/>
  <c r="I79" i="29" s="1"/>
  <c r="H37" i="29"/>
  <c r="H44" i="29"/>
  <c r="F72" i="29"/>
  <c r="H156" i="29"/>
  <c r="H162" i="29"/>
  <c r="H24" i="29"/>
  <c r="F167" i="29"/>
  <c r="H121" i="29"/>
  <c r="H152" i="29"/>
  <c r="H12" i="29"/>
  <c r="E81" i="29"/>
  <c r="H117" i="29"/>
  <c r="H58" i="29"/>
  <c r="H123" i="29"/>
  <c r="H154" i="29"/>
  <c r="H160" i="29"/>
  <c r="H66" i="29"/>
  <c r="G126" i="29"/>
  <c r="I126" i="29" s="1"/>
  <c r="H62" i="29"/>
  <c r="H48" i="29"/>
  <c r="H20" i="29"/>
  <c r="H16" i="29"/>
  <c r="E72" i="29"/>
  <c r="H158" i="29"/>
  <c r="H130" i="29"/>
  <c r="H138" i="29"/>
  <c r="H134" i="29"/>
  <c r="H142" i="29"/>
  <c r="H132" i="29"/>
  <c r="H136" i="29"/>
  <c r="H140" i="29"/>
  <c r="H144" i="29"/>
  <c r="H109" i="29"/>
  <c r="H105" i="29"/>
  <c r="H111" i="29"/>
  <c r="H115" i="29"/>
  <c r="G70" i="29"/>
  <c r="I70" i="29" s="1"/>
  <c r="H56" i="29"/>
  <c r="H60" i="29"/>
  <c r="H64" i="29"/>
  <c r="H68" i="29"/>
  <c r="H35" i="29"/>
  <c r="H39" i="29"/>
  <c r="H42" i="29"/>
  <c r="H46" i="29"/>
  <c r="H50" i="29"/>
  <c r="H14" i="29"/>
  <c r="H18" i="29"/>
  <c r="H22" i="29"/>
  <c r="H26" i="29"/>
  <c r="D72" i="29"/>
  <c r="I9" i="29"/>
  <c r="I13" i="29"/>
  <c r="I15" i="29"/>
  <c r="I17" i="29"/>
  <c r="I19" i="29"/>
  <c r="I21" i="29"/>
  <c r="I23" i="29"/>
  <c r="I25" i="29"/>
  <c r="I27" i="29"/>
  <c r="G30" i="29"/>
  <c r="I34" i="29"/>
  <c r="I36" i="29"/>
  <c r="I38" i="29"/>
  <c r="I41" i="29"/>
  <c r="I43" i="29"/>
  <c r="I45" i="29"/>
  <c r="I47" i="29"/>
  <c r="I49" i="29"/>
  <c r="I55" i="29"/>
  <c r="I57" i="29"/>
  <c r="I59" i="29"/>
  <c r="I61" i="29"/>
  <c r="I63" i="29"/>
  <c r="I65" i="29"/>
  <c r="I67" i="29"/>
  <c r="I106" i="29"/>
  <c r="I108" i="29"/>
  <c r="I110" i="29"/>
  <c r="I112" i="29"/>
  <c r="I114" i="29"/>
  <c r="I116" i="29"/>
  <c r="I118" i="29"/>
  <c r="I120" i="29"/>
  <c r="I122" i="29"/>
  <c r="I129" i="29"/>
  <c r="I131" i="29"/>
  <c r="I133" i="29"/>
  <c r="I135" i="29"/>
  <c r="I137" i="29"/>
  <c r="I139" i="29"/>
  <c r="I141" i="29"/>
  <c r="I143" i="29"/>
  <c r="I145" i="29"/>
  <c r="G147" i="29"/>
  <c r="I147" i="29" s="1"/>
  <c r="I151" i="29"/>
  <c r="I153" i="29"/>
  <c r="I155" i="29"/>
  <c r="I157" i="29"/>
  <c r="I159" i="29"/>
  <c r="I161" i="29"/>
  <c r="I163" i="29"/>
  <c r="G165" i="29"/>
  <c r="I165" i="29" s="1"/>
  <c r="E167" i="29"/>
  <c r="I33" i="29"/>
  <c r="G40" i="29"/>
  <c r="H55" i="29"/>
  <c r="F75" i="29"/>
  <c r="F81" i="29" s="1"/>
  <c r="I105" i="29"/>
  <c r="H79" i="29" l="1"/>
  <c r="H77" i="29"/>
  <c r="H165" i="29"/>
  <c r="H70" i="29"/>
  <c r="H30" i="29"/>
  <c r="H147" i="29"/>
  <c r="H126" i="29"/>
  <c r="I40" i="29"/>
  <c r="H40" i="29"/>
  <c r="H52" i="29" s="1"/>
  <c r="I30" i="29"/>
  <c r="G75" i="29"/>
  <c r="G52" i="29"/>
  <c r="I52" i="29" s="1"/>
  <c r="G167" i="29"/>
  <c r="H72" i="29" l="1"/>
  <c r="H167" i="29"/>
  <c r="G175" i="29"/>
  <c r="I167" i="29"/>
  <c r="H75" i="29"/>
  <c r="H81" i="29" s="1"/>
  <c r="G81" i="29"/>
  <c r="I81" i="29" s="1"/>
  <c r="I75" i="29"/>
  <c r="G72" i="29"/>
  <c r="I72" i="29" l="1"/>
  <c r="G92" i="29"/>
  <c r="G89" i="28" l="1"/>
  <c r="J93" i="28" l="1"/>
  <c r="G85" i="28" l="1"/>
  <c r="E40" i="28" l="1"/>
  <c r="L69" i="10" l="1"/>
  <c r="L51" i="10"/>
  <c r="L29" i="10"/>
  <c r="L71" i="10" l="1"/>
  <c r="H173" i="28" l="1"/>
  <c r="F108" i="27" l="1"/>
  <c r="F105" i="27"/>
  <c r="F12" i="27"/>
  <c r="F16" i="27"/>
  <c r="F15" i="27"/>
  <c r="F14" i="27"/>
  <c r="F41" i="27"/>
  <c r="F36" i="27"/>
  <c r="F34" i="27"/>
  <c r="F19" i="27"/>
  <c r="F35" i="27"/>
  <c r="F28" i="27"/>
  <c r="G170" i="27"/>
  <c r="G90" i="27"/>
  <c r="F18" i="27"/>
  <c r="F42" i="27"/>
  <c r="F20" i="27"/>
  <c r="F10" i="27"/>
  <c r="E28" i="27"/>
  <c r="G83" i="27" l="1"/>
  <c r="G84" i="27" l="1"/>
  <c r="G86" i="27" l="1"/>
  <c r="G172" i="28" l="1"/>
  <c r="F165" i="28"/>
  <c r="F79" i="28" s="1"/>
  <c r="E165" i="28"/>
  <c r="E79" i="28" s="1"/>
  <c r="D165" i="28"/>
  <c r="G163" i="28"/>
  <c r="H163" i="28" s="1"/>
  <c r="G162" i="28"/>
  <c r="I162" i="28" s="1"/>
  <c r="G161" i="28"/>
  <c r="H161" i="28" s="1"/>
  <c r="G160" i="28"/>
  <c r="I160" i="28" s="1"/>
  <c r="G159" i="28"/>
  <c r="H159" i="28" s="1"/>
  <c r="G158" i="28"/>
  <c r="I158" i="28" s="1"/>
  <c r="G157" i="28"/>
  <c r="H157" i="28" s="1"/>
  <c r="G156" i="28"/>
  <c r="I156" i="28" s="1"/>
  <c r="G155" i="28"/>
  <c r="H155" i="28" s="1"/>
  <c r="G154" i="28"/>
  <c r="I154" i="28" s="1"/>
  <c r="G153" i="28"/>
  <c r="H153" i="28" s="1"/>
  <c r="G152" i="28"/>
  <c r="I152" i="28" s="1"/>
  <c r="G151" i="28"/>
  <c r="H151" i="28" s="1"/>
  <c r="G150" i="28"/>
  <c r="I150" i="28" s="1"/>
  <c r="F147" i="28"/>
  <c r="F77" i="28" s="1"/>
  <c r="E147" i="28"/>
  <c r="E77" i="28" s="1"/>
  <c r="D147" i="28"/>
  <c r="G145" i="28"/>
  <c r="H145" i="28" s="1"/>
  <c r="G144" i="28"/>
  <c r="I144" i="28" s="1"/>
  <c r="G143" i="28"/>
  <c r="H143" i="28" s="1"/>
  <c r="G142" i="28"/>
  <c r="I142" i="28" s="1"/>
  <c r="G141" i="28"/>
  <c r="H141" i="28" s="1"/>
  <c r="G140" i="28"/>
  <c r="I140" i="28" s="1"/>
  <c r="G139" i="28"/>
  <c r="H139" i="28" s="1"/>
  <c r="G138" i="28"/>
  <c r="I138" i="28" s="1"/>
  <c r="G137" i="28"/>
  <c r="H137" i="28" s="1"/>
  <c r="G136" i="28"/>
  <c r="I136" i="28" s="1"/>
  <c r="G135" i="28"/>
  <c r="H135" i="28" s="1"/>
  <c r="G134" i="28"/>
  <c r="I134" i="28" s="1"/>
  <c r="G133" i="28"/>
  <c r="H133" i="28" s="1"/>
  <c r="G132" i="28"/>
  <c r="I132" i="28" s="1"/>
  <c r="G131" i="28"/>
  <c r="H131" i="28" s="1"/>
  <c r="G130" i="28"/>
  <c r="I130" i="28" s="1"/>
  <c r="G129" i="28"/>
  <c r="H129" i="28" s="1"/>
  <c r="F126" i="28"/>
  <c r="E126" i="28"/>
  <c r="E75" i="28" s="1"/>
  <c r="D126" i="28"/>
  <c r="G124" i="28"/>
  <c r="H124" i="28" s="1"/>
  <c r="G123" i="28"/>
  <c r="I123" i="28" s="1"/>
  <c r="G122" i="28"/>
  <c r="H122" i="28" s="1"/>
  <c r="G121" i="28"/>
  <c r="I121" i="28" s="1"/>
  <c r="G120" i="28"/>
  <c r="H120" i="28" s="1"/>
  <c r="G119" i="28"/>
  <c r="I119" i="28" s="1"/>
  <c r="G118" i="28"/>
  <c r="H118" i="28" s="1"/>
  <c r="G117" i="28"/>
  <c r="I117" i="28" s="1"/>
  <c r="G116" i="28"/>
  <c r="H116" i="28" s="1"/>
  <c r="G115" i="28"/>
  <c r="I115" i="28" s="1"/>
  <c r="G114" i="28"/>
  <c r="H114" i="28" s="1"/>
  <c r="G113" i="28"/>
  <c r="I113" i="28" s="1"/>
  <c r="G112" i="28"/>
  <c r="H112" i="28" s="1"/>
  <c r="G111" i="28"/>
  <c r="I111" i="28" s="1"/>
  <c r="G110" i="28"/>
  <c r="H110" i="28" s="1"/>
  <c r="G109" i="28"/>
  <c r="I109" i="28" s="1"/>
  <c r="G108" i="28"/>
  <c r="H108" i="28" s="1"/>
  <c r="G107" i="28"/>
  <c r="G106" i="28"/>
  <c r="H106" i="28" s="1"/>
  <c r="G105" i="28"/>
  <c r="F102" i="28"/>
  <c r="E102" i="28"/>
  <c r="J89" i="28"/>
  <c r="D81" i="28"/>
  <c r="F70" i="28"/>
  <c r="E70" i="28"/>
  <c r="D70" i="28"/>
  <c r="G68" i="28"/>
  <c r="H68" i="28" s="1"/>
  <c r="G67" i="28"/>
  <c r="I67" i="28" s="1"/>
  <c r="G66" i="28"/>
  <c r="H66" i="28" s="1"/>
  <c r="G65" i="28"/>
  <c r="I65" i="28" s="1"/>
  <c r="G64" i="28"/>
  <c r="H64" i="28" s="1"/>
  <c r="G63" i="28"/>
  <c r="I63" i="28" s="1"/>
  <c r="G62" i="28"/>
  <c r="H62" i="28" s="1"/>
  <c r="G61" i="28"/>
  <c r="I61" i="28" s="1"/>
  <c r="G60" i="28"/>
  <c r="H60" i="28" s="1"/>
  <c r="G59" i="28"/>
  <c r="I59" i="28" s="1"/>
  <c r="G58" i="28"/>
  <c r="H58" i="28" s="1"/>
  <c r="G57" i="28"/>
  <c r="I57" i="28" s="1"/>
  <c r="G56" i="28"/>
  <c r="H56" i="28" s="1"/>
  <c r="G55" i="28"/>
  <c r="I55" i="28" s="1"/>
  <c r="F52" i="28"/>
  <c r="E52" i="28"/>
  <c r="G50" i="28"/>
  <c r="H50" i="28" s="1"/>
  <c r="G49" i="28"/>
  <c r="I49" i="28" s="1"/>
  <c r="G48" i="28"/>
  <c r="H48" i="28" s="1"/>
  <c r="G47" i="28"/>
  <c r="I47" i="28" s="1"/>
  <c r="G46" i="28"/>
  <c r="H46" i="28" s="1"/>
  <c r="D52" i="28"/>
  <c r="G45" i="28"/>
  <c r="H45" i="28" s="1"/>
  <c r="G44" i="28"/>
  <c r="I44" i="28" s="1"/>
  <c r="G43" i="28"/>
  <c r="H43" i="28" s="1"/>
  <c r="G42" i="28"/>
  <c r="I42" i="28" s="1"/>
  <c r="G41" i="28"/>
  <c r="H41" i="28" s="1"/>
  <c r="G40" i="28"/>
  <c r="I40" i="28" s="1"/>
  <c r="G39" i="28"/>
  <c r="H39" i="28" s="1"/>
  <c r="G38" i="28"/>
  <c r="I38" i="28" s="1"/>
  <c r="G37" i="28"/>
  <c r="H37" i="28" s="1"/>
  <c r="G36" i="28"/>
  <c r="I36" i="28" s="1"/>
  <c r="G35" i="28"/>
  <c r="H35" i="28" s="1"/>
  <c r="G34" i="28"/>
  <c r="I34" i="28" s="1"/>
  <c r="G33" i="28"/>
  <c r="H33" i="28" s="1"/>
  <c r="F30" i="28"/>
  <c r="E30" i="28"/>
  <c r="D30" i="28"/>
  <c r="G28" i="28"/>
  <c r="H28" i="28" s="1"/>
  <c r="G27" i="28"/>
  <c r="I27" i="28" s="1"/>
  <c r="G26" i="28"/>
  <c r="H26" i="28" s="1"/>
  <c r="G25" i="28"/>
  <c r="I25" i="28" s="1"/>
  <c r="G24" i="28"/>
  <c r="H24" i="28" s="1"/>
  <c r="G23" i="28"/>
  <c r="I23" i="28" s="1"/>
  <c r="G22" i="28"/>
  <c r="H22" i="28" s="1"/>
  <c r="G21" i="28"/>
  <c r="I21" i="28" s="1"/>
  <c r="G20" i="28"/>
  <c r="H20" i="28" s="1"/>
  <c r="G19" i="28"/>
  <c r="H19" i="28" s="1"/>
  <c r="G18" i="28"/>
  <c r="I18" i="28" s="1"/>
  <c r="G17" i="28"/>
  <c r="H17" i="28" s="1"/>
  <c r="G16" i="28"/>
  <c r="I16" i="28" s="1"/>
  <c r="G15" i="28"/>
  <c r="H15" i="28" s="1"/>
  <c r="G14" i="28"/>
  <c r="I14" i="28" s="1"/>
  <c r="G13" i="28"/>
  <c r="H13" i="28" s="1"/>
  <c r="G12" i="28"/>
  <c r="I12" i="28" s="1"/>
  <c r="G11" i="28"/>
  <c r="G10" i="28"/>
  <c r="I10" i="28" s="1"/>
  <c r="G9" i="28"/>
  <c r="H47" i="28" l="1"/>
  <c r="H123" i="28"/>
  <c r="H156" i="28"/>
  <c r="D167" i="28"/>
  <c r="H38" i="28"/>
  <c r="H138" i="28"/>
  <c r="H121" i="28"/>
  <c r="H144" i="28"/>
  <c r="H154" i="28"/>
  <c r="D72" i="28"/>
  <c r="H44" i="28"/>
  <c r="H59" i="28"/>
  <c r="H65" i="28"/>
  <c r="H117" i="28"/>
  <c r="H134" i="28"/>
  <c r="H140" i="28"/>
  <c r="H150" i="28"/>
  <c r="H158" i="28"/>
  <c r="H27" i="28"/>
  <c r="H162" i="28"/>
  <c r="H61" i="28"/>
  <c r="H109" i="28"/>
  <c r="H119" i="28"/>
  <c r="H142" i="28"/>
  <c r="H152" i="28"/>
  <c r="H160" i="28"/>
  <c r="F167" i="28"/>
  <c r="H132" i="28"/>
  <c r="H115" i="28"/>
  <c r="H49" i="28"/>
  <c r="H57" i="28"/>
  <c r="G79" i="28"/>
  <c r="H79" i="28" s="1"/>
  <c r="H21" i="28"/>
  <c r="H25" i="28"/>
  <c r="H130" i="28"/>
  <c r="F72" i="28"/>
  <c r="F75" i="28"/>
  <c r="F81" i="28" s="1"/>
  <c r="H113" i="28"/>
  <c r="G77" i="28"/>
  <c r="H77" i="28" s="1"/>
  <c r="H12" i="28"/>
  <c r="H63" i="28"/>
  <c r="H16" i="28"/>
  <c r="H40" i="28"/>
  <c r="H36" i="28"/>
  <c r="H136" i="28"/>
  <c r="E81" i="28"/>
  <c r="H111" i="28"/>
  <c r="G126" i="28"/>
  <c r="I126" i="28" s="1"/>
  <c r="E167" i="28"/>
  <c r="H105" i="28"/>
  <c r="H67" i="28"/>
  <c r="H55" i="28"/>
  <c r="H42" i="28"/>
  <c r="H34" i="28"/>
  <c r="H23" i="28"/>
  <c r="H18" i="28"/>
  <c r="H14" i="28"/>
  <c r="G30" i="28"/>
  <c r="I30" i="28" s="1"/>
  <c r="H10" i="28"/>
  <c r="E72" i="28"/>
  <c r="I9" i="28"/>
  <c r="I13" i="28"/>
  <c r="I15" i="28"/>
  <c r="I17" i="28"/>
  <c r="I19" i="28"/>
  <c r="I20" i="28"/>
  <c r="I22" i="28"/>
  <c r="I24" i="28"/>
  <c r="I26" i="28"/>
  <c r="I33" i="28"/>
  <c r="I35" i="28"/>
  <c r="I37" i="28"/>
  <c r="I39" i="28"/>
  <c r="I41" i="28"/>
  <c r="I43" i="28"/>
  <c r="I45" i="28"/>
  <c r="I46" i="28"/>
  <c r="I48" i="28"/>
  <c r="I50" i="28"/>
  <c r="G52" i="28"/>
  <c r="I52" i="28" s="1"/>
  <c r="I56" i="28"/>
  <c r="I58" i="28"/>
  <c r="I60" i="28"/>
  <c r="I62" i="28"/>
  <c r="I64" i="28"/>
  <c r="I66" i="28"/>
  <c r="I68" i="28"/>
  <c r="G70" i="28"/>
  <c r="I70" i="28" s="1"/>
  <c r="G87" i="28"/>
  <c r="J95" i="28" s="1"/>
  <c r="I106" i="28"/>
  <c r="I108" i="28"/>
  <c r="I110" i="28"/>
  <c r="I112" i="28"/>
  <c r="I114" i="28"/>
  <c r="I116" i="28"/>
  <c r="I118" i="28"/>
  <c r="I120" i="28"/>
  <c r="I122" i="28"/>
  <c r="I129" i="28"/>
  <c r="I131" i="28"/>
  <c r="I133" i="28"/>
  <c r="I135" i="28"/>
  <c r="I137" i="28"/>
  <c r="I139" i="28"/>
  <c r="I141" i="28"/>
  <c r="I143" i="28"/>
  <c r="I145" i="28"/>
  <c r="G147" i="28"/>
  <c r="I147" i="28" s="1"/>
  <c r="I151" i="28"/>
  <c r="I153" i="28"/>
  <c r="I155" i="28"/>
  <c r="I157" i="28"/>
  <c r="I159" i="28"/>
  <c r="I161" i="28"/>
  <c r="I163" i="28"/>
  <c r="G165" i="28"/>
  <c r="I165" i="28" s="1"/>
  <c r="H9" i="28"/>
  <c r="I105" i="28"/>
  <c r="I79" i="28" l="1"/>
  <c r="H165" i="28"/>
  <c r="H147" i="28"/>
  <c r="H70" i="28"/>
  <c r="G75" i="28"/>
  <c r="I75" i="28" s="1"/>
  <c r="I77" i="28"/>
  <c r="H30" i="28"/>
  <c r="H52" i="28"/>
  <c r="H126" i="28"/>
  <c r="G167" i="28"/>
  <c r="G72" i="28"/>
  <c r="H167" i="28" l="1"/>
  <c r="G81" i="28"/>
  <c r="I81" i="28" s="1"/>
  <c r="H75" i="28"/>
  <c r="H81" i="28" s="1"/>
  <c r="H72" i="28"/>
  <c r="G92" i="28"/>
  <c r="I72" i="28"/>
  <c r="G175" i="28"/>
  <c r="I167" i="28"/>
  <c r="K51" i="10" l="1"/>
  <c r="K29" i="10"/>
  <c r="K69" i="10"/>
  <c r="K71" i="10" l="1"/>
  <c r="G85" i="27" l="1"/>
  <c r="G89" i="27" l="1"/>
  <c r="G87" i="27" l="1"/>
  <c r="F12" i="25" l="1"/>
  <c r="F15" i="25"/>
  <c r="F16" i="25"/>
  <c r="F36" i="25"/>
  <c r="F9" i="25"/>
  <c r="F34" i="25"/>
  <c r="F41" i="25"/>
  <c r="F26" i="25"/>
  <c r="F20" i="25"/>
  <c r="F19" i="25"/>
  <c r="F56" i="25"/>
  <c r="F42" i="25"/>
  <c r="F105" i="25"/>
  <c r="F28" i="25"/>
  <c r="G170" i="25" l="1"/>
  <c r="G85" i="25"/>
  <c r="G83" i="25" l="1"/>
  <c r="G84" i="25" l="1"/>
  <c r="J69" i="10" l="1"/>
  <c r="J51" i="10"/>
  <c r="J29" i="10"/>
  <c r="D46" i="27"/>
  <c r="D20" i="27"/>
  <c r="J71" i="10" l="1"/>
  <c r="H173" i="27"/>
  <c r="G172" i="27"/>
  <c r="F165" i="27"/>
  <c r="F79" i="27" s="1"/>
  <c r="E165" i="27"/>
  <c r="E79" i="27" s="1"/>
  <c r="D165" i="27"/>
  <c r="G163" i="27"/>
  <c r="I163" i="27" s="1"/>
  <c r="G162" i="27"/>
  <c r="I162" i="27" s="1"/>
  <c r="G161" i="27"/>
  <c r="I161" i="27" s="1"/>
  <c r="G160" i="27"/>
  <c r="I160" i="27" s="1"/>
  <c r="G159" i="27"/>
  <c r="I159" i="27" s="1"/>
  <c r="G158" i="27"/>
  <c r="I158" i="27" s="1"/>
  <c r="G157" i="27"/>
  <c r="I157" i="27" s="1"/>
  <c r="G156" i="27"/>
  <c r="I156" i="27" s="1"/>
  <c r="G155" i="27"/>
  <c r="I155" i="27" s="1"/>
  <c r="G154" i="27"/>
  <c r="I154" i="27" s="1"/>
  <c r="G153" i="27"/>
  <c r="I153" i="27" s="1"/>
  <c r="G152" i="27"/>
  <c r="I152" i="27" s="1"/>
  <c r="G151" i="27"/>
  <c r="I151" i="27" s="1"/>
  <c r="G150" i="27"/>
  <c r="I150" i="27" s="1"/>
  <c r="F147" i="27"/>
  <c r="F77" i="27" s="1"/>
  <c r="E147" i="27"/>
  <c r="E77" i="27" s="1"/>
  <c r="D147" i="27"/>
  <c r="G145" i="27"/>
  <c r="I145" i="27" s="1"/>
  <c r="G144" i="27"/>
  <c r="I144" i="27" s="1"/>
  <c r="G143" i="27"/>
  <c r="I143" i="27" s="1"/>
  <c r="G142" i="27"/>
  <c r="I142" i="27" s="1"/>
  <c r="G141" i="27"/>
  <c r="I141" i="27" s="1"/>
  <c r="G140" i="27"/>
  <c r="I140" i="27" s="1"/>
  <c r="G139" i="27"/>
  <c r="I139" i="27" s="1"/>
  <c r="G138" i="27"/>
  <c r="I138" i="27" s="1"/>
  <c r="G137" i="27"/>
  <c r="I137" i="27" s="1"/>
  <c r="G136" i="27"/>
  <c r="I136" i="27" s="1"/>
  <c r="G135" i="27"/>
  <c r="I135" i="27" s="1"/>
  <c r="G134" i="27"/>
  <c r="I134" i="27" s="1"/>
  <c r="G133" i="27"/>
  <c r="I133" i="27" s="1"/>
  <c r="G132" i="27"/>
  <c r="I132" i="27" s="1"/>
  <c r="G131" i="27"/>
  <c r="I131" i="27" s="1"/>
  <c r="G130" i="27"/>
  <c r="I130" i="27" s="1"/>
  <c r="G129" i="27"/>
  <c r="H129" i="27" s="1"/>
  <c r="F126" i="27"/>
  <c r="F75" i="27" s="1"/>
  <c r="E126" i="27"/>
  <c r="D126" i="27"/>
  <c r="G124" i="27"/>
  <c r="H124" i="27" s="1"/>
  <c r="G123" i="27"/>
  <c r="I123" i="27" s="1"/>
  <c r="G122" i="27"/>
  <c r="I122" i="27" s="1"/>
  <c r="G121" i="27"/>
  <c r="I121" i="27" s="1"/>
  <c r="G120" i="27"/>
  <c r="I120" i="27" s="1"/>
  <c r="G119" i="27"/>
  <c r="I119" i="27" s="1"/>
  <c r="G118" i="27"/>
  <c r="I118" i="27" s="1"/>
  <c r="G117" i="27"/>
  <c r="I117" i="27" s="1"/>
  <c r="G116" i="27"/>
  <c r="I116" i="27" s="1"/>
  <c r="G115" i="27"/>
  <c r="I115" i="27" s="1"/>
  <c r="G114" i="27"/>
  <c r="I114" i="27" s="1"/>
  <c r="G113" i="27"/>
  <c r="I113" i="27" s="1"/>
  <c r="G112" i="27"/>
  <c r="I112" i="27" s="1"/>
  <c r="G111" i="27"/>
  <c r="I111" i="27" s="1"/>
  <c r="G110" i="27"/>
  <c r="I110" i="27" s="1"/>
  <c r="G109" i="27"/>
  <c r="I109" i="27" s="1"/>
  <c r="G108" i="27"/>
  <c r="I108" i="27" s="1"/>
  <c r="G107" i="27"/>
  <c r="G106" i="27"/>
  <c r="I106" i="27" s="1"/>
  <c r="G105" i="27"/>
  <c r="F102" i="27"/>
  <c r="E102" i="27"/>
  <c r="J89" i="27"/>
  <c r="J93" i="27"/>
  <c r="J95" i="27"/>
  <c r="D81" i="27"/>
  <c r="F70" i="27"/>
  <c r="E70" i="27"/>
  <c r="D70" i="27"/>
  <c r="G68" i="27"/>
  <c r="I68" i="27" s="1"/>
  <c r="G67" i="27"/>
  <c r="I67" i="27" s="1"/>
  <c r="G66" i="27"/>
  <c r="I66" i="27" s="1"/>
  <c r="G65" i="27"/>
  <c r="I65" i="27" s="1"/>
  <c r="G64" i="27"/>
  <c r="I64" i="27" s="1"/>
  <c r="G63" i="27"/>
  <c r="I63" i="27" s="1"/>
  <c r="G62" i="27"/>
  <c r="I62" i="27" s="1"/>
  <c r="G61" i="27"/>
  <c r="I61" i="27" s="1"/>
  <c r="G60" i="27"/>
  <c r="I60" i="27" s="1"/>
  <c r="G59" i="27"/>
  <c r="I59" i="27" s="1"/>
  <c r="G58" i="27"/>
  <c r="I58" i="27" s="1"/>
  <c r="G57" i="27"/>
  <c r="I57" i="27" s="1"/>
  <c r="G56" i="27"/>
  <c r="I56" i="27" s="1"/>
  <c r="G55" i="27"/>
  <c r="F52" i="27"/>
  <c r="E52" i="27"/>
  <c r="D52" i="27"/>
  <c r="G50" i="27"/>
  <c r="I50" i="27" s="1"/>
  <c r="G49" i="27"/>
  <c r="H49" i="27" s="1"/>
  <c r="G48" i="27"/>
  <c r="I48" i="27" s="1"/>
  <c r="G47" i="27"/>
  <c r="H47" i="27" s="1"/>
  <c r="G46" i="27"/>
  <c r="I46" i="27" s="1"/>
  <c r="G45" i="27"/>
  <c r="H45" i="27" s="1"/>
  <c r="G44" i="27"/>
  <c r="I44" i="27" s="1"/>
  <c r="G43" i="27"/>
  <c r="H43" i="27" s="1"/>
  <c r="G42" i="27"/>
  <c r="I42" i="27" s="1"/>
  <c r="G41" i="27"/>
  <c r="H41" i="27" s="1"/>
  <c r="G40" i="27"/>
  <c r="I40" i="27" s="1"/>
  <c r="G39" i="27"/>
  <c r="H39" i="27" s="1"/>
  <c r="G38" i="27"/>
  <c r="I38" i="27" s="1"/>
  <c r="G37" i="27"/>
  <c r="H37" i="27" s="1"/>
  <c r="G36" i="27"/>
  <c r="I36" i="27" s="1"/>
  <c r="G35" i="27"/>
  <c r="H35" i="27" s="1"/>
  <c r="G34" i="27"/>
  <c r="I34" i="27" s="1"/>
  <c r="G33" i="27"/>
  <c r="F30" i="27"/>
  <c r="E30" i="27"/>
  <c r="G28" i="27"/>
  <c r="H28" i="27" s="1"/>
  <c r="G27" i="27"/>
  <c r="I27" i="27" s="1"/>
  <c r="G26" i="27"/>
  <c r="H26" i="27" s="1"/>
  <c r="G25" i="27"/>
  <c r="I25" i="27" s="1"/>
  <c r="D30" i="27"/>
  <c r="G24" i="27"/>
  <c r="I24" i="27" s="1"/>
  <c r="G23" i="27"/>
  <c r="H23" i="27" s="1"/>
  <c r="G22" i="27"/>
  <c r="I22" i="27" s="1"/>
  <c r="G21" i="27"/>
  <c r="I21" i="27" s="1"/>
  <c r="G20" i="27"/>
  <c r="I20" i="27" s="1"/>
  <c r="G19" i="27"/>
  <c r="H19" i="27" s="1"/>
  <c r="G18" i="27"/>
  <c r="I18" i="27" s="1"/>
  <c r="G17" i="27"/>
  <c r="H17" i="27" s="1"/>
  <c r="G16" i="27"/>
  <c r="I16" i="27" s="1"/>
  <c r="G15" i="27"/>
  <c r="H15" i="27" s="1"/>
  <c r="G14" i="27"/>
  <c r="I14" i="27" s="1"/>
  <c r="G13" i="27"/>
  <c r="H13" i="27" s="1"/>
  <c r="G12" i="27"/>
  <c r="I12" i="27" s="1"/>
  <c r="G11" i="27"/>
  <c r="G10" i="27"/>
  <c r="I10" i="27" s="1"/>
  <c r="G9" i="27"/>
  <c r="H64" i="27" l="1"/>
  <c r="H58" i="27"/>
  <c r="H122" i="27"/>
  <c r="H50" i="27"/>
  <c r="H44" i="27"/>
  <c r="H116" i="27"/>
  <c r="H22" i="27"/>
  <c r="H135" i="27"/>
  <c r="H38" i="27"/>
  <c r="H48" i="27"/>
  <c r="H145" i="27"/>
  <c r="D72" i="27"/>
  <c r="H27" i="27"/>
  <c r="H60" i="27"/>
  <c r="H66" i="27"/>
  <c r="H118" i="27"/>
  <c r="H141" i="27"/>
  <c r="H133" i="27"/>
  <c r="H153" i="27"/>
  <c r="H163" i="27"/>
  <c r="H143" i="27"/>
  <c r="D167" i="27"/>
  <c r="H157" i="27"/>
  <c r="H114" i="27"/>
  <c r="H139" i="27"/>
  <c r="G79" i="27"/>
  <c r="I79" i="27" s="1"/>
  <c r="H40" i="27"/>
  <c r="H120" i="27"/>
  <c r="E167" i="27"/>
  <c r="H68" i="27"/>
  <c r="H20" i="27"/>
  <c r="I49" i="27"/>
  <c r="G77" i="27"/>
  <c r="I77" i="27" s="1"/>
  <c r="F81" i="27"/>
  <c r="H112" i="27"/>
  <c r="H56" i="27"/>
  <c r="H12" i="27"/>
  <c r="G147" i="27"/>
  <c r="I147" i="27" s="1"/>
  <c r="H161" i="27"/>
  <c r="H151" i="27"/>
  <c r="H155" i="27"/>
  <c r="H159" i="27"/>
  <c r="F167" i="27"/>
  <c r="F72" i="27"/>
  <c r="H16" i="27"/>
  <c r="H10" i="27"/>
  <c r="G70" i="27"/>
  <c r="I70" i="27" s="1"/>
  <c r="E72" i="27"/>
  <c r="G126" i="27"/>
  <c r="I126" i="27" s="1"/>
  <c r="H62" i="27"/>
  <c r="H46" i="27"/>
  <c r="H42" i="27"/>
  <c r="H36" i="27"/>
  <c r="G52" i="27"/>
  <c r="I52" i="27" s="1"/>
  <c r="H34" i="27"/>
  <c r="H25" i="27"/>
  <c r="H24" i="27"/>
  <c r="H18" i="27"/>
  <c r="H14" i="27"/>
  <c r="G30" i="27"/>
  <c r="I30" i="27" s="1"/>
  <c r="H137" i="27"/>
  <c r="H131" i="27"/>
  <c r="E75" i="27"/>
  <c r="E81" i="27" s="1"/>
  <c r="H110" i="27"/>
  <c r="H108" i="27"/>
  <c r="H106" i="27"/>
  <c r="I9" i="27"/>
  <c r="I13" i="27"/>
  <c r="I15" i="27"/>
  <c r="I17" i="27"/>
  <c r="I19" i="27"/>
  <c r="I23" i="27"/>
  <c r="I26" i="27"/>
  <c r="I33" i="27"/>
  <c r="I35" i="27"/>
  <c r="I37" i="27"/>
  <c r="I39" i="27"/>
  <c r="I41" i="27"/>
  <c r="I43" i="27"/>
  <c r="I45" i="27"/>
  <c r="I47" i="27"/>
  <c r="I55" i="27"/>
  <c r="H9" i="27"/>
  <c r="H21" i="27"/>
  <c r="H33" i="27"/>
  <c r="H55" i="27"/>
  <c r="H57" i="27"/>
  <c r="H59" i="27"/>
  <c r="H61" i="27"/>
  <c r="H63" i="27"/>
  <c r="H65" i="27"/>
  <c r="H67" i="27"/>
  <c r="H105" i="27"/>
  <c r="H109" i="27"/>
  <c r="H111" i="27"/>
  <c r="H113" i="27"/>
  <c r="H115" i="27"/>
  <c r="H117" i="27"/>
  <c r="H119" i="27"/>
  <c r="H121" i="27"/>
  <c r="H123" i="27"/>
  <c r="I129" i="27"/>
  <c r="H130" i="27"/>
  <c r="H132" i="27"/>
  <c r="H134" i="27"/>
  <c r="H136" i="27"/>
  <c r="H138" i="27"/>
  <c r="H140" i="27"/>
  <c r="H142" i="27"/>
  <c r="H144" i="27"/>
  <c r="H150" i="27"/>
  <c r="H152" i="27"/>
  <c r="H154" i="27"/>
  <c r="H156" i="27"/>
  <c r="H158" i="27"/>
  <c r="H160" i="27"/>
  <c r="H162" i="27"/>
  <c r="G165" i="27"/>
  <c r="I165" i="27" s="1"/>
  <c r="I105" i="27"/>
  <c r="H77" i="27" l="1"/>
  <c r="H79" i="27"/>
  <c r="H52" i="27"/>
  <c r="G72" i="27"/>
  <c r="G92" i="27" s="1"/>
  <c r="H30" i="27"/>
  <c r="H147" i="27"/>
  <c r="G75" i="27"/>
  <c r="I75" i="27" s="1"/>
  <c r="H70" i="27"/>
  <c r="H165" i="27"/>
  <c r="H126" i="27"/>
  <c r="G167" i="27"/>
  <c r="G81" i="27" l="1"/>
  <c r="I81" i="27" s="1"/>
  <c r="H75" i="27"/>
  <c r="H81" i="27" s="1"/>
  <c r="I167" i="27"/>
  <c r="G175" i="27"/>
  <c r="H72" i="27"/>
  <c r="I72" i="27"/>
  <c r="H167" i="27"/>
  <c r="G86" i="25" l="1"/>
  <c r="G90" i="25" l="1"/>
  <c r="G171" i="25" l="1"/>
  <c r="G89" i="25" l="1"/>
  <c r="G172" i="25"/>
  <c r="D25" i="25" l="1"/>
  <c r="H173" i="25" l="1"/>
  <c r="F165" i="25"/>
  <c r="F79" i="25" s="1"/>
  <c r="E165" i="25"/>
  <c r="E79" i="25" s="1"/>
  <c r="D165" i="25"/>
  <c r="G163" i="25"/>
  <c r="I163" i="25" s="1"/>
  <c r="G162" i="25"/>
  <c r="I162" i="25" s="1"/>
  <c r="G161" i="25"/>
  <c r="I161" i="25" s="1"/>
  <c r="G160" i="25"/>
  <c r="I160" i="25" s="1"/>
  <c r="G159" i="25"/>
  <c r="I159" i="25" s="1"/>
  <c r="G158" i="25"/>
  <c r="I158" i="25" s="1"/>
  <c r="G157" i="25"/>
  <c r="I157" i="25" s="1"/>
  <c r="G156" i="25"/>
  <c r="I156" i="25" s="1"/>
  <c r="G155" i="25"/>
  <c r="I155" i="25" s="1"/>
  <c r="G154" i="25"/>
  <c r="I154" i="25" s="1"/>
  <c r="G153" i="25"/>
  <c r="I153" i="25" s="1"/>
  <c r="G152" i="25"/>
  <c r="I152" i="25" s="1"/>
  <c r="G151" i="25"/>
  <c r="I151" i="25" s="1"/>
  <c r="G150" i="25"/>
  <c r="I150" i="25" s="1"/>
  <c r="E147" i="25"/>
  <c r="E77" i="25" s="1"/>
  <c r="D147" i="25"/>
  <c r="G145" i="25"/>
  <c r="I145" i="25" s="1"/>
  <c r="G144" i="25"/>
  <c r="I144" i="25" s="1"/>
  <c r="G143" i="25"/>
  <c r="I143" i="25" s="1"/>
  <c r="G142" i="25"/>
  <c r="I142" i="25" s="1"/>
  <c r="G141" i="25"/>
  <c r="I141" i="25" s="1"/>
  <c r="G140" i="25"/>
  <c r="I140" i="25" s="1"/>
  <c r="G139" i="25"/>
  <c r="I139" i="25" s="1"/>
  <c r="G138" i="25"/>
  <c r="I138" i="25" s="1"/>
  <c r="G137" i="25"/>
  <c r="G136" i="25"/>
  <c r="I136" i="25" s="1"/>
  <c r="G135" i="25"/>
  <c r="I135" i="25" s="1"/>
  <c r="G134" i="25"/>
  <c r="I134" i="25" s="1"/>
  <c r="G133" i="25"/>
  <c r="I133" i="25" s="1"/>
  <c r="G132" i="25"/>
  <c r="I132" i="25" s="1"/>
  <c r="G131" i="25"/>
  <c r="I131" i="25" s="1"/>
  <c r="F147" i="25"/>
  <c r="F77" i="25" s="1"/>
  <c r="G130" i="25"/>
  <c r="I130" i="25" s="1"/>
  <c r="G129" i="25"/>
  <c r="E126" i="25"/>
  <c r="D126" i="25"/>
  <c r="D167" i="25" s="1"/>
  <c r="G124" i="25"/>
  <c r="H124" i="25" s="1"/>
  <c r="G123" i="25"/>
  <c r="I123" i="25" s="1"/>
  <c r="G122" i="25"/>
  <c r="I122" i="25" s="1"/>
  <c r="G121" i="25"/>
  <c r="I121" i="25" s="1"/>
  <c r="G120" i="25"/>
  <c r="I120" i="25" s="1"/>
  <c r="G119" i="25"/>
  <c r="I119" i="25" s="1"/>
  <c r="G118" i="25"/>
  <c r="I118" i="25" s="1"/>
  <c r="G117" i="25"/>
  <c r="I117" i="25" s="1"/>
  <c r="G116" i="25"/>
  <c r="I116" i="25" s="1"/>
  <c r="G115" i="25"/>
  <c r="I115" i="25" s="1"/>
  <c r="G114" i="25"/>
  <c r="I114" i="25" s="1"/>
  <c r="G113" i="25"/>
  <c r="I113" i="25" s="1"/>
  <c r="G112" i="25"/>
  <c r="G111" i="25"/>
  <c r="I111" i="25" s="1"/>
  <c r="G110" i="25"/>
  <c r="I110" i="25" s="1"/>
  <c r="G109" i="25"/>
  <c r="I109" i="25" s="1"/>
  <c r="G108" i="25"/>
  <c r="I108" i="25" s="1"/>
  <c r="G107" i="25"/>
  <c r="G106" i="25"/>
  <c r="I106" i="25" s="1"/>
  <c r="G105" i="25"/>
  <c r="F126" i="25"/>
  <c r="F75" i="25" s="1"/>
  <c r="F102" i="25"/>
  <c r="E102" i="25"/>
  <c r="J89" i="25"/>
  <c r="G87" i="25"/>
  <c r="J95" i="25" s="1"/>
  <c r="D81" i="25"/>
  <c r="F70" i="25"/>
  <c r="E70" i="25"/>
  <c r="D70" i="25"/>
  <c r="G68" i="25"/>
  <c r="I68" i="25" s="1"/>
  <c r="G67" i="25"/>
  <c r="I67" i="25" s="1"/>
  <c r="G66" i="25"/>
  <c r="I66" i="25" s="1"/>
  <c r="G65" i="25"/>
  <c r="I65" i="25" s="1"/>
  <c r="G64" i="25"/>
  <c r="I64" i="25" s="1"/>
  <c r="G63" i="25"/>
  <c r="I63" i="25" s="1"/>
  <c r="G62" i="25"/>
  <c r="I62" i="25" s="1"/>
  <c r="G61" i="25"/>
  <c r="I61" i="25" s="1"/>
  <c r="G60" i="25"/>
  <c r="I60" i="25" s="1"/>
  <c r="G59" i="25"/>
  <c r="I59" i="25" s="1"/>
  <c r="G58" i="25"/>
  <c r="I58" i="25" s="1"/>
  <c r="G57" i="25"/>
  <c r="I57" i="25" s="1"/>
  <c r="G56" i="25"/>
  <c r="G55" i="25"/>
  <c r="I55" i="25" s="1"/>
  <c r="D52" i="25"/>
  <c r="G50" i="25"/>
  <c r="I50" i="25" s="1"/>
  <c r="E52" i="25"/>
  <c r="G48" i="25"/>
  <c r="I48" i="25" s="1"/>
  <c r="G47" i="25"/>
  <c r="I47" i="25" s="1"/>
  <c r="G46" i="25"/>
  <c r="I46" i="25" s="1"/>
  <c r="G45" i="25"/>
  <c r="I45" i="25" s="1"/>
  <c r="G44" i="25"/>
  <c r="I44" i="25" s="1"/>
  <c r="G43" i="25"/>
  <c r="I43" i="25" s="1"/>
  <c r="G42" i="25"/>
  <c r="I42" i="25" s="1"/>
  <c r="G41" i="25"/>
  <c r="I41" i="25" s="1"/>
  <c r="G40" i="25"/>
  <c r="I40" i="25" s="1"/>
  <c r="G39" i="25"/>
  <c r="I39" i="25" s="1"/>
  <c r="G38" i="25"/>
  <c r="I38" i="25" s="1"/>
  <c r="G37" i="25"/>
  <c r="I37" i="25" s="1"/>
  <c r="G36" i="25"/>
  <c r="I36" i="25" s="1"/>
  <c r="G35" i="25"/>
  <c r="I35" i="25" s="1"/>
  <c r="F52" i="25"/>
  <c r="G33" i="25"/>
  <c r="H33" i="25" s="1"/>
  <c r="D30" i="25"/>
  <c r="G28" i="25"/>
  <c r="H28" i="25" s="1"/>
  <c r="G27" i="25"/>
  <c r="I27" i="25" s="1"/>
  <c r="G26" i="25"/>
  <c r="I26" i="25" s="1"/>
  <c r="G25" i="25"/>
  <c r="I25" i="25" s="1"/>
  <c r="G24" i="25"/>
  <c r="I24" i="25" s="1"/>
  <c r="G23" i="25"/>
  <c r="I23" i="25" s="1"/>
  <c r="G22" i="25"/>
  <c r="I22" i="25" s="1"/>
  <c r="G21" i="25"/>
  <c r="I21" i="25" s="1"/>
  <c r="G20" i="25"/>
  <c r="I20" i="25" s="1"/>
  <c r="G19" i="25"/>
  <c r="I19" i="25" s="1"/>
  <c r="G18" i="25"/>
  <c r="I18" i="25" s="1"/>
  <c r="G17" i="25"/>
  <c r="I17" i="25" s="1"/>
  <c r="G16" i="25"/>
  <c r="G15" i="25"/>
  <c r="I15" i="25" s="1"/>
  <c r="G14" i="25"/>
  <c r="I14" i="25" s="1"/>
  <c r="G13" i="25"/>
  <c r="I13" i="25" s="1"/>
  <c r="G12" i="25"/>
  <c r="I12" i="25" s="1"/>
  <c r="E30" i="25"/>
  <c r="G11" i="25"/>
  <c r="F30" i="25"/>
  <c r="G9" i="25"/>
  <c r="H9" i="25" s="1"/>
  <c r="I69" i="10"/>
  <c r="I51" i="10"/>
  <c r="I29" i="10"/>
  <c r="D72" i="25" l="1"/>
  <c r="H161" i="25"/>
  <c r="E167" i="25"/>
  <c r="H163" i="25"/>
  <c r="G77" i="25"/>
  <c r="I77" i="25" s="1"/>
  <c r="E75" i="25"/>
  <c r="E81" i="25" s="1"/>
  <c r="E72" i="25"/>
  <c r="H48" i="25"/>
  <c r="G147" i="25"/>
  <c r="I147" i="25" s="1"/>
  <c r="G79" i="25"/>
  <c r="I79" i="25" s="1"/>
  <c r="F72" i="25"/>
  <c r="H143" i="25"/>
  <c r="H145" i="25"/>
  <c r="H120" i="25"/>
  <c r="H106" i="25"/>
  <c r="H109" i="25"/>
  <c r="H116" i="25"/>
  <c r="H153" i="25"/>
  <c r="H157" i="25"/>
  <c r="H151" i="25"/>
  <c r="H155" i="25"/>
  <c r="H159" i="25"/>
  <c r="H129" i="25"/>
  <c r="H134" i="25"/>
  <c r="H141" i="25"/>
  <c r="H132" i="25"/>
  <c r="H136" i="25"/>
  <c r="H139" i="25"/>
  <c r="H111" i="25"/>
  <c r="H114" i="25"/>
  <c r="H118" i="25"/>
  <c r="H122" i="25"/>
  <c r="H57" i="25"/>
  <c r="H61" i="25"/>
  <c r="G70" i="25"/>
  <c r="I70" i="25" s="1"/>
  <c r="H65" i="25"/>
  <c r="H55" i="25"/>
  <c r="H59" i="25"/>
  <c r="H63" i="25"/>
  <c r="H67" i="25"/>
  <c r="H40" i="25"/>
  <c r="H36" i="25"/>
  <c r="H44" i="25"/>
  <c r="H38" i="25"/>
  <c r="H42" i="25"/>
  <c r="H46" i="25"/>
  <c r="H15" i="25"/>
  <c r="H18" i="25"/>
  <c r="H22" i="25"/>
  <c r="H26" i="25"/>
  <c r="H20" i="25"/>
  <c r="H24" i="25"/>
  <c r="F167" i="25"/>
  <c r="F81" i="25"/>
  <c r="H112" i="25"/>
  <c r="I112" i="25"/>
  <c r="H137" i="25"/>
  <c r="I137" i="25"/>
  <c r="H16" i="25"/>
  <c r="I16" i="25"/>
  <c r="G126" i="25"/>
  <c r="I9" i="25"/>
  <c r="G10" i="25"/>
  <c r="H12" i="25"/>
  <c r="H13" i="25"/>
  <c r="H14" i="25"/>
  <c r="H17" i="25"/>
  <c r="H19" i="25"/>
  <c r="H21" i="25"/>
  <c r="H23" i="25"/>
  <c r="H25" i="25"/>
  <c r="H27" i="25"/>
  <c r="I33" i="25"/>
  <c r="G34" i="25"/>
  <c r="H35" i="25"/>
  <c r="H37" i="25"/>
  <c r="H39" i="25"/>
  <c r="H41" i="25"/>
  <c r="H43" i="25"/>
  <c r="H45" i="25"/>
  <c r="H47" i="25"/>
  <c r="G49" i="25"/>
  <c r="H50" i="25"/>
  <c r="H56" i="25"/>
  <c r="H58" i="25"/>
  <c r="H60" i="25"/>
  <c r="H62" i="25"/>
  <c r="H64" i="25"/>
  <c r="H66" i="25"/>
  <c r="H68" i="25"/>
  <c r="J93" i="25"/>
  <c r="H105" i="25"/>
  <c r="H108" i="25"/>
  <c r="H110" i="25"/>
  <c r="H113" i="25"/>
  <c r="H115" i="25"/>
  <c r="H117" i="25"/>
  <c r="H119" i="25"/>
  <c r="H121" i="25"/>
  <c r="H123" i="25"/>
  <c r="I129" i="25"/>
  <c r="H130" i="25"/>
  <c r="H131" i="25"/>
  <c r="H133" i="25"/>
  <c r="H135" i="25"/>
  <c r="H138" i="25"/>
  <c r="H140" i="25"/>
  <c r="H142" i="25"/>
  <c r="H144" i="25"/>
  <c r="H150" i="25"/>
  <c r="H152" i="25"/>
  <c r="H154" i="25"/>
  <c r="H156" i="25"/>
  <c r="H158" i="25"/>
  <c r="H160" i="25"/>
  <c r="H162" i="25"/>
  <c r="G165" i="25"/>
  <c r="I165" i="25" s="1"/>
  <c r="I56" i="25"/>
  <c r="I105" i="25"/>
  <c r="I71" i="10"/>
  <c r="R51" i="10"/>
  <c r="R29" i="10"/>
  <c r="R71" i="10" l="1"/>
  <c r="G75" i="25"/>
  <c r="G81" i="25" s="1"/>
  <c r="I81" i="25" s="1"/>
  <c r="H79" i="25"/>
  <c r="H77" i="25"/>
  <c r="H147" i="25"/>
  <c r="H70" i="25"/>
  <c r="G52" i="25"/>
  <c r="I52" i="25" s="1"/>
  <c r="H10" i="25"/>
  <c r="H30" i="25" s="1"/>
  <c r="I10" i="25"/>
  <c r="I126" i="25"/>
  <c r="G167" i="25"/>
  <c r="G175" i="25" s="1"/>
  <c r="H165" i="25"/>
  <c r="H126" i="25"/>
  <c r="H49" i="25"/>
  <c r="I49" i="25"/>
  <c r="H34" i="25"/>
  <c r="I34" i="25"/>
  <c r="G30" i="25"/>
  <c r="F33" i="24"/>
  <c r="F9" i="24"/>
  <c r="F15" i="24"/>
  <c r="F111" i="24"/>
  <c r="F136" i="24"/>
  <c r="F107" i="24"/>
  <c r="F130" i="24"/>
  <c r="F104" i="24"/>
  <c r="H52" i="25" l="1"/>
  <c r="H72" i="25" s="1"/>
  <c r="H75" i="25"/>
  <c r="H81" i="25" s="1"/>
  <c r="I75" i="25"/>
  <c r="I167" i="25"/>
  <c r="H167" i="25"/>
  <c r="G72" i="25"/>
  <c r="G92" i="25" s="1"/>
  <c r="I30" i="25"/>
  <c r="I72" i="25" l="1"/>
  <c r="G169" i="24" l="1"/>
  <c r="E48" i="24"/>
  <c r="E13" i="24"/>
  <c r="E12" i="24"/>
  <c r="E11" i="24"/>
  <c r="G82" i="24" l="1"/>
  <c r="G83" i="24"/>
  <c r="G85" i="24" l="1"/>
  <c r="G84" i="24" l="1"/>
  <c r="G89" i="24"/>
  <c r="G88" i="24" l="1"/>
  <c r="G11" i="24" l="1"/>
  <c r="F57" i="23" l="1"/>
  <c r="F25" i="23"/>
  <c r="F55" i="23"/>
  <c r="F56" i="23"/>
  <c r="F49" i="23"/>
  <c r="F15" i="23"/>
  <c r="F10" i="23"/>
  <c r="F14" i="23"/>
  <c r="F12" i="23"/>
  <c r="F34" i="23"/>
  <c r="F16" i="23"/>
  <c r="F19" i="23"/>
  <c r="F20" i="23"/>
  <c r="F42" i="23"/>
  <c r="F9" i="23"/>
  <c r="F35" i="23"/>
  <c r="G85" i="23"/>
  <c r="F46" i="23"/>
  <c r="F41" i="23"/>
  <c r="F17" i="23"/>
  <c r="F108" i="23"/>
  <c r="F137" i="23"/>
  <c r="F106" i="23"/>
  <c r="F112" i="23"/>
  <c r="F109" i="23"/>
  <c r="F110" i="23"/>
  <c r="F131" i="23"/>
  <c r="F130" i="23"/>
  <c r="F105" i="23"/>
  <c r="G170" i="23"/>
  <c r="F114" i="23"/>
  <c r="F28" i="23"/>
  <c r="H69" i="10" l="1"/>
  <c r="F51" i="10"/>
  <c r="G51" i="10"/>
  <c r="H51" i="10"/>
  <c r="E48" i="10"/>
  <c r="D48" i="10"/>
  <c r="S51" i="10"/>
  <c r="S29" i="10" l="1"/>
  <c r="S71" i="10" s="1"/>
  <c r="J92" i="24" l="1"/>
  <c r="H172" i="24" l="1"/>
  <c r="G171" i="24"/>
  <c r="F164" i="24"/>
  <c r="F78" i="24" s="1"/>
  <c r="E164" i="24"/>
  <c r="E78" i="24" s="1"/>
  <c r="D164" i="24"/>
  <c r="G162" i="24"/>
  <c r="I162" i="24" s="1"/>
  <c r="G161" i="24"/>
  <c r="I161" i="24" s="1"/>
  <c r="G160" i="24"/>
  <c r="I160" i="24" s="1"/>
  <c r="G159" i="24"/>
  <c r="I159" i="24" s="1"/>
  <c r="G158" i="24"/>
  <c r="I158" i="24" s="1"/>
  <c r="G157" i="24"/>
  <c r="I157" i="24" s="1"/>
  <c r="G156" i="24"/>
  <c r="I156" i="24" s="1"/>
  <c r="G155" i="24"/>
  <c r="I155" i="24" s="1"/>
  <c r="G154" i="24"/>
  <c r="I154" i="24" s="1"/>
  <c r="G153" i="24"/>
  <c r="I153" i="24" s="1"/>
  <c r="G152" i="24"/>
  <c r="I152" i="24" s="1"/>
  <c r="G151" i="24"/>
  <c r="I151" i="24" s="1"/>
  <c r="G150" i="24"/>
  <c r="I150" i="24" s="1"/>
  <c r="G149" i="24"/>
  <c r="I149" i="24" s="1"/>
  <c r="F146" i="24"/>
  <c r="F76" i="24" s="1"/>
  <c r="E146" i="24"/>
  <c r="E76" i="24" s="1"/>
  <c r="D146" i="24"/>
  <c r="G144" i="24"/>
  <c r="I144" i="24" s="1"/>
  <c r="G143" i="24"/>
  <c r="I143" i="24" s="1"/>
  <c r="G142" i="24"/>
  <c r="I142" i="24" s="1"/>
  <c r="G141" i="24"/>
  <c r="I141" i="24" s="1"/>
  <c r="G140" i="24"/>
  <c r="I140" i="24" s="1"/>
  <c r="G139" i="24"/>
  <c r="I139" i="24" s="1"/>
  <c r="G138" i="24"/>
  <c r="I138" i="24" s="1"/>
  <c r="G137" i="24"/>
  <c r="I137" i="24" s="1"/>
  <c r="G136" i="24"/>
  <c r="I136" i="24" s="1"/>
  <c r="G135" i="24"/>
  <c r="I135" i="24" s="1"/>
  <c r="G134" i="24"/>
  <c r="I134" i="24" s="1"/>
  <c r="G133" i="24"/>
  <c r="I133" i="24" s="1"/>
  <c r="G132" i="24"/>
  <c r="I132" i="24" s="1"/>
  <c r="G131" i="24"/>
  <c r="I131" i="24" s="1"/>
  <c r="G130" i="24"/>
  <c r="I130" i="24" s="1"/>
  <c r="G129" i="24"/>
  <c r="I129" i="24" s="1"/>
  <c r="G128" i="24"/>
  <c r="H128" i="24" s="1"/>
  <c r="F125" i="24"/>
  <c r="F74" i="24" s="1"/>
  <c r="E125" i="24"/>
  <c r="D125" i="24"/>
  <c r="G123" i="24"/>
  <c r="H123" i="24" s="1"/>
  <c r="G122" i="24"/>
  <c r="I122" i="24" s="1"/>
  <c r="G121" i="24"/>
  <c r="I121" i="24" s="1"/>
  <c r="G120" i="24"/>
  <c r="I120" i="24" s="1"/>
  <c r="G119" i="24"/>
  <c r="I119" i="24" s="1"/>
  <c r="G118" i="24"/>
  <c r="I118" i="24" s="1"/>
  <c r="G117" i="24"/>
  <c r="I117" i="24" s="1"/>
  <c r="G116" i="24"/>
  <c r="I116" i="24" s="1"/>
  <c r="G115" i="24"/>
  <c r="I115" i="24" s="1"/>
  <c r="G114" i="24"/>
  <c r="I114" i="24" s="1"/>
  <c r="G113" i="24"/>
  <c r="I113" i="24" s="1"/>
  <c r="G112" i="24"/>
  <c r="I112" i="24" s="1"/>
  <c r="G111" i="24"/>
  <c r="I111" i="24" s="1"/>
  <c r="G110" i="24"/>
  <c r="I110" i="24" s="1"/>
  <c r="G109" i="24"/>
  <c r="I109" i="24" s="1"/>
  <c r="G108" i="24"/>
  <c r="I108" i="24" s="1"/>
  <c r="G107" i="24"/>
  <c r="I107" i="24" s="1"/>
  <c r="G106" i="24"/>
  <c r="G105" i="24"/>
  <c r="I105" i="24" s="1"/>
  <c r="G104" i="24"/>
  <c r="F101" i="24"/>
  <c r="E101" i="24"/>
  <c r="J88" i="24"/>
  <c r="G86" i="24"/>
  <c r="J94" i="24" s="1"/>
  <c r="D80" i="24"/>
  <c r="F69" i="24"/>
  <c r="E69" i="24"/>
  <c r="D69" i="24"/>
  <c r="G67" i="24"/>
  <c r="I67" i="24" s="1"/>
  <c r="G66" i="24"/>
  <c r="I66" i="24" s="1"/>
  <c r="G65" i="24"/>
  <c r="I65" i="24" s="1"/>
  <c r="G64" i="24"/>
  <c r="I64" i="24" s="1"/>
  <c r="G63" i="24"/>
  <c r="I63" i="24" s="1"/>
  <c r="G62" i="24"/>
  <c r="I62" i="24" s="1"/>
  <c r="G61" i="24"/>
  <c r="I61" i="24" s="1"/>
  <c r="G60" i="24"/>
  <c r="I60" i="24" s="1"/>
  <c r="G59" i="24"/>
  <c r="I59" i="24" s="1"/>
  <c r="G58" i="24"/>
  <c r="I58" i="24" s="1"/>
  <c r="G57" i="24"/>
  <c r="I57" i="24" s="1"/>
  <c r="G56" i="24"/>
  <c r="I56" i="24" s="1"/>
  <c r="G55" i="24"/>
  <c r="I55" i="24" s="1"/>
  <c r="G54" i="24"/>
  <c r="I54" i="24" s="1"/>
  <c r="F51" i="24"/>
  <c r="E51" i="24"/>
  <c r="D51" i="24"/>
  <c r="G49" i="24"/>
  <c r="I49" i="24" s="1"/>
  <c r="G48" i="24"/>
  <c r="I48" i="24" s="1"/>
  <c r="G47" i="24"/>
  <c r="I47" i="24" s="1"/>
  <c r="G46" i="24"/>
  <c r="I46" i="24" s="1"/>
  <c r="G45" i="24"/>
  <c r="I45" i="24" s="1"/>
  <c r="G44" i="24"/>
  <c r="I44" i="24" s="1"/>
  <c r="G43" i="24"/>
  <c r="I43" i="24" s="1"/>
  <c r="G42" i="24"/>
  <c r="I42" i="24" s="1"/>
  <c r="G41" i="24"/>
  <c r="I41" i="24" s="1"/>
  <c r="G40" i="24"/>
  <c r="I40" i="24" s="1"/>
  <c r="G39" i="24"/>
  <c r="I39" i="24" s="1"/>
  <c r="G38" i="24"/>
  <c r="I38" i="24" s="1"/>
  <c r="G37" i="24"/>
  <c r="I37" i="24" s="1"/>
  <c r="G36" i="24"/>
  <c r="I36" i="24" s="1"/>
  <c r="G35" i="24"/>
  <c r="I35" i="24" s="1"/>
  <c r="G34" i="24"/>
  <c r="I34" i="24" s="1"/>
  <c r="G33" i="24"/>
  <c r="I33" i="24" s="1"/>
  <c r="G32" i="24"/>
  <c r="I32" i="24" s="1"/>
  <c r="F29" i="24"/>
  <c r="E29" i="24"/>
  <c r="D29" i="24"/>
  <c r="G27" i="24"/>
  <c r="H27" i="24" s="1"/>
  <c r="G26" i="24"/>
  <c r="I26" i="24" s="1"/>
  <c r="G25" i="24"/>
  <c r="I25" i="24" s="1"/>
  <c r="G24" i="24"/>
  <c r="I24" i="24" s="1"/>
  <c r="G23" i="24"/>
  <c r="I23" i="24" s="1"/>
  <c r="G22" i="24"/>
  <c r="I22" i="24" s="1"/>
  <c r="G21" i="24"/>
  <c r="I21" i="24" s="1"/>
  <c r="G20" i="24"/>
  <c r="I20" i="24" s="1"/>
  <c r="G19" i="24"/>
  <c r="I19" i="24" s="1"/>
  <c r="G18" i="24"/>
  <c r="I18" i="24" s="1"/>
  <c r="G17" i="24"/>
  <c r="I17" i="24" s="1"/>
  <c r="G16" i="24"/>
  <c r="I16" i="24" s="1"/>
  <c r="G15" i="24"/>
  <c r="I15" i="24" s="1"/>
  <c r="G14" i="24"/>
  <c r="I14" i="24" s="1"/>
  <c r="G13" i="24"/>
  <c r="I13" i="24" s="1"/>
  <c r="G12" i="24"/>
  <c r="I12" i="24" s="1"/>
  <c r="I11" i="24"/>
  <c r="G10" i="24"/>
  <c r="G9" i="24"/>
  <c r="I9" i="24" s="1"/>
  <c r="G8" i="24"/>
  <c r="G83" i="23"/>
  <c r="D71" i="24" l="1"/>
  <c r="H24" i="24"/>
  <c r="H138" i="24"/>
  <c r="H156" i="24"/>
  <c r="H41" i="24"/>
  <c r="H59" i="24"/>
  <c r="H12" i="24"/>
  <c r="G78" i="24"/>
  <c r="I78" i="24" s="1"/>
  <c r="H132" i="24"/>
  <c r="H142" i="24"/>
  <c r="H152" i="24"/>
  <c r="H160" i="24"/>
  <c r="H49" i="24"/>
  <c r="H55" i="24"/>
  <c r="H65" i="24"/>
  <c r="H20" i="24"/>
  <c r="H26" i="24"/>
  <c r="H47" i="24"/>
  <c r="H57" i="24"/>
  <c r="H63" i="24"/>
  <c r="H67" i="24"/>
  <c r="H115" i="24"/>
  <c r="D166" i="24"/>
  <c r="H134" i="24"/>
  <c r="H140" i="24"/>
  <c r="H144" i="24"/>
  <c r="H150" i="24"/>
  <c r="H154" i="24"/>
  <c r="H158" i="24"/>
  <c r="H162" i="24"/>
  <c r="E166" i="24"/>
  <c r="H119" i="24"/>
  <c r="H107" i="24"/>
  <c r="H37" i="24"/>
  <c r="E71" i="24"/>
  <c r="H16" i="24"/>
  <c r="F71" i="24"/>
  <c r="H45" i="24"/>
  <c r="F80" i="24"/>
  <c r="F166" i="24"/>
  <c r="H136" i="24"/>
  <c r="G76" i="24"/>
  <c r="H76" i="24" s="1"/>
  <c r="H33" i="24"/>
  <c r="H111" i="24"/>
  <c r="G146" i="24"/>
  <c r="I146" i="24" s="1"/>
  <c r="H130" i="24"/>
  <c r="H121" i="24"/>
  <c r="E74" i="24"/>
  <c r="E80" i="24" s="1"/>
  <c r="H117" i="24"/>
  <c r="H113" i="24"/>
  <c r="H109" i="24"/>
  <c r="G125" i="24"/>
  <c r="I125" i="24" s="1"/>
  <c r="H105" i="24"/>
  <c r="H61" i="24"/>
  <c r="H43" i="24"/>
  <c r="H39" i="24"/>
  <c r="H35" i="24"/>
  <c r="H22" i="24"/>
  <c r="H18" i="24"/>
  <c r="H14" i="24"/>
  <c r="G29" i="24"/>
  <c r="I29" i="24" s="1"/>
  <c r="H8" i="24"/>
  <c r="I8" i="24"/>
  <c r="H9" i="24"/>
  <c r="H11" i="24"/>
  <c r="H13" i="24"/>
  <c r="H15" i="24"/>
  <c r="H17" i="24"/>
  <c r="H19" i="24"/>
  <c r="H21" i="24"/>
  <c r="H23" i="24"/>
  <c r="H25" i="24"/>
  <c r="H32" i="24"/>
  <c r="H34" i="24"/>
  <c r="H36" i="24"/>
  <c r="H38" i="24"/>
  <c r="H40" i="24"/>
  <c r="H42" i="24"/>
  <c r="H44" i="24"/>
  <c r="H46" i="24"/>
  <c r="H48" i="24"/>
  <c r="G51" i="24"/>
  <c r="I51" i="24" s="1"/>
  <c r="H54" i="24"/>
  <c r="H56" i="24"/>
  <c r="H58" i="24"/>
  <c r="H60" i="24"/>
  <c r="H62" i="24"/>
  <c r="H64" i="24"/>
  <c r="H66" i="24"/>
  <c r="G69" i="24"/>
  <c r="I69" i="24" s="1"/>
  <c r="H104" i="24"/>
  <c r="H108" i="24"/>
  <c r="H110" i="24"/>
  <c r="H112" i="24"/>
  <c r="H114" i="24"/>
  <c r="H116" i="24"/>
  <c r="H118" i="24"/>
  <c r="H120" i="24"/>
  <c r="H122" i="24"/>
  <c r="I128" i="24"/>
  <c r="H129" i="24"/>
  <c r="H131" i="24"/>
  <c r="H133" i="24"/>
  <c r="H135" i="24"/>
  <c r="H137" i="24"/>
  <c r="H139" i="24"/>
  <c r="H141" i="24"/>
  <c r="H143" i="24"/>
  <c r="H149" i="24"/>
  <c r="H151" i="24"/>
  <c r="H153" i="24"/>
  <c r="H155" i="24"/>
  <c r="H157" i="24"/>
  <c r="H159" i="24"/>
  <c r="H161" i="24"/>
  <c r="G164" i="24"/>
  <c r="I164" i="24" s="1"/>
  <c r="I104" i="24"/>
  <c r="G84" i="23"/>
  <c r="H78" i="24" l="1"/>
  <c r="I76" i="24"/>
  <c r="H146" i="24"/>
  <c r="G74" i="24"/>
  <c r="G80" i="24" s="1"/>
  <c r="I80" i="24" s="1"/>
  <c r="H29" i="24"/>
  <c r="H164" i="24"/>
  <c r="H125" i="24"/>
  <c r="H69" i="24"/>
  <c r="H51" i="24"/>
  <c r="G71" i="24"/>
  <c r="G91" i="24" s="1"/>
  <c r="G166" i="24"/>
  <c r="H166" i="24" l="1"/>
  <c r="H74" i="24"/>
  <c r="H80" i="24" s="1"/>
  <c r="I74" i="24"/>
  <c r="H71" i="24"/>
  <c r="G174" i="24"/>
  <c r="I166" i="24"/>
  <c r="I71" i="24"/>
  <c r="G86" i="23" l="1"/>
  <c r="E52" i="23" l="1"/>
  <c r="F52" i="23"/>
  <c r="G50" i="23"/>
  <c r="H50" i="23" s="1"/>
  <c r="D52" i="23"/>
  <c r="I50" i="23" l="1"/>
  <c r="E46" i="6" l="1"/>
  <c r="H173" i="23" l="1"/>
  <c r="G90" i="23" l="1"/>
  <c r="G89" i="23"/>
  <c r="J89" i="23" l="1"/>
  <c r="H29" i="10" l="1"/>
  <c r="H71" i="10" l="1"/>
  <c r="E50" i="6" l="1"/>
  <c r="E48" i="6" l="1"/>
  <c r="E360" i="12" l="1"/>
  <c r="E359" i="12"/>
  <c r="E336" i="12"/>
  <c r="E277" i="12"/>
  <c r="E276" i="12"/>
  <c r="E259" i="12"/>
  <c r="E241" i="12"/>
  <c r="E262" i="12"/>
  <c r="E296" i="12"/>
  <c r="E252" i="12"/>
  <c r="E249" i="12"/>
  <c r="E361" i="12" l="1"/>
  <c r="F10" i="22"/>
  <c r="F9" i="22"/>
  <c r="F34" i="22"/>
  <c r="F59" i="22"/>
  <c r="F49" i="22"/>
  <c r="F46" i="22"/>
  <c r="F42" i="22"/>
  <c r="F14" i="22"/>
  <c r="F15" i="22"/>
  <c r="F55" i="22"/>
  <c r="F19" i="22"/>
  <c r="F16" i="22"/>
  <c r="F129" i="22"/>
  <c r="F104" i="22"/>
  <c r="F136" i="22"/>
  <c r="G51" i="6" l="1"/>
  <c r="G44" i="6"/>
  <c r="G172" i="23" l="1"/>
  <c r="F165" i="23"/>
  <c r="F79" i="23" s="1"/>
  <c r="E165" i="23"/>
  <c r="E79" i="23" s="1"/>
  <c r="D165" i="23"/>
  <c r="G163" i="23"/>
  <c r="H163" i="23" s="1"/>
  <c r="G162" i="23"/>
  <c r="I162" i="23" s="1"/>
  <c r="G161" i="23"/>
  <c r="H161" i="23" s="1"/>
  <c r="G160" i="23"/>
  <c r="I160" i="23" s="1"/>
  <c r="G159" i="23"/>
  <c r="H159" i="23" s="1"/>
  <c r="G158" i="23"/>
  <c r="I158" i="23" s="1"/>
  <c r="G157" i="23"/>
  <c r="H157" i="23" s="1"/>
  <c r="G156" i="23"/>
  <c r="I156" i="23" s="1"/>
  <c r="G155" i="23"/>
  <c r="H155" i="23" s="1"/>
  <c r="G154" i="23"/>
  <c r="I154" i="23" s="1"/>
  <c r="G153" i="23"/>
  <c r="H153" i="23" s="1"/>
  <c r="G152" i="23"/>
  <c r="I152" i="23" s="1"/>
  <c r="G151" i="23"/>
  <c r="H151" i="23" s="1"/>
  <c r="G150" i="23"/>
  <c r="I150" i="23" s="1"/>
  <c r="F147" i="23"/>
  <c r="F77" i="23" s="1"/>
  <c r="E147" i="23"/>
  <c r="E77" i="23" s="1"/>
  <c r="D147" i="23"/>
  <c r="G145" i="23"/>
  <c r="H145" i="23" s="1"/>
  <c r="G144" i="23"/>
  <c r="I144" i="23" s="1"/>
  <c r="G143" i="23"/>
  <c r="H143" i="23" s="1"/>
  <c r="G142" i="23"/>
  <c r="I142" i="23" s="1"/>
  <c r="G141" i="23"/>
  <c r="H141" i="23" s="1"/>
  <c r="G140" i="23"/>
  <c r="I140" i="23" s="1"/>
  <c r="G139" i="23"/>
  <c r="H139" i="23" s="1"/>
  <c r="G138" i="23"/>
  <c r="I138" i="23" s="1"/>
  <c r="G137" i="23"/>
  <c r="H137" i="23" s="1"/>
  <c r="G136" i="23"/>
  <c r="I136" i="23" s="1"/>
  <c r="G135" i="23"/>
  <c r="H135" i="23" s="1"/>
  <c r="G134" i="23"/>
  <c r="I134" i="23" s="1"/>
  <c r="G133" i="23"/>
  <c r="H133" i="23" s="1"/>
  <c r="G132" i="23"/>
  <c r="I132" i="23" s="1"/>
  <c r="G131" i="23"/>
  <c r="H131" i="23" s="1"/>
  <c r="G130" i="23"/>
  <c r="I130" i="23" s="1"/>
  <c r="G129" i="23"/>
  <c r="H129" i="23" s="1"/>
  <c r="F126" i="23"/>
  <c r="F75" i="23" s="1"/>
  <c r="E126" i="23"/>
  <c r="E75" i="23" s="1"/>
  <c r="D126" i="23"/>
  <c r="G124" i="23"/>
  <c r="H124" i="23" s="1"/>
  <c r="G123" i="23"/>
  <c r="I123" i="23" s="1"/>
  <c r="G122" i="23"/>
  <c r="H122" i="23" s="1"/>
  <c r="G121" i="23"/>
  <c r="I121" i="23" s="1"/>
  <c r="G120" i="23"/>
  <c r="H120" i="23" s="1"/>
  <c r="G119" i="23"/>
  <c r="I119" i="23" s="1"/>
  <c r="G118" i="23"/>
  <c r="H118" i="23" s="1"/>
  <c r="G117" i="23"/>
  <c r="I117" i="23" s="1"/>
  <c r="G116" i="23"/>
  <c r="H116" i="23" s="1"/>
  <c r="G115" i="23"/>
  <c r="I115" i="23" s="1"/>
  <c r="G114" i="23"/>
  <c r="H114" i="23" s="1"/>
  <c r="G113" i="23"/>
  <c r="I113" i="23" s="1"/>
  <c r="G112" i="23"/>
  <c r="H112" i="23" s="1"/>
  <c r="G111" i="23"/>
  <c r="I111" i="23" s="1"/>
  <c r="G110" i="23"/>
  <c r="H110" i="23" s="1"/>
  <c r="G109" i="23"/>
  <c r="I109" i="23" s="1"/>
  <c r="G108" i="23"/>
  <c r="H108" i="23" s="1"/>
  <c r="G107" i="23"/>
  <c r="G106" i="23"/>
  <c r="H106" i="23" s="1"/>
  <c r="G105" i="23"/>
  <c r="I105" i="23" s="1"/>
  <c r="F102" i="23"/>
  <c r="E102" i="23"/>
  <c r="D81" i="23"/>
  <c r="F70" i="23"/>
  <c r="E70" i="23"/>
  <c r="D70" i="23"/>
  <c r="G68" i="23"/>
  <c r="I68" i="23" s="1"/>
  <c r="G67" i="23"/>
  <c r="I67" i="23" s="1"/>
  <c r="G66" i="23"/>
  <c r="I66" i="23" s="1"/>
  <c r="G65" i="23"/>
  <c r="H65" i="23" s="1"/>
  <c r="G64" i="23"/>
  <c r="I64" i="23" s="1"/>
  <c r="G63" i="23"/>
  <c r="H63" i="23" s="1"/>
  <c r="G62" i="23"/>
  <c r="I62" i="23" s="1"/>
  <c r="G61" i="23"/>
  <c r="H61" i="23" s="1"/>
  <c r="G60" i="23"/>
  <c r="I60" i="23" s="1"/>
  <c r="G59" i="23"/>
  <c r="H59" i="23" s="1"/>
  <c r="G58" i="23"/>
  <c r="I58" i="23" s="1"/>
  <c r="G57" i="23"/>
  <c r="I57" i="23" s="1"/>
  <c r="G56" i="23"/>
  <c r="I56" i="23" s="1"/>
  <c r="G55" i="23"/>
  <c r="G49" i="23"/>
  <c r="G48" i="23"/>
  <c r="H48" i="23" s="1"/>
  <c r="G47" i="23"/>
  <c r="I47" i="23" s="1"/>
  <c r="G46" i="23"/>
  <c r="H46" i="23" s="1"/>
  <c r="G45" i="23"/>
  <c r="I45" i="23" s="1"/>
  <c r="G44" i="23"/>
  <c r="H44" i="23" s="1"/>
  <c r="G43" i="23"/>
  <c r="I43" i="23" s="1"/>
  <c r="G42" i="23"/>
  <c r="H42" i="23" s="1"/>
  <c r="G41" i="23"/>
  <c r="G40" i="23"/>
  <c r="H40" i="23" s="1"/>
  <c r="G39" i="23"/>
  <c r="I39" i="23" s="1"/>
  <c r="G38" i="23"/>
  <c r="H38" i="23" s="1"/>
  <c r="G37" i="23"/>
  <c r="I37" i="23" s="1"/>
  <c r="G36" i="23"/>
  <c r="H36" i="23" s="1"/>
  <c r="G35" i="23"/>
  <c r="I35" i="23" s="1"/>
  <c r="G34" i="23"/>
  <c r="H34" i="23" s="1"/>
  <c r="G33" i="23"/>
  <c r="F30" i="23"/>
  <c r="E30" i="23"/>
  <c r="D30" i="23"/>
  <c r="G28" i="23"/>
  <c r="H28" i="23" s="1"/>
  <c r="G27" i="23"/>
  <c r="H27" i="23" s="1"/>
  <c r="G26" i="23"/>
  <c r="I26" i="23" s="1"/>
  <c r="G25" i="23"/>
  <c r="H25" i="23" s="1"/>
  <c r="G24" i="23"/>
  <c r="I24" i="23" s="1"/>
  <c r="G23" i="23"/>
  <c r="H23" i="23" s="1"/>
  <c r="G22" i="23"/>
  <c r="I22" i="23" s="1"/>
  <c r="G21" i="23"/>
  <c r="H21" i="23" s="1"/>
  <c r="G20" i="23"/>
  <c r="I20" i="23" s="1"/>
  <c r="G19" i="23"/>
  <c r="H19" i="23" s="1"/>
  <c r="G18" i="23"/>
  <c r="I18" i="23" s="1"/>
  <c r="G17" i="23"/>
  <c r="H17" i="23" s="1"/>
  <c r="G16" i="23"/>
  <c r="I16" i="23" s="1"/>
  <c r="G15" i="23"/>
  <c r="H15" i="23" s="1"/>
  <c r="G14" i="23"/>
  <c r="I14" i="23" s="1"/>
  <c r="G13" i="23"/>
  <c r="H13" i="23" s="1"/>
  <c r="G12" i="23"/>
  <c r="I12" i="23" s="1"/>
  <c r="G11" i="23"/>
  <c r="G10" i="23"/>
  <c r="I10" i="23" s="1"/>
  <c r="G9" i="23"/>
  <c r="G69" i="10"/>
  <c r="G29" i="10"/>
  <c r="G169" i="22"/>
  <c r="F72" i="23" l="1"/>
  <c r="H134" i="23"/>
  <c r="H123" i="23"/>
  <c r="D167" i="23"/>
  <c r="H140" i="23"/>
  <c r="H43" i="23"/>
  <c r="H138" i="23"/>
  <c r="H22" i="23"/>
  <c r="H45" i="23"/>
  <c r="H119" i="23"/>
  <c r="I41" i="23"/>
  <c r="G52" i="23"/>
  <c r="I52" i="23" s="1"/>
  <c r="I49" i="23"/>
  <c r="H47" i="23"/>
  <c r="H132" i="23"/>
  <c r="G79" i="23"/>
  <c r="H79" i="23" s="1"/>
  <c r="H49" i="23"/>
  <c r="H121" i="23"/>
  <c r="H57" i="23"/>
  <c r="H136" i="23"/>
  <c r="H18" i="23"/>
  <c r="E81" i="23"/>
  <c r="E167" i="23"/>
  <c r="F167" i="23"/>
  <c r="H41" i="23"/>
  <c r="G126" i="23"/>
  <c r="I126" i="23" s="1"/>
  <c r="G77" i="23"/>
  <c r="I77" i="23" s="1"/>
  <c r="F81" i="23"/>
  <c r="H130" i="23"/>
  <c r="J93" i="23"/>
  <c r="G87" i="23"/>
  <c r="J95" i="23" s="1"/>
  <c r="G82" i="22"/>
  <c r="H67" i="23"/>
  <c r="G70" i="23"/>
  <c r="I70" i="23" s="1"/>
  <c r="H55" i="23"/>
  <c r="E72" i="23"/>
  <c r="H20" i="23"/>
  <c r="H14" i="23"/>
  <c r="G30" i="23"/>
  <c r="H9" i="23"/>
  <c r="D72" i="23"/>
  <c r="I9" i="23"/>
  <c r="H10" i="23"/>
  <c r="H12" i="23"/>
  <c r="I13" i="23"/>
  <c r="I15" i="23"/>
  <c r="H16" i="23"/>
  <c r="I17" i="23"/>
  <c r="I19" i="23"/>
  <c r="I21" i="23"/>
  <c r="I23" i="23"/>
  <c r="H24" i="23"/>
  <c r="I25" i="23"/>
  <c r="H26" i="23"/>
  <c r="I27" i="23"/>
  <c r="H33" i="23"/>
  <c r="I34" i="23"/>
  <c r="H35" i="23"/>
  <c r="I36" i="23"/>
  <c r="H37" i="23"/>
  <c r="I38" i="23"/>
  <c r="H39" i="23"/>
  <c r="I40" i="23"/>
  <c r="I42" i="23"/>
  <c r="I44" i="23"/>
  <c r="I46" i="23"/>
  <c r="I48" i="23"/>
  <c r="I55" i="23"/>
  <c r="H56" i="23"/>
  <c r="H58" i="23"/>
  <c r="I59" i="23"/>
  <c r="H60" i="23"/>
  <c r="I61" i="23"/>
  <c r="H62" i="23"/>
  <c r="I63" i="23"/>
  <c r="H64" i="23"/>
  <c r="I65" i="23"/>
  <c r="H66" i="23"/>
  <c r="H68" i="23"/>
  <c r="G75" i="23"/>
  <c r="H105" i="23"/>
  <c r="I106" i="23"/>
  <c r="I108" i="23"/>
  <c r="H109" i="23"/>
  <c r="I110" i="23"/>
  <c r="H111" i="23"/>
  <c r="I112" i="23"/>
  <c r="H113" i="23"/>
  <c r="I114" i="23"/>
  <c r="H115" i="23"/>
  <c r="I116" i="23"/>
  <c r="H117" i="23"/>
  <c r="I118" i="23"/>
  <c r="I120" i="23"/>
  <c r="I122" i="23"/>
  <c r="I129" i="23"/>
  <c r="I131" i="23"/>
  <c r="I133" i="23"/>
  <c r="I135" i="23"/>
  <c r="I137" i="23"/>
  <c r="I139" i="23"/>
  <c r="I141" i="23"/>
  <c r="H142" i="23"/>
  <c r="I143" i="23"/>
  <c r="H144" i="23"/>
  <c r="I145" i="23"/>
  <c r="G147" i="23"/>
  <c r="I147" i="23" s="1"/>
  <c r="H150" i="23"/>
  <c r="I151" i="23"/>
  <c r="H152" i="23"/>
  <c r="I153" i="23"/>
  <c r="H154" i="23"/>
  <c r="I155" i="23"/>
  <c r="H156" i="23"/>
  <c r="I157" i="23"/>
  <c r="H158" i="23"/>
  <c r="I159" i="23"/>
  <c r="H160" i="23"/>
  <c r="I161" i="23"/>
  <c r="H162" i="23"/>
  <c r="I163" i="23"/>
  <c r="G165" i="23"/>
  <c r="I165" i="23" s="1"/>
  <c r="I33" i="23"/>
  <c r="G71" i="10"/>
  <c r="G83" i="22"/>
  <c r="H52" i="23" l="1"/>
  <c r="I79" i="23"/>
  <c r="H147" i="23"/>
  <c r="H77" i="23"/>
  <c r="H70" i="23"/>
  <c r="G72" i="23"/>
  <c r="G92" i="23" s="1"/>
  <c r="I30" i="23"/>
  <c r="H126" i="23"/>
  <c r="H30" i="23"/>
  <c r="G167" i="23"/>
  <c r="G175" i="23" s="1"/>
  <c r="H75" i="23"/>
  <c r="G81" i="23"/>
  <c r="I81" i="23" s="1"/>
  <c r="I75" i="23"/>
  <c r="H165" i="23"/>
  <c r="H167" i="23" l="1"/>
  <c r="H81" i="23"/>
  <c r="I167" i="23"/>
  <c r="I72" i="23"/>
  <c r="H72" i="23"/>
  <c r="G88" i="22" l="1"/>
  <c r="G84" i="22" l="1"/>
  <c r="E31" i="6" l="1"/>
  <c r="G85" i="22"/>
  <c r="E27" i="6"/>
  <c r="G104" i="22"/>
  <c r="D345" i="12" l="1"/>
  <c r="E353" i="12"/>
  <c r="D353" i="12"/>
  <c r="F352" i="12"/>
  <c r="E351" i="12"/>
  <c r="D351" i="12"/>
  <c r="F350" i="12"/>
  <c r="E349" i="12"/>
  <c r="D349" i="12"/>
  <c r="F348" i="12"/>
  <c r="E347" i="12"/>
  <c r="D347" i="12"/>
  <c r="F346" i="12"/>
  <c r="E345" i="12"/>
  <c r="F344" i="12"/>
  <c r="E343" i="12"/>
  <c r="D343" i="12"/>
  <c r="F342" i="12"/>
  <c r="E341" i="12"/>
  <c r="D341" i="12"/>
  <c r="F340" i="12"/>
  <c r="E339" i="12"/>
  <c r="D339" i="12"/>
  <c r="F338" i="12"/>
  <c r="E337" i="12"/>
  <c r="D337" i="12"/>
  <c r="F336" i="12"/>
  <c r="E335" i="12"/>
  <c r="D335" i="12"/>
  <c r="F334" i="12"/>
  <c r="E333" i="12"/>
  <c r="D333" i="12"/>
  <c r="F332" i="12"/>
  <c r="E331" i="12"/>
  <c r="D331" i="12"/>
  <c r="F330" i="12"/>
  <c r="E329" i="12"/>
  <c r="D329" i="12"/>
  <c r="F328" i="12"/>
  <c r="E327" i="12"/>
  <c r="D327" i="12"/>
  <c r="F326" i="12"/>
  <c r="E323" i="12"/>
  <c r="D323" i="12"/>
  <c r="F322" i="12"/>
  <c r="E321" i="12"/>
  <c r="D321" i="12"/>
  <c r="F320" i="12"/>
  <c r="E319" i="12"/>
  <c r="D319" i="12"/>
  <c r="F318" i="12"/>
  <c r="E315" i="12"/>
  <c r="D315" i="12"/>
  <c r="F314" i="12"/>
  <c r="E313" i="12"/>
  <c r="D313" i="12"/>
  <c r="F312" i="12"/>
  <c r="E311" i="12"/>
  <c r="D311" i="12"/>
  <c r="F310" i="12"/>
  <c r="E309" i="12"/>
  <c r="D309" i="12"/>
  <c r="F308" i="12"/>
  <c r="E303" i="12"/>
  <c r="D303" i="12"/>
  <c r="F302" i="12"/>
  <c r="D300" i="12"/>
  <c r="E300" i="12"/>
  <c r="E297" i="12"/>
  <c r="D297" i="12"/>
  <c r="F296" i="12"/>
  <c r="F295" i="12"/>
  <c r="E293" i="12"/>
  <c r="D293" i="12"/>
  <c r="F292" i="12"/>
  <c r="E290" i="12"/>
  <c r="D290" i="12"/>
  <c r="F289" i="12"/>
  <c r="F288" i="12"/>
  <c r="F287" i="12"/>
  <c r="F286" i="12"/>
  <c r="F285" i="12"/>
  <c r="F284" i="12"/>
  <c r="E282" i="12"/>
  <c r="D282" i="12"/>
  <c r="F281" i="12"/>
  <c r="D279" i="12"/>
  <c r="F278" i="12"/>
  <c r="F277" i="12"/>
  <c r="E279" i="12"/>
  <c r="F276" i="12"/>
  <c r="F275" i="12"/>
  <c r="E273" i="12"/>
  <c r="D273" i="12"/>
  <c r="F272" i="12"/>
  <c r="F271" i="12"/>
  <c r="F270" i="12"/>
  <c r="F269" i="12"/>
  <c r="E266" i="12"/>
  <c r="D266" i="12"/>
  <c r="F265" i="12"/>
  <c r="E263" i="12"/>
  <c r="D263" i="12"/>
  <c r="F262" i="12"/>
  <c r="E260" i="12"/>
  <c r="D260" i="12"/>
  <c r="F259" i="12"/>
  <c r="D257" i="12"/>
  <c r="E257" i="12"/>
  <c r="F255" i="12"/>
  <c r="D253" i="12"/>
  <c r="E253" i="12"/>
  <c r="E250" i="12"/>
  <c r="D250" i="12"/>
  <c r="F249" i="12"/>
  <c r="E247" i="12"/>
  <c r="D247" i="12"/>
  <c r="F246" i="12"/>
  <c r="F245" i="12"/>
  <c r="E242" i="12"/>
  <c r="D242" i="12"/>
  <c r="F241" i="12"/>
  <c r="E239" i="12"/>
  <c r="D239" i="12"/>
  <c r="F238" i="12"/>
  <c r="D354" i="12" l="1"/>
  <c r="F335" i="12"/>
  <c r="F343" i="12"/>
  <c r="D267" i="12"/>
  <c r="D316" i="12"/>
  <c r="D324" i="12"/>
  <c r="F321" i="12"/>
  <c r="F333" i="12"/>
  <c r="E324" i="12"/>
  <c r="F323" i="12"/>
  <c r="F341" i="12"/>
  <c r="F349" i="12"/>
  <c r="F353" i="12"/>
  <c r="F347" i="12"/>
  <c r="F339" i="12"/>
  <c r="F331" i="12"/>
  <c r="F315" i="12"/>
  <c r="D305" i="12"/>
  <c r="F351" i="12"/>
  <c r="F345" i="12"/>
  <c r="F337" i="12"/>
  <c r="E354" i="12"/>
  <c r="F329" i="12"/>
  <c r="F313" i="12"/>
  <c r="E316" i="12"/>
  <c r="F311" i="12"/>
  <c r="F303" i="12"/>
  <c r="F282" i="12"/>
  <c r="F273" i="12"/>
  <c r="F266" i="12"/>
  <c r="E267" i="12"/>
  <c r="F263" i="12"/>
  <c r="E305" i="12"/>
  <c r="D304" i="12"/>
  <c r="F300" i="12"/>
  <c r="F297" i="12"/>
  <c r="F293" i="12"/>
  <c r="F290" i="12"/>
  <c r="F279" i="12"/>
  <c r="F257" i="12"/>
  <c r="F253" i="12"/>
  <c r="F250" i="12"/>
  <c r="F247" i="12"/>
  <c r="F242" i="12"/>
  <c r="D243" i="12"/>
  <c r="E304" i="12"/>
  <c r="F304" i="12" s="1"/>
  <c r="F309" i="12"/>
  <c r="F327" i="12"/>
  <c r="F260" i="12"/>
  <c r="F239" i="12"/>
  <c r="E243" i="12"/>
  <c r="F252" i="12"/>
  <c r="F256" i="12"/>
  <c r="F299" i="12"/>
  <c r="F319" i="12"/>
  <c r="F267" i="12" l="1"/>
  <c r="F243" i="12"/>
  <c r="F316" i="12"/>
  <c r="D355" i="12"/>
  <c r="D356" i="12" s="1"/>
  <c r="F324" i="12"/>
  <c r="E355" i="12"/>
  <c r="E356" i="12" s="1"/>
  <c r="E368" i="12" s="1"/>
  <c r="F305" i="12"/>
  <c r="F354" i="12"/>
  <c r="F355" i="12" l="1"/>
  <c r="F356" i="12"/>
  <c r="E366" i="12"/>
  <c r="E25" i="6" l="1"/>
  <c r="G89" i="22" l="1"/>
  <c r="E29" i="6" l="1"/>
  <c r="G170" i="22"/>
  <c r="H172" i="22" l="1"/>
  <c r="G23" i="22" l="1"/>
  <c r="G27" i="22"/>
  <c r="E142" i="12" l="1"/>
  <c r="E103" i="12"/>
  <c r="E121" i="12"/>
  <c r="E161" i="12"/>
  <c r="E164" i="12"/>
  <c r="E117" i="12"/>
  <c r="E155" i="12" l="1"/>
  <c r="D155" i="12"/>
  <c r="F153" i="12"/>
  <c r="F152" i="12"/>
  <c r="F151" i="12"/>
  <c r="F150" i="12"/>
  <c r="E138" i="12"/>
  <c r="D138" i="12"/>
  <c r="F137" i="12"/>
  <c r="F136" i="12"/>
  <c r="F155" i="12" l="1"/>
  <c r="F191" i="12"/>
  <c r="E218" i="12"/>
  <c r="D218" i="12"/>
  <c r="E216" i="12"/>
  <c r="D216" i="12"/>
  <c r="E214" i="12"/>
  <c r="D214" i="12"/>
  <c r="E212" i="12"/>
  <c r="D212" i="12"/>
  <c r="E210" i="12"/>
  <c r="D210" i="12"/>
  <c r="E208" i="12"/>
  <c r="D208" i="12"/>
  <c r="E206" i="12"/>
  <c r="D206" i="12"/>
  <c r="E204" i="12"/>
  <c r="D204" i="12"/>
  <c r="E202" i="12"/>
  <c r="D202" i="12"/>
  <c r="E200" i="12"/>
  <c r="D200" i="12"/>
  <c r="E198" i="12"/>
  <c r="D198" i="12"/>
  <c r="E196" i="12"/>
  <c r="D196" i="12"/>
  <c r="E194" i="12"/>
  <c r="D194" i="12"/>
  <c r="E192" i="12"/>
  <c r="D192" i="12"/>
  <c r="F217" i="12"/>
  <c r="F215" i="12"/>
  <c r="F213" i="12"/>
  <c r="F211" i="12"/>
  <c r="F209" i="12"/>
  <c r="F207" i="12"/>
  <c r="F205" i="12"/>
  <c r="F203" i="12"/>
  <c r="F201" i="12"/>
  <c r="F199" i="12"/>
  <c r="F197" i="12"/>
  <c r="F195" i="12"/>
  <c r="F193" i="12"/>
  <c r="E188" i="12"/>
  <c r="D188" i="12"/>
  <c r="F187" i="12"/>
  <c r="F185" i="12"/>
  <c r="E186" i="12"/>
  <c r="D186" i="12"/>
  <c r="F183" i="12"/>
  <c r="E184" i="12"/>
  <c r="D184" i="12"/>
  <c r="E180" i="12"/>
  <c r="D180" i="12"/>
  <c r="F179" i="12"/>
  <c r="E178" i="12"/>
  <c r="D178" i="12"/>
  <c r="F177" i="12"/>
  <c r="E176" i="12"/>
  <c r="D176" i="12"/>
  <c r="F175" i="12"/>
  <c r="E174" i="12"/>
  <c r="D174" i="12"/>
  <c r="F173" i="12"/>
  <c r="F202" i="12" l="1"/>
  <c r="F176" i="12"/>
  <c r="F206" i="12"/>
  <c r="E219" i="12"/>
  <c r="D189" i="12"/>
  <c r="E181" i="12"/>
  <c r="D219" i="12"/>
  <c r="F218" i="12"/>
  <c r="E189" i="12"/>
  <c r="F186" i="12"/>
  <c r="F188" i="12"/>
  <c r="F214" i="12"/>
  <c r="F210" i="12"/>
  <c r="F194" i="12"/>
  <c r="F180" i="12"/>
  <c r="F208" i="12"/>
  <c r="F212" i="12"/>
  <c r="F216" i="12"/>
  <c r="F204" i="12"/>
  <c r="F200" i="12"/>
  <c r="F198" i="12"/>
  <c r="F196" i="12"/>
  <c r="F192" i="12"/>
  <c r="D181" i="12"/>
  <c r="F174" i="12"/>
  <c r="F178" i="12"/>
  <c r="F184" i="12"/>
  <c r="F219" i="12" l="1"/>
  <c r="F181" i="12"/>
  <c r="E220" i="12"/>
  <c r="F189" i="12"/>
  <c r="D220" i="12"/>
  <c r="F110" i="12" l="1"/>
  <c r="F111" i="12"/>
  <c r="E112" i="12"/>
  <c r="D112" i="12"/>
  <c r="F112" i="12" l="1"/>
  <c r="G32" i="6" l="1"/>
  <c r="G25" i="6"/>
  <c r="F149" i="12" l="1"/>
  <c r="F127" i="12"/>
  <c r="F124" i="12"/>
  <c r="F103" i="12"/>
  <c r="F160" i="12" l="1"/>
  <c r="F142" i="12"/>
  <c r="F141" i="12"/>
  <c r="F140" i="12"/>
  <c r="F135" i="12"/>
  <c r="F134" i="12"/>
  <c r="D122" i="12" l="1"/>
  <c r="E162" i="12"/>
  <c r="D162" i="12"/>
  <c r="D165" i="12"/>
  <c r="E165" i="12"/>
  <c r="E168" i="12"/>
  <c r="D168" i="12"/>
  <c r="E128" i="12"/>
  <c r="D128" i="12"/>
  <c r="F167" i="12"/>
  <c r="F164" i="12"/>
  <c r="F161" i="12"/>
  <c r="F157" i="12"/>
  <c r="F154" i="12"/>
  <c r="F143" i="12"/>
  <c r="F146" i="12"/>
  <c r="D144" i="12"/>
  <c r="E144" i="12"/>
  <c r="E147" i="12"/>
  <c r="D147" i="12"/>
  <c r="E158" i="12"/>
  <c r="D158" i="12"/>
  <c r="E131" i="12"/>
  <c r="E125" i="12"/>
  <c r="D125" i="12"/>
  <c r="D131" i="12"/>
  <c r="E122" i="12"/>
  <c r="E118" i="12"/>
  <c r="D118" i="12"/>
  <c r="E115" i="12"/>
  <c r="D115" i="12"/>
  <c r="E107" i="12"/>
  <c r="E104" i="12"/>
  <c r="D104" i="12"/>
  <c r="D107" i="12"/>
  <c r="F130" i="12"/>
  <c r="F121" i="12"/>
  <c r="F120" i="12"/>
  <c r="F117" i="12"/>
  <c r="F114" i="12"/>
  <c r="F106" i="12"/>
  <c r="D21" i="12"/>
  <c r="F104" i="21"/>
  <c r="F109" i="21"/>
  <c r="F107" i="21"/>
  <c r="F122" i="12" l="1"/>
  <c r="F147" i="12"/>
  <c r="E170" i="12"/>
  <c r="E221" i="12" s="1"/>
  <c r="D170" i="12"/>
  <c r="D221" i="12" s="1"/>
  <c r="F144" i="12"/>
  <c r="F165" i="12"/>
  <c r="D108" i="12"/>
  <c r="E132" i="12"/>
  <c r="F125" i="12"/>
  <c r="E169" i="12"/>
  <c r="F162" i="12"/>
  <c r="F107" i="12"/>
  <c r="F115" i="12"/>
  <c r="F118" i="12"/>
  <c r="F128" i="12"/>
  <c r="F168" i="12"/>
  <c r="E108" i="12"/>
  <c r="F104" i="12"/>
  <c r="D132" i="12"/>
  <c r="F131" i="12"/>
  <c r="F138" i="12"/>
  <c r="F158" i="12"/>
  <c r="D169" i="12"/>
  <c r="F221" i="12" l="1"/>
  <c r="E226" i="12"/>
  <c r="F220" i="12"/>
  <c r="F170" i="12"/>
  <c r="F108" i="12"/>
  <c r="F169" i="12"/>
  <c r="F132" i="12"/>
  <c r="F34" i="21"/>
  <c r="F24" i="21"/>
  <c r="F49" i="21"/>
  <c r="F23" i="21"/>
  <c r="F46" i="21"/>
  <c r="F20" i="21"/>
  <c r="E11" i="6"/>
  <c r="G85" i="21"/>
  <c r="F18" i="21"/>
  <c r="F17" i="21"/>
  <c r="F15" i="21"/>
  <c r="F13" i="21"/>
  <c r="F16" i="21"/>
  <c r="F12" i="21"/>
  <c r="F19" i="21"/>
  <c r="F42" i="21"/>
  <c r="F41" i="21"/>
  <c r="F130" i="21"/>
  <c r="D52" i="12"/>
  <c r="D35" i="12"/>
  <c r="D25" i="12"/>
  <c r="F64" i="12"/>
  <c r="F63" i="12"/>
  <c r="F62" i="12"/>
  <c r="F59" i="12"/>
  <c r="F58" i="12"/>
  <c r="F57" i="12"/>
  <c r="F54" i="12"/>
  <c r="F51" i="12"/>
  <c r="F50" i="12"/>
  <c r="F47" i="12"/>
  <c r="F44" i="12"/>
  <c r="F41" i="12"/>
  <c r="F40" i="12"/>
  <c r="F37" i="12"/>
  <c r="F34" i="12"/>
  <c r="F33" i="12"/>
  <c r="F30" i="12"/>
  <c r="F27" i="12"/>
  <c r="F24" i="12"/>
  <c r="F23" i="12"/>
  <c r="F20" i="12"/>
  <c r="F19" i="12"/>
  <c r="F16" i="12"/>
  <c r="F13" i="12"/>
  <c r="F10" i="12"/>
  <c r="F7" i="12"/>
  <c r="E65" i="12"/>
  <c r="D65" i="12"/>
  <c r="E60" i="12"/>
  <c r="D60" i="12"/>
  <c r="E55" i="12"/>
  <c r="D55" i="12"/>
  <c r="E52" i="12"/>
  <c r="E48" i="12"/>
  <c r="D48" i="12"/>
  <c r="E45" i="12"/>
  <c r="D45" i="12"/>
  <c r="E42" i="12"/>
  <c r="D42" i="12"/>
  <c r="E38" i="12"/>
  <c r="D38" i="12"/>
  <c r="E35" i="12"/>
  <c r="E31" i="12"/>
  <c r="D31" i="12"/>
  <c r="E28" i="12"/>
  <c r="D28" i="12"/>
  <c r="E25" i="12"/>
  <c r="E21" i="12"/>
  <c r="E17" i="12"/>
  <c r="D17" i="12"/>
  <c r="E14" i="12"/>
  <c r="D14" i="12"/>
  <c r="E11" i="12"/>
  <c r="D11" i="12"/>
  <c r="E8" i="12"/>
  <c r="D8" i="12"/>
  <c r="E67" i="12" l="1"/>
  <c r="D67" i="12"/>
  <c r="F67" i="12" l="1"/>
  <c r="G171" i="22"/>
  <c r="F164" i="22"/>
  <c r="F78" i="22" s="1"/>
  <c r="E164" i="22"/>
  <c r="E78" i="22" s="1"/>
  <c r="D164" i="22"/>
  <c r="G162" i="22"/>
  <c r="I162" i="22" s="1"/>
  <c r="G161" i="22"/>
  <c r="I161" i="22" s="1"/>
  <c r="G160" i="22"/>
  <c r="I160" i="22" s="1"/>
  <c r="G159" i="22"/>
  <c r="I159" i="22" s="1"/>
  <c r="G158" i="22"/>
  <c r="I158" i="22" s="1"/>
  <c r="G157" i="22"/>
  <c r="I157" i="22" s="1"/>
  <c r="G156" i="22"/>
  <c r="I156" i="22" s="1"/>
  <c r="G155" i="22"/>
  <c r="I155" i="22" s="1"/>
  <c r="G154" i="22"/>
  <c r="I154" i="22" s="1"/>
  <c r="G153" i="22"/>
  <c r="I153" i="22" s="1"/>
  <c r="G152" i="22"/>
  <c r="I152" i="22" s="1"/>
  <c r="G151" i="22"/>
  <c r="I151" i="22" s="1"/>
  <c r="G150" i="22"/>
  <c r="I150" i="22" s="1"/>
  <c r="G149" i="22"/>
  <c r="I149" i="22" s="1"/>
  <c r="F146" i="22"/>
  <c r="F76" i="22" s="1"/>
  <c r="E146" i="22"/>
  <c r="E76" i="22" s="1"/>
  <c r="D146" i="22"/>
  <c r="G144" i="22"/>
  <c r="I144" i="22" s="1"/>
  <c r="G143" i="22"/>
  <c r="I143" i="22" s="1"/>
  <c r="G142" i="22"/>
  <c r="I142" i="22" s="1"/>
  <c r="G141" i="22"/>
  <c r="I141" i="22" s="1"/>
  <c r="G140" i="22"/>
  <c r="I140" i="22" s="1"/>
  <c r="G139" i="22"/>
  <c r="I139" i="22" s="1"/>
  <c r="G138" i="22"/>
  <c r="I138" i="22" s="1"/>
  <c r="G137" i="22"/>
  <c r="I137" i="22" s="1"/>
  <c r="G136" i="22"/>
  <c r="I136" i="22" s="1"/>
  <c r="G135" i="22"/>
  <c r="I135" i="22" s="1"/>
  <c r="G134" i="22"/>
  <c r="I134" i="22" s="1"/>
  <c r="G133" i="22"/>
  <c r="I133" i="22" s="1"/>
  <c r="G132" i="22"/>
  <c r="I132" i="22" s="1"/>
  <c r="G131" i="22"/>
  <c r="I131" i="22" s="1"/>
  <c r="G130" i="22"/>
  <c r="I130" i="22" s="1"/>
  <c r="G129" i="22"/>
  <c r="I129" i="22" s="1"/>
  <c r="G128" i="22"/>
  <c r="H128" i="22" s="1"/>
  <c r="F125" i="22"/>
  <c r="E125" i="22"/>
  <c r="D125" i="22"/>
  <c r="G123" i="22"/>
  <c r="H123" i="22" s="1"/>
  <c r="G122" i="22"/>
  <c r="I122" i="22" s="1"/>
  <c r="G121" i="22"/>
  <c r="H121" i="22" s="1"/>
  <c r="G120" i="22"/>
  <c r="I120" i="22" s="1"/>
  <c r="G119" i="22"/>
  <c r="H119" i="22" s="1"/>
  <c r="G118" i="22"/>
  <c r="I118" i="22" s="1"/>
  <c r="G117" i="22"/>
  <c r="H117" i="22" s="1"/>
  <c r="G116" i="22"/>
  <c r="I116" i="22" s="1"/>
  <c r="G115" i="22"/>
  <c r="H115" i="22" s="1"/>
  <c r="G114" i="22"/>
  <c r="I114" i="22" s="1"/>
  <c r="G113" i="22"/>
  <c r="H113" i="22" s="1"/>
  <c r="G112" i="22"/>
  <c r="I112" i="22" s="1"/>
  <c r="G111" i="22"/>
  <c r="H111" i="22" s="1"/>
  <c r="G110" i="22"/>
  <c r="I110" i="22" s="1"/>
  <c r="G109" i="22"/>
  <c r="H109" i="22" s="1"/>
  <c r="G108" i="22"/>
  <c r="I108" i="22" s="1"/>
  <c r="G107" i="22"/>
  <c r="H107" i="22" s="1"/>
  <c r="G106" i="22"/>
  <c r="G105" i="22"/>
  <c r="H105" i="22" s="1"/>
  <c r="F101" i="22"/>
  <c r="E101" i="22"/>
  <c r="D80" i="22"/>
  <c r="F69" i="22"/>
  <c r="E69" i="22"/>
  <c r="D69" i="22"/>
  <c r="G67" i="22"/>
  <c r="I67" i="22" s="1"/>
  <c r="G66" i="22"/>
  <c r="H66" i="22" s="1"/>
  <c r="G65" i="22"/>
  <c r="I65" i="22" s="1"/>
  <c r="G64" i="22"/>
  <c r="H64" i="22" s="1"/>
  <c r="G63" i="22"/>
  <c r="I63" i="22" s="1"/>
  <c r="G62" i="22"/>
  <c r="H62" i="22" s="1"/>
  <c r="G61" i="22"/>
  <c r="I61" i="22" s="1"/>
  <c r="G60" i="22"/>
  <c r="H60" i="22" s="1"/>
  <c r="G59" i="22"/>
  <c r="I59" i="22" s="1"/>
  <c r="G58" i="22"/>
  <c r="H58" i="22" s="1"/>
  <c r="G57" i="22"/>
  <c r="I57" i="22" s="1"/>
  <c r="G56" i="22"/>
  <c r="H56" i="22" s="1"/>
  <c r="G55" i="22"/>
  <c r="I55" i="22" s="1"/>
  <c r="G54" i="22"/>
  <c r="F51" i="22"/>
  <c r="E51" i="22"/>
  <c r="D51" i="22"/>
  <c r="G49" i="22"/>
  <c r="I49" i="22" s="1"/>
  <c r="G48" i="22"/>
  <c r="H48" i="22" s="1"/>
  <c r="G47" i="22"/>
  <c r="I47" i="22" s="1"/>
  <c r="G46" i="22"/>
  <c r="H46" i="22" s="1"/>
  <c r="G45" i="22"/>
  <c r="I45" i="22" s="1"/>
  <c r="G44" i="22"/>
  <c r="H44" i="22" s="1"/>
  <c r="G43" i="22"/>
  <c r="I43" i="22" s="1"/>
  <c r="G42" i="22"/>
  <c r="H42" i="22" s="1"/>
  <c r="G41" i="22"/>
  <c r="I41" i="22" s="1"/>
  <c r="G40" i="22"/>
  <c r="H40" i="22" s="1"/>
  <c r="G39" i="22"/>
  <c r="I39" i="22" s="1"/>
  <c r="G38" i="22"/>
  <c r="H38" i="22" s="1"/>
  <c r="G37" i="22"/>
  <c r="I37" i="22" s="1"/>
  <c r="G36" i="22"/>
  <c r="H36" i="22" s="1"/>
  <c r="G35" i="22"/>
  <c r="I35" i="22" s="1"/>
  <c r="G34" i="22"/>
  <c r="H34" i="22" s="1"/>
  <c r="G33" i="22"/>
  <c r="H33" i="22" s="1"/>
  <c r="F30" i="22"/>
  <c r="E30" i="22"/>
  <c r="D30" i="22"/>
  <c r="G28" i="22"/>
  <c r="H28" i="22" s="1"/>
  <c r="H27" i="22"/>
  <c r="I27" i="22"/>
  <c r="G26" i="22"/>
  <c r="I26" i="22" s="1"/>
  <c r="G25" i="22"/>
  <c r="I25" i="22" s="1"/>
  <c r="G24" i="22"/>
  <c r="I24" i="22" s="1"/>
  <c r="I23" i="22"/>
  <c r="G22" i="22"/>
  <c r="I22" i="22" s="1"/>
  <c r="G21" i="22"/>
  <c r="I21" i="22" s="1"/>
  <c r="G20" i="22"/>
  <c r="I20" i="22" s="1"/>
  <c r="G19" i="22"/>
  <c r="I19" i="22" s="1"/>
  <c r="G18" i="22"/>
  <c r="I18" i="22" s="1"/>
  <c r="G17" i="22"/>
  <c r="I17" i="22" s="1"/>
  <c r="G16" i="22"/>
  <c r="I16" i="22" s="1"/>
  <c r="G15" i="22"/>
  <c r="I15" i="22" s="1"/>
  <c r="G14" i="22"/>
  <c r="I14" i="22" s="1"/>
  <c r="G13" i="22"/>
  <c r="I13" i="22" s="1"/>
  <c r="G12" i="22"/>
  <c r="I12" i="22" s="1"/>
  <c r="G11" i="22"/>
  <c r="G10" i="22"/>
  <c r="I10" i="22" s="1"/>
  <c r="G9" i="22"/>
  <c r="G169" i="21"/>
  <c r="G82" i="21"/>
  <c r="E166" i="22" l="1"/>
  <c r="D166" i="22"/>
  <c r="H45" i="22"/>
  <c r="H61" i="22"/>
  <c r="H154" i="22"/>
  <c r="H65" i="22"/>
  <c r="H150" i="22"/>
  <c r="H158" i="22"/>
  <c r="H37" i="22"/>
  <c r="H47" i="22"/>
  <c r="H116" i="22"/>
  <c r="H120" i="22"/>
  <c r="H132" i="22"/>
  <c r="H138" i="22"/>
  <c r="H142" i="22"/>
  <c r="H152" i="22"/>
  <c r="H156" i="22"/>
  <c r="H160" i="22"/>
  <c r="H63" i="22"/>
  <c r="H67" i="22"/>
  <c r="H114" i="22"/>
  <c r="H118" i="22"/>
  <c r="H122" i="22"/>
  <c r="H134" i="22"/>
  <c r="H140" i="22"/>
  <c r="H144" i="22"/>
  <c r="H162" i="22"/>
  <c r="F166" i="22"/>
  <c r="H136" i="22"/>
  <c r="H110" i="22"/>
  <c r="G146" i="22"/>
  <c r="I146" i="22" s="1"/>
  <c r="H112" i="22"/>
  <c r="H108" i="22"/>
  <c r="H21" i="22"/>
  <c r="H49" i="22"/>
  <c r="G76" i="22"/>
  <c r="H76" i="22" s="1"/>
  <c r="H13" i="22"/>
  <c r="G78" i="22"/>
  <c r="I78" i="22" s="1"/>
  <c r="H41" i="22"/>
  <c r="H35" i="22"/>
  <c r="H25" i="22"/>
  <c r="H17" i="22"/>
  <c r="F71" i="22"/>
  <c r="F74" i="22"/>
  <c r="F80" i="22" s="1"/>
  <c r="J92" i="22"/>
  <c r="H130" i="22"/>
  <c r="G125" i="22"/>
  <c r="I125" i="22" s="1"/>
  <c r="H104" i="22"/>
  <c r="E74" i="22"/>
  <c r="E80" i="22" s="1"/>
  <c r="G69" i="22"/>
  <c r="I69" i="22" s="1"/>
  <c r="H43" i="22"/>
  <c r="H39" i="22"/>
  <c r="G51" i="22"/>
  <c r="I51" i="22" s="1"/>
  <c r="E71" i="22"/>
  <c r="D71" i="22"/>
  <c r="H23" i="22"/>
  <c r="H19" i="22"/>
  <c r="H15" i="22"/>
  <c r="G30" i="22"/>
  <c r="H9" i="22"/>
  <c r="I9" i="22"/>
  <c r="H10" i="22"/>
  <c r="H12" i="22"/>
  <c r="H14" i="22"/>
  <c r="H16" i="22"/>
  <c r="H18" i="22"/>
  <c r="H20" i="22"/>
  <c r="H22" i="22"/>
  <c r="H24" i="22"/>
  <c r="H26" i="22"/>
  <c r="I34" i="22"/>
  <c r="I36" i="22"/>
  <c r="I38" i="22"/>
  <c r="I40" i="22"/>
  <c r="I42" i="22"/>
  <c r="I44" i="22"/>
  <c r="I46" i="22"/>
  <c r="I48" i="22"/>
  <c r="I54" i="22"/>
  <c r="H55" i="22"/>
  <c r="I56" i="22"/>
  <c r="H57" i="22"/>
  <c r="I58" i="22"/>
  <c r="H59" i="22"/>
  <c r="I60" i="22"/>
  <c r="I62" i="22"/>
  <c r="I64" i="22"/>
  <c r="I66" i="22"/>
  <c r="I105" i="22"/>
  <c r="I107" i="22"/>
  <c r="I109" i="22"/>
  <c r="I111" i="22"/>
  <c r="I113" i="22"/>
  <c r="I115" i="22"/>
  <c r="I117" i="22"/>
  <c r="I119" i="22"/>
  <c r="I121" i="22"/>
  <c r="I128" i="22"/>
  <c r="H129" i="22"/>
  <c r="H131" i="22"/>
  <c r="H133" i="22"/>
  <c r="H135" i="22"/>
  <c r="H137" i="22"/>
  <c r="H139" i="22"/>
  <c r="H141" i="22"/>
  <c r="H143" i="22"/>
  <c r="H149" i="22"/>
  <c r="H151" i="22"/>
  <c r="H153" i="22"/>
  <c r="H155" i="22"/>
  <c r="H157" i="22"/>
  <c r="H159" i="22"/>
  <c r="H161" i="22"/>
  <c r="G164" i="22"/>
  <c r="I164" i="22" s="1"/>
  <c r="I33" i="22"/>
  <c r="H54" i="22"/>
  <c r="G86" i="22"/>
  <c r="J94" i="22" s="1"/>
  <c r="I104" i="22"/>
  <c r="G83" i="21"/>
  <c r="I76" i="22" l="1"/>
  <c r="H146" i="22"/>
  <c r="H125" i="22"/>
  <c r="H78" i="22"/>
  <c r="G74" i="22"/>
  <c r="H74" i="22" s="1"/>
  <c r="H51" i="22"/>
  <c r="H69" i="22"/>
  <c r="G71" i="22"/>
  <c r="I71" i="22" s="1"/>
  <c r="I30" i="22"/>
  <c r="H30" i="22"/>
  <c r="H164" i="22"/>
  <c r="G166" i="22"/>
  <c r="G174" i="22" s="1"/>
  <c r="G89" i="21"/>
  <c r="H166" i="22" l="1"/>
  <c r="H80" i="22"/>
  <c r="G80" i="22"/>
  <c r="I80" i="22" s="1"/>
  <c r="I74" i="22"/>
  <c r="H71" i="22"/>
  <c r="G91" i="22"/>
  <c r="I166" i="22"/>
  <c r="E19" i="10" l="1"/>
  <c r="E66" i="10"/>
  <c r="E64" i="10"/>
  <c r="E63" i="10"/>
  <c r="E62" i="10"/>
  <c r="E61" i="10"/>
  <c r="E60" i="10"/>
  <c r="E59" i="10"/>
  <c r="E56" i="10"/>
  <c r="E55" i="10"/>
  <c r="E54" i="10"/>
  <c r="D27" i="10"/>
  <c r="D23" i="10"/>
  <c r="D19" i="10"/>
  <c r="D18" i="10"/>
  <c r="D17" i="10"/>
  <c r="D16" i="10"/>
  <c r="D15" i="10"/>
  <c r="D14" i="10"/>
  <c r="D12" i="10"/>
  <c r="D11" i="10"/>
  <c r="D9" i="10"/>
  <c r="D8" i="10"/>
  <c r="D42" i="10"/>
  <c r="D41" i="10"/>
  <c r="D40" i="10"/>
  <c r="D39" i="10"/>
  <c r="D38" i="10"/>
  <c r="D37" i="10"/>
  <c r="D36" i="10"/>
  <c r="D35" i="10"/>
  <c r="D34" i="10"/>
  <c r="D33" i="10"/>
  <c r="D32" i="10"/>
  <c r="D66" i="10"/>
  <c r="D65" i="10"/>
  <c r="D63" i="10"/>
  <c r="D62" i="10"/>
  <c r="D61" i="10"/>
  <c r="D59" i="10"/>
  <c r="D58" i="10"/>
  <c r="D56" i="10"/>
  <c r="D55" i="10"/>
  <c r="D54" i="10"/>
  <c r="E45" i="10"/>
  <c r="E43" i="10"/>
  <c r="E42" i="10"/>
  <c r="E41" i="10"/>
  <c r="E40" i="10"/>
  <c r="E39" i="10"/>
  <c r="E38" i="10"/>
  <c r="E37" i="10"/>
  <c r="E35" i="10"/>
  <c r="E34" i="10"/>
  <c r="E33" i="10"/>
  <c r="E32" i="10"/>
  <c r="E27" i="10"/>
  <c r="E26" i="10"/>
  <c r="E25" i="10"/>
  <c r="E24" i="10"/>
  <c r="E23" i="10"/>
  <c r="E22" i="10"/>
  <c r="E20" i="10"/>
  <c r="E21" i="10"/>
  <c r="E18" i="10"/>
  <c r="E17" i="10"/>
  <c r="E16" i="10"/>
  <c r="E51" i="10" l="1"/>
  <c r="D51" i="10"/>
  <c r="E15" i="10"/>
  <c r="E14" i="10"/>
  <c r="E13" i="10"/>
  <c r="E12" i="10"/>
  <c r="E10" i="10"/>
  <c r="E11" i="10"/>
  <c r="E9" i="10"/>
  <c r="E8" i="10"/>
  <c r="E29" i="10" l="1"/>
  <c r="G28" i="21" l="1"/>
  <c r="G88" i="21" l="1"/>
  <c r="J92" i="21" l="1"/>
  <c r="G84" i="21" l="1"/>
  <c r="D29" i="10" l="1"/>
  <c r="F29" i="10"/>
  <c r="E13" i="6" l="1"/>
  <c r="E9" i="6" l="1"/>
  <c r="E69" i="10" l="1"/>
  <c r="E71" i="10" l="1"/>
  <c r="F69" i="10" l="1"/>
  <c r="G7" i="6"/>
  <c r="G14" i="6"/>
  <c r="F71" i="10" l="1"/>
  <c r="E30" i="21" l="1"/>
  <c r="G9" i="21" l="1"/>
  <c r="G20" i="21" l="1"/>
  <c r="H172" i="21" l="1"/>
  <c r="G86" i="21" l="1"/>
  <c r="J94" i="21" s="1"/>
  <c r="G171" i="21" l="1"/>
  <c r="F164" i="21"/>
  <c r="F78" i="21" s="1"/>
  <c r="E164" i="21"/>
  <c r="E78" i="21" s="1"/>
  <c r="D164" i="21"/>
  <c r="G162" i="21"/>
  <c r="I162" i="21" s="1"/>
  <c r="G161" i="21"/>
  <c r="I161" i="21" s="1"/>
  <c r="G160" i="21"/>
  <c r="I160" i="21" s="1"/>
  <c r="G159" i="21"/>
  <c r="I159" i="21" s="1"/>
  <c r="G158" i="21"/>
  <c r="I158" i="21" s="1"/>
  <c r="G157" i="21"/>
  <c r="I157" i="21" s="1"/>
  <c r="G156" i="21"/>
  <c r="I156" i="21" s="1"/>
  <c r="G155" i="21"/>
  <c r="I155" i="21" s="1"/>
  <c r="G154" i="21"/>
  <c r="I154" i="21" s="1"/>
  <c r="G153" i="21"/>
  <c r="I153" i="21" s="1"/>
  <c r="G152" i="21"/>
  <c r="I152" i="21" s="1"/>
  <c r="G151" i="21"/>
  <c r="I151" i="21" s="1"/>
  <c r="G150" i="21"/>
  <c r="I150" i="21" s="1"/>
  <c r="G149" i="21"/>
  <c r="I149" i="21" s="1"/>
  <c r="F146" i="21"/>
  <c r="F76" i="21" s="1"/>
  <c r="E146" i="21"/>
  <c r="E76" i="21" s="1"/>
  <c r="D146" i="21"/>
  <c r="G144" i="21"/>
  <c r="I144" i="21" s="1"/>
  <c r="G143" i="21"/>
  <c r="I143" i="21" s="1"/>
  <c r="G142" i="21"/>
  <c r="I142" i="21" s="1"/>
  <c r="G141" i="21"/>
  <c r="I141" i="21" s="1"/>
  <c r="G140" i="21"/>
  <c r="I140" i="21" s="1"/>
  <c r="G139" i="21"/>
  <c r="I139" i="21" s="1"/>
  <c r="G138" i="21"/>
  <c r="I138" i="21" s="1"/>
  <c r="G137" i="21"/>
  <c r="I137" i="21" s="1"/>
  <c r="G136" i="21"/>
  <c r="I136" i="21" s="1"/>
  <c r="G135" i="21"/>
  <c r="I135" i="21" s="1"/>
  <c r="G134" i="21"/>
  <c r="I134" i="21" s="1"/>
  <c r="G133" i="21"/>
  <c r="I133" i="21" s="1"/>
  <c r="G132" i="21"/>
  <c r="I132" i="21" s="1"/>
  <c r="G131" i="21"/>
  <c r="I131" i="21" s="1"/>
  <c r="G130" i="21"/>
  <c r="I130" i="21" s="1"/>
  <c r="G129" i="21"/>
  <c r="I129" i="21" s="1"/>
  <c r="G128" i="21"/>
  <c r="H128" i="21" s="1"/>
  <c r="F125" i="21"/>
  <c r="F74" i="21" s="1"/>
  <c r="E125" i="21"/>
  <c r="D125" i="21"/>
  <c r="G123" i="21"/>
  <c r="H123" i="21" s="1"/>
  <c r="G122" i="21"/>
  <c r="I122" i="21" s="1"/>
  <c r="G121" i="21"/>
  <c r="I121" i="21" s="1"/>
  <c r="G120" i="21"/>
  <c r="I120" i="21" s="1"/>
  <c r="G119" i="21"/>
  <c r="I119" i="21" s="1"/>
  <c r="G118" i="21"/>
  <c r="I118" i="21" s="1"/>
  <c r="G117" i="21"/>
  <c r="I117" i="21" s="1"/>
  <c r="G116" i="21"/>
  <c r="I116" i="21" s="1"/>
  <c r="G115" i="21"/>
  <c r="I115" i="21" s="1"/>
  <c r="G114" i="21"/>
  <c r="I114" i="21" s="1"/>
  <c r="G113" i="21"/>
  <c r="I113" i="21" s="1"/>
  <c r="G112" i="21"/>
  <c r="I112" i="21" s="1"/>
  <c r="G111" i="21"/>
  <c r="I111" i="21" s="1"/>
  <c r="G110" i="21"/>
  <c r="I110" i="21" s="1"/>
  <c r="G109" i="21"/>
  <c r="I109" i="21" s="1"/>
  <c r="G108" i="21"/>
  <c r="I108" i="21" s="1"/>
  <c r="G107" i="21"/>
  <c r="I107" i="21" s="1"/>
  <c r="G106" i="21"/>
  <c r="G105" i="21"/>
  <c r="I105" i="21" s="1"/>
  <c r="G104" i="21"/>
  <c r="F101" i="21"/>
  <c r="E101" i="21"/>
  <c r="D80" i="21"/>
  <c r="F69" i="21"/>
  <c r="E69" i="21"/>
  <c r="D69" i="21"/>
  <c r="G67" i="21"/>
  <c r="I67" i="21" s="1"/>
  <c r="G66" i="21"/>
  <c r="I66" i="21" s="1"/>
  <c r="G65" i="21"/>
  <c r="I65" i="21" s="1"/>
  <c r="G64" i="21"/>
  <c r="I64" i="21" s="1"/>
  <c r="G63" i="21"/>
  <c r="I63" i="21" s="1"/>
  <c r="G62" i="21"/>
  <c r="I62" i="21" s="1"/>
  <c r="G61" i="21"/>
  <c r="I61" i="21" s="1"/>
  <c r="G60" i="21"/>
  <c r="I60" i="21" s="1"/>
  <c r="G59" i="21"/>
  <c r="I59" i="21" s="1"/>
  <c r="G58" i="21"/>
  <c r="I58" i="21" s="1"/>
  <c r="G57" i="21"/>
  <c r="I57" i="21" s="1"/>
  <c r="G56" i="21"/>
  <c r="I56" i="21" s="1"/>
  <c r="G55" i="21"/>
  <c r="I55" i="21" s="1"/>
  <c r="G54" i="21"/>
  <c r="I54" i="21" s="1"/>
  <c r="F51" i="21"/>
  <c r="E51" i="21"/>
  <c r="D51" i="21"/>
  <c r="G49" i="21"/>
  <c r="I49" i="21" s="1"/>
  <c r="G48" i="21"/>
  <c r="I48" i="21" s="1"/>
  <c r="G47" i="21"/>
  <c r="I47" i="21" s="1"/>
  <c r="G46" i="21"/>
  <c r="I46" i="21" s="1"/>
  <c r="G45" i="21"/>
  <c r="I45" i="21" s="1"/>
  <c r="G44" i="21"/>
  <c r="I44" i="21" s="1"/>
  <c r="G43" i="21"/>
  <c r="I43" i="21" s="1"/>
  <c r="G42" i="21"/>
  <c r="I42" i="21" s="1"/>
  <c r="G41" i="21"/>
  <c r="I41" i="21" s="1"/>
  <c r="G40" i="21"/>
  <c r="I40" i="21" s="1"/>
  <c r="G39" i="21"/>
  <c r="I39" i="21" s="1"/>
  <c r="G38" i="21"/>
  <c r="I38" i="21" s="1"/>
  <c r="G37" i="21"/>
  <c r="I37" i="21" s="1"/>
  <c r="G36" i="21"/>
  <c r="I36" i="21" s="1"/>
  <c r="G35" i="21"/>
  <c r="H35" i="21" s="1"/>
  <c r="G34" i="21"/>
  <c r="I34" i="21" s="1"/>
  <c r="G33" i="21"/>
  <c r="F30" i="21"/>
  <c r="D30" i="21"/>
  <c r="H28" i="21"/>
  <c r="G27" i="21"/>
  <c r="I27" i="21" s="1"/>
  <c r="G26" i="21"/>
  <c r="H26" i="21" s="1"/>
  <c r="G25" i="21"/>
  <c r="I25" i="21" s="1"/>
  <c r="G24" i="21"/>
  <c r="H24" i="21" s="1"/>
  <c r="G23" i="21"/>
  <c r="I23" i="21" s="1"/>
  <c r="G22" i="21"/>
  <c r="H22" i="21" s="1"/>
  <c r="G21" i="21"/>
  <c r="I21" i="21" s="1"/>
  <c r="H20" i="21"/>
  <c r="G19" i="21"/>
  <c r="I19" i="21" s="1"/>
  <c r="G18" i="21"/>
  <c r="H18" i="21" s="1"/>
  <c r="G17" i="21"/>
  <c r="I17" i="21" s="1"/>
  <c r="G16" i="21"/>
  <c r="G15" i="21"/>
  <c r="I15" i="21" s="1"/>
  <c r="G14" i="21"/>
  <c r="H14" i="21" s="1"/>
  <c r="G13" i="21"/>
  <c r="I13" i="21" s="1"/>
  <c r="G12" i="21"/>
  <c r="H12" i="21" s="1"/>
  <c r="G11" i="21"/>
  <c r="G10" i="21"/>
  <c r="H10" i="21" s="1"/>
  <c r="H9" i="21"/>
  <c r="H162" i="21" l="1"/>
  <c r="G78" i="21"/>
  <c r="I78" i="21" s="1"/>
  <c r="H65" i="21"/>
  <c r="H117" i="21"/>
  <c r="H154" i="21"/>
  <c r="H57" i="21"/>
  <c r="H121" i="21"/>
  <c r="H150" i="21"/>
  <c r="H158" i="21"/>
  <c r="H37" i="21"/>
  <c r="H61" i="21"/>
  <c r="H67" i="21"/>
  <c r="H115" i="21"/>
  <c r="H119" i="21"/>
  <c r="H132" i="21"/>
  <c r="H138" i="21"/>
  <c r="H142" i="21"/>
  <c r="H45" i="21"/>
  <c r="H134" i="21"/>
  <c r="H140" i="21"/>
  <c r="D166" i="21"/>
  <c r="H152" i="21"/>
  <c r="H156" i="21"/>
  <c r="H160" i="21"/>
  <c r="H63" i="21"/>
  <c r="H144" i="21"/>
  <c r="D71" i="21"/>
  <c r="H47" i="21"/>
  <c r="H33" i="21"/>
  <c r="G51" i="21"/>
  <c r="I51" i="21" s="1"/>
  <c r="H16" i="21"/>
  <c r="G30" i="21"/>
  <c r="I30" i="21" s="1"/>
  <c r="H21" i="21"/>
  <c r="H59" i="21"/>
  <c r="H17" i="21"/>
  <c r="H13" i="21"/>
  <c r="G76" i="21"/>
  <c r="H76" i="21" s="1"/>
  <c r="H111" i="21"/>
  <c r="H25" i="21"/>
  <c r="H55" i="21"/>
  <c r="H136" i="21"/>
  <c r="F80" i="21"/>
  <c r="E166" i="21"/>
  <c r="E74" i="21"/>
  <c r="E80" i="21" s="1"/>
  <c r="H49" i="21"/>
  <c r="H41" i="21"/>
  <c r="F71" i="21"/>
  <c r="H107" i="21"/>
  <c r="F166" i="21"/>
  <c r="G146" i="21"/>
  <c r="I146" i="21" s="1"/>
  <c r="H130" i="21"/>
  <c r="H113" i="21"/>
  <c r="H109" i="21"/>
  <c r="G125" i="21"/>
  <c r="I125" i="21" s="1"/>
  <c r="H105" i="21"/>
  <c r="H43" i="21"/>
  <c r="H39" i="21"/>
  <c r="E71" i="21"/>
  <c r="H27" i="21"/>
  <c r="H23" i="21"/>
  <c r="H19" i="21"/>
  <c r="H15" i="21"/>
  <c r="I14" i="21"/>
  <c r="I16" i="21"/>
  <c r="I20" i="21"/>
  <c r="I22" i="21"/>
  <c r="I24" i="21"/>
  <c r="I26" i="21"/>
  <c r="I33" i="21"/>
  <c r="H34" i="21"/>
  <c r="I35" i="21"/>
  <c r="H36" i="21"/>
  <c r="H38" i="21"/>
  <c r="H40" i="21"/>
  <c r="H42" i="21"/>
  <c r="H44" i="21"/>
  <c r="H46" i="21"/>
  <c r="H48" i="21"/>
  <c r="H54" i="21"/>
  <c r="H56" i="21"/>
  <c r="H58" i="21"/>
  <c r="H60" i="21"/>
  <c r="H62" i="21"/>
  <c r="H64" i="21"/>
  <c r="H66" i="21"/>
  <c r="G69" i="21"/>
  <c r="I69" i="21" s="1"/>
  <c r="H104" i="21"/>
  <c r="H108" i="21"/>
  <c r="H110" i="21"/>
  <c r="H112" i="21"/>
  <c r="H114" i="21"/>
  <c r="H116" i="21"/>
  <c r="H118" i="21"/>
  <c r="H120" i="21"/>
  <c r="H122" i="21"/>
  <c r="I128" i="21"/>
  <c r="H129" i="21"/>
  <c r="H131" i="21"/>
  <c r="H133" i="21"/>
  <c r="H135" i="21"/>
  <c r="H137" i="21"/>
  <c r="H139" i="21"/>
  <c r="H141" i="21"/>
  <c r="H143" i="21"/>
  <c r="H149" i="21"/>
  <c r="H151" i="21"/>
  <c r="H153" i="21"/>
  <c r="H155" i="21"/>
  <c r="H157" i="21"/>
  <c r="H159" i="21"/>
  <c r="H161" i="21"/>
  <c r="G164" i="21"/>
  <c r="I164" i="21" s="1"/>
  <c r="I10" i="21"/>
  <c r="I12" i="21"/>
  <c r="I18" i="21"/>
  <c r="I9" i="21"/>
  <c r="I104" i="21"/>
  <c r="H78" i="21" l="1"/>
  <c r="I76" i="21"/>
  <c r="G74" i="21"/>
  <c r="I74" i="21" s="1"/>
  <c r="H30" i="21"/>
  <c r="H146" i="21"/>
  <c r="H51" i="21"/>
  <c r="H164" i="21"/>
  <c r="H125" i="21"/>
  <c r="H69" i="21"/>
  <c r="G166" i="21"/>
  <c r="G174" i="21" s="1"/>
  <c r="G71" i="21"/>
  <c r="G91" i="21" s="1"/>
  <c r="G80" i="21" l="1"/>
  <c r="I80" i="21" s="1"/>
  <c r="H74" i="21"/>
  <c r="H80" i="21" s="1"/>
  <c r="H166" i="21"/>
  <c r="H71" i="21"/>
  <c r="I166" i="21"/>
  <c r="I71" i="21"/>
  <c r="D69" i="10" l="1"/>
  <c r="D71" i="10" l="1"/>
</calcChain>
</file>

<file path=xl/sharedStrings.xml><?xml version="1.0" encoding="utf-8"?>
<sst xmlns="http://schemas.openxmlformats.org/spreadsheetml/2006/main" count="3217" uniqueCount="587">
  <si>
    <t>KETERANGAN</t>
  </si>
  <si>
    <t>( Satuan Ekor )</t>
  </si>
  <si>
    <t>NO.</t>
  </si>
  <si>
    <t>WILAYAH</t>
  </si>
  <si>
    <t>BUDGET</t>
  </si>
  <si>
    <t>REALISASI</t>
  </si>
  <si>
    <t>SELISIH REALISASI</t>
  </si>
  <si>
    <t>TOTAL</t>
  </si>
  <si>
    <t xml:space="preserve">vs  BUDGET </t>
  </si>
  <si>
    <t>%</t>
  </si>
  <si>
    <t>A. PRODUKSI BENUR</t>
  </si>
  <si>
    <t>A. PRODUKSI NENER</t>
  </si>
  <si>
    <t>I.</t>
  </si>
  <si>
    <t>WILAYAH  I</t>
  </si>
  <si>
    <t xml:space="preserve">       Jumlah Wilayah  I</t>
  </si>
  <si>
    <t>II.</t>
  </si>
  <si>
    <t>WILAYAH  II</t>
  </si>
  <si>
    <t xml:space="preserve">         Jumlah Wilaya II</t>
  </si>
  <si>
    <t>III.</t>
  </si>
  <si>
    <t>WILAYAH  III</t>
  </si>
  <si>
    <t xml:space="preserve">        Jumlah Wilayah III</t>
  </si>
  <si>
    <t xml:space="preserve">              Total A  I + II + III</t>
  </si>
  <si>
    <t>B. PRODUKSI NENER</t>
  </si>
  <si>
    <t>WILAYAH I</t>
  </si>
  <si>
    <t xml:space="preserve">           Total  B  I + II  + III</t>
  </si>
  <si>
    <t>Jumlah Penjualan</t>
  </si>
  <si>
    <t>:</t>
  </si>
  <si>
    <t xml:space="preserve">Cash Back </t>
  </si>
  <si>
    <t>+</t>
  </si>
  <si>
    <t>Penggantian</t>
  </si>
  <si>
    <t>Jumlah Produksi/Penjualan</t>
  </si>
  <si>
    <t>PENGGANTIAN BENUR &amp; NENER</t>
  </si>
  <si>
    <t>NENER</t>
  </si>
  <si>
    <t>UNIT I</t>
  </si>
  <si>
    <t>UNIT II</t>
  </si>
  <si>
    <t>ekor</t>
  </si>
  <si>
    <t xml:space="preserve">  1. Pinrang</t>
  </si>
  <si>
    <t xml:space="preserve">  2. Polman</t>
  </si>
  <si>
    <t xml:space="preserve">  1. Parepare</t>
  </si>
  <si>
    <t xml:space="preserve">  2. Barru</t>
  </si>
  <si>
    <t xml:space="preserve">  3. Pangkep</t>
  </si>
  <si>
    <t xml:space="preserve">  4. Maros</t>
  </si>
  <si>
    <t xml:space="preserve">  1. Luwuk Banggai</t>
  </si>
  <si>
    <t xml:space="preserve">  2. Yogyakarta</t>
  </si>
  <si>
    <t xml:space="preserve">  3. Ternate</t>
  </si>
  <si>
    <t xml:space="preserve">  4. Gresik</t>
  </si>
  <si>
    <t xml:space="preserve">  5. Sumbawa/ Lombok</t>
  </si>
  <si>
    <t xml:space="preserve">  6. Tuban/ Surabaya</t>
  </si>
  <si>
    <t>UNIT III</t>
  </si>
  <si>
    <t xml:space="preserve">  7. Jeneponto</t>
  </si>
  <si>
    <t xml:space="preserve">  5. Makassar</t>
  </si>
  <si>
    <t xml:space="preserve">  6. Takalar</t>
  </si>
  <si>
    <t xml:space="preserve">  3. Majene</t>
  </si>
  <si>
    <t xml:space="preserve">  4. Mamuju</t>
  </si>
  <si>
    <t xml:space="preserve">  5. Mamuju Utara</t>
  </si>
  <si>
    <t xml:space="preserve">  6. Mamuju Tengah</t>
  </si>
  <si>
    <t xml:space="preserve">  7. Luwu Utara</t>
  </si>
  <si>
    <t xml:space="preserve">  8. Luwu Timur</t>
  </si>
  <si>
    <t xml:space="preserve">  9. Luwu </t>
  </si>
  <si>
    <t>10. Palopo</t>
  </si>
  <si>
    <t>11. Kolaka Utara</t>
  </si>
  <si>
    <t>12. Kolaka Kota</t>
  </si>
  <si>
    <t>13. Bombana</t>
  </si>
  <si>
    <t>14. Donggala, Sulteng</t>
  </si>
  <si>
    <t>15. Morowali, Sulteng</t>
  </si>
  <si>
    <t>16. Palu, Sulteng</t>
  </si>
  <si>
    <t>17. Parigi Moutong, Sulteng</t>
  </si>
  <si>
    <t>18. Poso, Sulteng</t>
  </si>
  <si>
    <t>19. Tolitoli, Sulteng</t>
  </si>
  <si>
    <t>20. Gorontalo</t>
  </si>
  <si>
    <t>11. Sinjai</t>
  </si>
  <si>
    <t xml:space="preserve">  9. Wajo</t>
  </si>
  <si>
    <t>10. Bone</t>
  </si>
  <si>
    <t>12. Kendari</t>
  </si>
  <si>
    <t>13. Konawe</t>
  </si>
  <si>
    <t>14. Konawe Selatan</t>
  </si>
  <si>
    <t>15. Konawe Utara</t>
  </si>
  <si>
    <t>16. Muna Barat</t>
  </si>
  <si>
    <t>17. Muna/ Raha</t>
  </si>
  <si>
    <t xml:space="preserve">  8. Bulukumba/Selayar/Bantaeng</t>
  </si>
  <si>
    <t xml:space="preserve">  7.  Berau, Kal. Utara</t>
  </si>
  <si>
    <t>10. Semarang</t>
  </si>
  <si>
    <t>11. Papua/ Jaya Pura</t>
  </si>
  <si>
    <t>12. Pangkal Pinang</t>
  </si>
  <si>
    <t>13. Bengkulu/ Bengkalis</t>
  </si>
  <si>
    <t>14. Manado</t>
  </si>
  <si>
    <t xml:space="preserve">  8. Tarakan/Nunukan, Kalut</t>
  </si>
  <si>
    <t xml:space="preserve">  9. Balikpapan/Samarinda, Kaltim</t>
  </si>
  <si>
    <t xml:space="preserve">  6. Tuban/Surabaya</t>
  </si>
  <si>
    <t>Tahun 2017</t>
  </si>
  <si>
    <t>REALISASI PERKEMBANGAN PENJUALAN BENUR VANNAMEI</t>
  </si>
  <si>
    <t xml:space="preserve">NO. </t>
  </si>
  <si>
    <t xml:space="preserve">III. </t>
  </si>
  <si>
    <t xml:space="preserve">I. </t>
  </si>
  <si>
    <t>A</t>
  </si>
  <si>
    <t>JUMLAH WILAYAH I</t>
  </si>
  <si>
    <t>B</t>
  </si>
  <si>
    <t>C</t>
  </si>
  <si>
    <t>D</t>
  </si>
  <si>
    <t>E</t>
  </si>
  <si>
    <t xml:space="preserve">  1. Mamuju Tengah</t>
  </si>
  <si>
    <t>TAMBAK INTENSIF</t>
  </si>
  <si>
    <t>TAKALAR</t>
  </si>
  <si>
    <t xml:space="preserve">II. </t>
  </si>
  <si>
    <t>JENEPONTO</t>
  </si>
  <si>
    <t>BULUKUMBA</t>
  </si>
  <si>
    <t>IV.</t>
  </si>
  <si>
    <t>BONE</t>
  </si>
  <si>
    <t xml:space="preserve"> 1. H. Uyung</t>
  </si>
  <si>
    <t xml:space="preserve"> 2. Pak Johanes</t>
  </si>
  <si>
    <t xml:space="preserve"> 3. Balai Riset Maros</t>
  </si>
  <si>
    <t xml:space="preserve"> 4. Barai Riset Takalar</t>
  </si>
  <si>
    <t xml:space="preserve"> 1. Pak Fiter</t>
  </si>
  <si>
    <t xml:space="preserve"> 3. PT. Agroboga</t>
  </si>
  <si>
    <t xml:space="preserve"> 2. Pak Albert</t>
  </si>
  <si>
    <t xml:space="preserve"> 1. PT. Asindo</t>
  </si>
  <si>
    <t xml:space="preserve"> 2. PT. GGA (Pak Teo)</t>
  </si>
  <si>
    <t xml:space="preserve"> 3. Pak Khadafi</t>
  </si>
  <si>
    <t xml:space="preserve"> 4. Pak Adriadi</t>
  </si>
  <si>
    <t xml:space="preserve"> 5. H. Supriadi</t>
  </si>
  <si>
    <t xml:space="preserve"> 6. Nurdin Halid</t>
  </si>
  <si>
    <t xml:space="preserve"> 7. Pak Lucas</t>
  </si>
  <si>
    <t xml:space="preserve"> 1. PT. Sau</t>
  </si>
  <si>
    <t xml:space="preserve"> 2. Fajaruddin</t>
  </si>
  <si>
    <t>Keterangan :</t>
  </si>
  <si>
    <t>Gorontalo</t>
  </si>
  <si>
    <t xml:space="preserve"> ekor</t>
  </si>
  <si>
    <t xml:space="preserve"> Penjualan Bersih</t>
  </si>
  <si>
    <t xml:space="preserve">NB : Pengiriman  PL. 4 untuk Hatchery Satelit Parigi, Sulawesi Tengah                                        : </t>
  </si>
  <si>
    <t xml:space="preserve">  7. Berau, Kal. Utara</t>
  </si>
  <si>
    <t xml:space="preserve"> Ditambah Pengiriman ke Hat. Satelit Parigi &amp; Gorontalo</t>
  </si>
  <si>
    <t>Parigi</t>
  </si>
  <si>
    <t>Allowance</t>
  </si>
  <si>
    <t xml:space="preserve">   </t>
  </si>
  <si>
    <t xml:space="preserve"> Pengiriman  PL. 4 untuk Hatchery Satelit Gorontalo                                                 : </t>
  </si>
  <si>
    <t>BULAN JANUARI 2019</t>
  </si>
  <si>
    <t>Januari 2019</t>
  </si>
  <si>
    <t>"JANUARI 2018"</t>
  </si>
  <si>
    <t>Tahun 2018</t>
  </si>
  <si>
    <t>Jalang'E, 01 Februari 2019</t>
  </si>
  <si>
    <t>REALISASI PEMASARAN BULAN JANUARI 2019</t>
  </si>
  <si>
    <t>REKAB PENJUALAN NENER BULAN JANUARI 2019</t>
  </si>
  <si>
    <t>13. Bengkulu/ Bengkalis/ Pekanbaru/ Medan</t>
  </si>
  <si>
    <t>Ada Bantuan di Unit II sebanyak 60.000 ekor</t>
  </si>
  <si>
    <t>UNTUK TANGGAL :  01 S/D 31 JANUARI 2019</t>
  </si>
  <si>
    <t>PENJ. S/D TGL. 30</t>
  </si>
  <si>
    <t>PENJ. TGL. 31</t>
  </si>
  <si>
    <t>UNTUK TANGGAL :  01 S/D 31 JANUARI 2019 (Ekor)</t>
  </si>
  <si>
    <t>BULAN FEBRUARI 2019</t>
  </si>
  <si>
    <t>TARGET PEMDA</t>
  </si>
  <si>
    <t>REALISASI JANUARI</t>
  </si>
  <si>
    <t xml:space="preserve">  1. Polman</t>
  </si>
  <si>
    <t xml:space="preserve">  1. Mamuju</t>
  </si>
  <si>
    <t xml:space="preserve">  1. Mamuju Utara</t>
  </si>
  <si>
    <t xml:space="preserve">  2. Donggala, Sulteng</t>
  </si>
  <si>
    <t>I</t>
  </si>
  <si>
    <t>F</t>
  </si>
  <si>
    <t xml:space="preserve"> Muh. Albar, S.PI/ Arifin &amp; Hardiansyah</t>
  </si>
  <si>
    <t xml:space="preserve"> Ilyas S.Pi</t>
  </si>
  <si>
    <t xml:space="preserve"> Eleaser, A.Md.Pi/ Oksar Manalang</t>
  </si>
  <si>
    <t xml:space="preserve"> Eleaser, A.Md.Pi</t>
  </si>
  <si>
    <t xml:space="preserve"> Fachruddin,S.Pi</t>
  </si>
  <si>
    <t xml:space="preserve"> Total A  1 . . . . . . . . . . . . . . . .</t>
  </si>
  <si>
    <t xml:space="preserve"> 1. Parigi, Sulteng</t>
  </si>
  <si>
    <t xml:space="preserve"> 2. Poso, Sulteng</t>
  </si>
  <si>
    <t xml:space="preserve"> 1. Moutong, Sulteng</t>
  </si>
  <si>
    <t xml:space="preserve"> Syahrun Nuzul Kira'ah, S.Pi</t>
  </si>
  <si>
    <t xml:space="preserve"> Hasrul, S.Pi</t>
  </si>
  <si>
    <t xml:space="preserve"> 1. Gorontalo</t>
  </si>
  <si>
    <t xml:space="preserve"> Putra Jaya Sasmita, S.Pi</t>
  </si>
  <si>
    <t xml:space="preserve"> 1. Luwu</t>
  </si>
  <si>
    <t xml:space="preserve"> 2. Palopo</t>
  </si>
  <si>
    <t xml:space="preserve"> 1. Luwu Utara</t>
  </si>
  <si>
    <t xml:space="preserve"> Yusri Suhaeri Ilyas, S.Pi</t>
  </si>
  <si>
    <t xml:space="preserve"> 1. Luwu Timur</t>
  </si>
  <si>
    <t xml:space="preserve"> 2. Morowali, Sulteng</t>
  </si>
  <si>
    <t xml:space="preserve"> Ahmad, A.Md.Pi</t>
  </si>
  <si>
    <t xml:space="preserve"> 1. Kolaka Utara</t>
  </si>
  <si>
    <t>TARGET DAN REALISASI PEMASARAN DAERAH</t>
  </si>
  <si>
    <t xml:space="preserve"> Ahmad, A.Md.Pi/ Munandar</t>
  </si>
  <si>
    <t xml:space="preserve"> Syahrul Usman, A.Md.Pi</t>
  </si>
  <si>
    <t xml:space="preserve"> 1. Bombana</t>
  </si>
  <si>
    <t xml:space="preserve"> 2. Konawe Selatan</t>
  </si>
  <si>
    <t xml:space="preserve"> Zainul Abidin, A.Md.Pi</t>
  </si>
  <si>
    <t xml:space="preserve"> 1. Raha</t>
  </si>
  <si>
    <t xml:space="preserve"> 1. Kolaka Kota</t>
  </si>
  <si>
    <t>G</t>
  </si>
  <si>
    <t>H</t>
  </si>
  <si>
    <t>J</t>
  </si>
  <si>
    <t>K</t>
  </si>
  <si>
    <t>L</t>
  </si>
  <si>
    <t>M</t>
  </si>
  <si>
    <t>N</t>
  </si>
  <si>
    <t>O</t>
  </si>
  <si>
    <t xml:space="preserve"> Total B  1 . . . . . . . . . . . . . . . .</t>
  </si>
  <si>
    <t xml:space="preserve"> Total C  1 . . . . . . . . . . . . . . . .</t>
  </si>
  <si>
    <t xml:space="preserve"> Total D  1 . . . . . . . . . . . . . . . .</t>
  </si>
  <si>
    <t xml:space="preserve"> Total E  1 . . . . . . . . . . . . . . . .</t>
  </si>
  <si>
    <t xml:space="preserve"> Total F  1 . . . . . . . . . . . . . . . .</t>
  </si>
  <si>
    <t xml:space="preserve"> Total G  1 . . . . . . . . . . . . . . . .</t>
  </si>
  <si>
    <t xml:space="preserve"> Total H  1 . . . . . . . . . . . . . . . .</t>
  </si>
  <si>
    <t xml:space="preserve"> Total I  1 . . . . . . . . . . . . . . . .</t>
  </si>
  <si>
    <t xml:space="preserve"> Total J  1 . . . . . . . . . . . . . . . .</t>
  </si>
  <si>
    <t xml:space="preserve"> Total K  1 . . . . . . . . . . . . . . . .</t>
  </si>
  <si>
    <t xml:space="preserve"> Total L  1 . . . . . . . . . . . . . . . .</t>
  </si>
  <si>
    <t xml:space="preserve"> Total M  1 . . . . . . . . . . . . . . . .</t>
  </si>
  <si>
    <t xml:space="preserve"> TotalN A  1 . . . . . . . . . . . . . . . .</t>
  </si>
  <si>
    <t xml:space="preserve"> Total O  1 . . . . . . . . . . . . . . . .</t>
  </si>
  <si>
    <t>P</t>
  </si>
  <si>
    <t xml:space="preserve"> Eleaser, A.Md.Pi/ Valdi Arnada P</t>
  </si>
  <si>
    <t xml:space="preserve"> Yusri Suhaeri Ilyas, S.Pi/ Abdul Malik</t>
  </si>
  <si>
    <t xml:space="preserve"> 1. Barru</t>
  </si>
  <si>
    <t xml:space="preserve"> 3. Maros</t>
  </si>
  <si>
    <t xml:space="preserve"> 2. Pangkep</t>
  </si>
  <si>
    <t xml:space="preserve"> Total P  1 . . . . . . . . . . . . . . . .</t>
  </si>
  <si>
    <t>Q</t>
  </si>
  <si>
    <t xml:space="preserve"> Doortje Renny Rifai, S.Ip/ Sam Nugraha K</t>
  </si>
  <si>
    <t xml:space="preserve"> 1. Wajo</t>
  </si>
  <si>
    <t xml:space="preserve"> 2. Bone</t>
  </si>
  <si>
    <t xml:space="preserve"> 3. Sinjai</t>
  </si>
  <si>
    <t xml:space="preserve"> Total Q  1 . . . . . . . . . . . . . . . .</t>
  </si>
  <si>
    <t xml:space="preserve"> Andi Erwin Salam, S.Si/ Ahmad Sukardji</t>
  </si>
  <si>
    <t xml:space="preserve">  1. Kolaka Utara</t>
  </si>
  <si>
    <t xml:space="preserve"> Muh. Albar, S.Pi/ Arifin &amp; Syahrul Usman</t>
  </si>
  <si>
    <t xml:space="preserve"> 1. Pinrang</t>
  </si>
  <si>
    <t xml:space="preserve"> Ilyas/ S.Pi</t>
  </si>
  <si>
    <t xml:space="preserve"> 1. Polman</t>
  </si>
  <si>
    <t xml:space="preserve"> 1. Morowali, Sulteng</t>
  </si>
  <si>
    <t xml:space="preserve"> Yusri Suhaeri Ilyas, S.Pi/ Abdul Malik S</t>
  </si>
  <si>
    <t xml:space="preserve"> 1. Parepare</t>
  </si>
  <si>
    <t xml:space="preserve"> 2. Barru</t>
  </si>
  <si>
    <t xml:space="preserve"> 3. Pangkep</t>
  </si>
  <si>
    <t xml:space="preserve"> 4. Maros</t>
  </si>
  <si>
    <t xml:space="preserve"> Fachruddin, S.Pi</t>
  </si>
  <si>
    <t xml:space="preserve"> Zaenul Abidin, A.Md.Pi</t>
  </si>
  <si>
    <t xml:space="preserve"> Syahrun Nuzul K, S.Pi</t>
  </si>
  <si>
    <t xml:space="preserve"> Hardiansyah, A.Md.Pi</t>
  </si>
  <si>
    <t xml:space="preserve"> 2. Konawe</t>
  </si>
  <si>
    <t xml:space="preserve"> 1. Donggala</t>
  </si>
  <si>
    <t xml:space="preserve"> Total E  1-2 . . . . . . . . . . . . . . . .</t>
  </si>
  <si>
    <t xml:space="preserve"> Eleaser, A.Md.Pi/ Oksar Manala</t>
  </si>
  <si>
    <t xml:space="preserve"> 1. Mamuju</t>
  </si>
  <si>
    <t xml:space="preserve"> Eleaser, A.Md.Pi/ Valdi Arnadda P</t>
  </si>
  <si>
    <t xml:space="preserve"> 1. Mamuju Tengah</t>
  </si>
  <si>
    <t xml:space="preserve"> Yusri Suhaeri Ilyas, S.Pi/ Wawan Gunawan</t>
  </si>
  <si>
    <t xml:space="preserve"> Total F  1-2 . . . . . . . . . . . . . . . .</t>
  </si>
  <si>
    <t xml:space="preserve"> Total J  1-3 . . . . . . . . . . . . . . . .</t>
  </si>
  <si>
    <t xml:space="preserve"> Total K  1-4 . . . . . . . . . . . . . . . .</t>
  </si>
  <si>
    <t xml:space="preserve"> TotalN L  1 . . . . . . . . . . . . . . . .</t>
  </si>
  <si>
    <t xml:space="preserve"> 2. Mamuju Utara</t>
  </si>
  <si>
    <t xml:space="preserve">   Total Wilayah  I + II + III</t>
  </si>
  <si>
    <t>JUMLAH PENJUALAN</t>
  </si>
  <si>
    <t>"FEBRUARI 2019"</t>
  </si>
  <si>
    <t>REALISASI PEMASARAN BULAN FEBRUARI2019</t>
  </si>
  <si>
    <t>REKAB PENJUALAN NENER BULAN FEBRUARI 2019</t>
  </si>
  <si>
    <t xml:space="preserve"> Sub Total G 1, H 1 &amp; I  1 . . . . . . . . . . . . . . . .</t>
  </si>
  <si>
    <t xml:space="preserve"> Sub Total P 1-2, Q 1 &amp; R  1 . . . . . . . . . . . . . . . .</t>
  </si>
  <si>
    <t xml:space="preserve"> Sub Total A 1 &amp; B 1 . . . . . . . . . . . . . . . .</t>
  </si>
  <si>
    <t xml:space="preserve"> 2. Moutong, Sulteng</t>
  </si>
  <si>
    <t xml:space="preserve"> Total C  1-2 . . . . . . . . . . . . . . . .</t>
  </si>
  <si>
    <t xml:space="preserve"> Total M  1-2 . . . . . . . . . . . . . . . .</t>
  </si>
  <si>
    <t xml:space="preserve"> Total N  1 . . . . . . . . . . . . . . . .</t>
  </si>
  <si>
    <t xml:space="preserve"> Total O  1-2 . . . . . . . . . . . . . . . .</t>
  </si>
  <si>
    <t xml:space="preserve"> </t>
  </si>
  <si>
    <t>II</t>
  </si>
  <si>
    <t xml:space="preserve"> WILAYAH I, II &amp; II</t>
  </si>
  <si>
    <t xml:space="preserve"> 1. Majene</t>
  </si>
  <si>
    <t xml:space="preserve"> WILAYAH I &amp; WILAYAH II (Tanggung Jawab Pemasaran Daerah)</t>
  </si>
  <si>
    <t xml:space="preserve"> 2. Palu, Sulteng</t>
  </si>
  <si>
    <t xml:space="preserve"> Total A  2 . . . . . . . . . . . . . . . .</t>
  </si>
  <si>
    <t xml:space="preserve"> 3. Poso, Sulteng</t>
  </si>
  <si>
    <t xml:space="preserve"> Total A  3 . . . . . . . . . . . . . . . .</t>
  </si>
  <si>
    <t xml:space="preserve"> 4. Tolitoli, Sulteng</t>
  </si>
  <si>
    <t xml:space="preserve"> Total A  4 . . . . . . . . . . . . . . . .</t>
  </si>
  <si>
    <t xml:space="preserve"> Wilayah I</t>
  </si>
  <si>
    <t xml:space="preserve"> Wilayah II</t>
  </si>
  <si>
    <t xml:space="preserve"> 1. Makassar</t>
  </si>
  <si>
    <t xml:space="preserve"> 2. Takalar</t>
  </si>
  <si>
    <t xml:space="preserve"> 3. Jeneponto</t>
  </si>
  <si>
    <t xml:space="preserve"> Total B  2 . . . . . . . . . . . . . . . .</t>
  </si>
  <si>
    <t xml:space="preserve"> Total B  3 . . . . . . . . . . . . . . . .</t>
  </si>
  <si>
    <t xml:space="preserve"> 4. Bulukumba/ Selayar/ Banataeng</t>
  </si>
  <si>
    <t xml:space="preserve"> Sub Total A 1 - A 4 . . . . . . . . . . . . . . . .</t>
  </si>
  <si>
    <t xml:space="preserve"> Wilayah III</t>
  </si>
  <si>
    <t xml:space="preserve"> Total C  2 . . . . . . . . . . . . . . . .</t>
  </si>
  <si>
    <t xml:space="preserve"> Total C  3 . . . . . . . . . . . . . . . .</t>
  </si>
  <si>
    <t xml:space="preserve"> Total C  4 . . . . . . . . . . . . . . . .</t>
  </si>
  <si>
    <t xml:space="preserve"> Total C  5 . . . . . . . . . . . . . . . .</t>
  </si>
  <si>
    <t xml:space="preserve"> Total C  6 . . . . . . . . . . . . . . . .</t>
  </si>
  <si>
    <t xml:space="preserve"> Total C  7 . . . . . . . . . . . . . . . .</t>
  </si>
  <si>
    <t xml:space="preserve"> Total C  8 . . . . . . . . . . . . . . . .</t>
  </si>
  <si>
    <t xml:space="preserve"> Total C  9 . . . . . . . . . . . . . . . .</t>
  </si>
  <si>
    <t xml:space="preserve"> Total C  10 . . . . . . . . . . . . . . . .</t>
  </si>
  <si>
    <t xml:space="preserve"> Total C  12 . . . . . . . . . . . . . . . .</t>
  </si>
  <si>
    <t xml:space="preserve"> Total C  13 . . . . . . . . . . . . . . . .</t>
  </si>
  <si>
    <t xml:space="preserve"> Total C  11 . . . . . . . . . . . . . . . .</t>
  </si>
  <si>
    <t xml:space="preserve"> Total C  14 . . . . . . . . . . . . . . . .</t>
  </si>
  <si>
    <t>SUB TOTAL II A, II B, &amp; IIC</t>
  </si>
  <si>
    <t xml:space="preserve"> Sub Total C 1 - C 14 . . . . . . . . . . . . . . . .</t>
  </si>
  <si>
    <t>SUB TOTAL I A - I Q</t>
  </si>
  <si>
    <t xml:space="preserve"> 3. Kendari</t>
  </si>
  <si>
    <t xml:space="preserve"> 4. Konawe Selatan</t>
  </si>
  <si>
    <t xml:space="preserve"> 6. Muna Barat</t>
  </si>
  <si>
    <t xml:space="preserve"> 5. Konawe Utara</t>
  </si>
  <si>
    <t xml:space="preserve"> Sub Total B 1 - B 3 . . . . . . . . . . . . . . . .</t>
  </si>
  <si>
    <t xml:space="preserve"> Andi Erwin Salam, S.Si</t>
  </si>
  <si>
    <t>Jalang'E, 01 Maret 2019</t>
  </si>
  <si>
    <t>UNTUK TANGGAL :  01 S/D 28 FEBRUARI 2019</t>
  </si>
  <si>
    <t>PENJ. S/D TGL. 27</t>
  </si>
  <si>
    <t>PENJ. TGL. 28</t>
  </si>
  <si>
    <t>UNTUK TANGGAL :  01 S/D 28 FEBRUARI 2019 (Ekor)</t>
  </si>
  <si>
    <t>SUB TOTAL II A, II B, &amp; II C</t>
  </si>
  <si>
    <t>REALISASI PEMASARAN BULAN MARET 2019</t>
  </si>
  <si>
    <t>Maret 2019</t>
  </si>
  <si>
    <t>"MARET 2019"</t>
  </si>
  <si>
    <t>REALISASI FEBRUARI</t>
  </si>
  <si>
    <t xml:space="preserve">                                   Cash Back                                             :</t>
  </si>
  <si>
    <t xml:space="preserve">                                   Penggantian                                         :</t>
  </si>
  <si>
    <t xml:space="preserve">                                   Jumlah Realisasi Penjualan                 :</t>
  </si>
  <si>
    <t xml:space="preserve">                                   Jumlah Penjualan                                : </t>
  </si>
  <si>
    <t>Moutong</t>
  </si>
  <si>
    <t xml:space="preserve"> Pengiriman  PL. 4 untuk Hatchery Satelit Parigi, Sulteng</t>
  </si>
  <si>
    <t xml:space="preserve"> Pengiriman  PL. 4 untuk Hatchery Satelit Gorontalo     </t>
  </si>
  <si>
    <t>17. Muna/ Raha/ Buton, Sultra</t>
  </si>
  <si>
    <t>13. Bombana, Sultra</t>
  </si>
  <si>
    <t>17. Muna/ Raha, Sultra</t>
  </si>
  <si>
    <t>18. Buton, Sultra</t>
  </si>
  <si>
    <t>UNTUK TANGGAL :  01 S/D 31 MARET 2019</t>
  </si>
  <si>
    <t>PENJ. S/D TGL. 29</t>
  </si>
  <si>
    <t>Jalang'E, 01 April 2019</t>
  </si>
  <si>
    <t>UNTUK TANGGAL :  01 S/D 31 MARET 2019 (Ekor)</t>
  </si>
  <si>
    <t>PENJ. TGL. 30 &amp; 31</t>
  </si>
  <si>
    <t>REALISASI PEMASARAN BULAN APRIL 2019</t>
  </si>
  <si>
    <t>REKAB PENJUALAN NENER BULAN APRIL 2019</t>
  </si>
  <si>
    <t>REKAB PENJUALAN NENER BULAN MARET 2019</t>
  </si>
  <si>
    <t>Februari  2019</t>
  </si>
  <si>
    <t>Rata-Rata 2019</t>
  </si>
  <si>
    <t>Total 2019</t>
  </si>
  <si>
    <t>UNTUK TANGGAL :  01 S/D 30 APRIL 2019</t>
  </si>
  <si>
    <t>PENJ. TGL. 30</t>
  </si>
  <si>
    <t>UNTUK TANGGAL :  01 S/D 30 APRIL 2019 (Ekor)</t>
  </si>
  <si>
    <t>Jalang'E, 01 Mei 2019</t>
  </si>
  <si>
    <t>`April 2019</t>
  </si>
  <si>
    <t>Kendari</t>
  </si>
  <si>
    <t>REALISASI PEMASARAN BULAN JUNI 2019</t>
  </si>
  <si>
    <t>REALISASI PEMASARAN BULAN MEI 2019</t>
  </si>
  <si>
    <t>REKAB PENJUALAN NENER BULAN MEI 2019</t>
  </si>
  <si>
    <t>REKAB PENJUALAN NENER BULAN JUNI 2019</t>
  </si>
  <si>
    <t>Mei 2019</t>
  </si>
  <si>
    <t>Jalang'E, 01 Juni 2019</t>
  </si>
  <si>
    <t>UNTUK TANGGAL :  01 S/D 31 MEI 2019</t>
  </si>
  <si>
    <t>UNTUK TANGGAL :  01 S/D 31 MEI 2019 (Ekor)</t>
  </si>
  <si>
    <t>Juni 2019</t>
  </si>
  <si>
    <t>Jalang'E, 01 Juli 2019</t>
  </si>
  <si>
    <t>REALISASI PEMASARAN BULAN JULI 2019</t>
  </si>
  <si>
    <t>REKAB PENJUALAN NENER BULAN JULI 2019</t>
  </si>
  <si>
    <t>UNTUK TANGGAL :  01 S/D 30 JUNI 2019</t>
  </si>
  <si>
    <t>PENJ. S/D TGL. 28</t>
  </si>
  <si>
    <t>PENJ. TGL. 29 &amp; 30</t>
  </si>
  <si>
    <t>UNTUK TANGGAL :  01 S/D 30 JUNI 2019 (Ekor)</t>
  </si>
  <si>
    <t>Juli 2019</t>
  </si>
  <si>
    <t>UNTUK TANGGAL :  01 S/D 31 JULI 2019</t>
  </si>
  <si>
    <t>Jalang'E, 01 Agustus 2019</t>
  </si>
  <si>
    <t>UNTUK TANGGAL :  01 S/D 31 JULI 2019 (Ekor)</t>
  </si>
  <si>
    <t>Agustus 2019</t>
  </si>
  <si>
    <t>REALISASI PEMASARAN BULAN AGUSTUS 2019</t>
  </si>
  <si>
    <t>REKAB PENJUALAN NENER BULAN AGUSTUS 2019</t>
  </si>
  <si>
    <t xml:space="preserve">NB : </t>
  </si>
  <si>
    <t>REALISASI PEMASARAN BULAN SEPTEMBER 2019</t>
  </si>
  <si>
    <t>Jalang'E, 02 September 2019</t>
  </si>
  <si>
    <t>REKAB PENJUALAN NENER BULAN SEPTEMBER 2019</t>
  </si>
  <si>
    <t>UNTUK TANGGAL :  01 S/D 31 AGUSTUS 2019</t>
  </si>
  <si>
    <t>UNTUK TANGGAL :  01 S/D 31 AGUSTUS 2019 (Ekor)</t>
  </si>
  <si>
    <t>17. Moutong &amp; Tolitoli, Sulteng</t>
  </si>
  <si>
    <t>18. Gorontalo</t>
  </si>
  <si>
    <t xml:space="preserve">   -  Bulukumba Intensif</t>
  </si>
  <si>
    <t>16. Parigi, Palu &amp; Poso, Sulteng</t>
  </si>
  <si>
    <t>Jalang'E, 01 Oktober 2019</t>
  </si>
  <si>
    <t>`Sept 2019</t>
  </si>
  <si>
    <t>REALISASI PEMASARAN BULAN OKTOBER 2019</t>
  </si>
  <si>
    <t>UNTUK TANGGAL :  01 S/D 30 SEPTEMBER 2019</t>
  </si>
  <si>
    <t>UNTUK TANGGAL :  01 S/D 30 SEPTEMBER 2019 (Ekor)</t>
  </si>
  <si>
    <t>TAHUN 2017 S/D 30 SEPTEMBER 2019</t>
  </si>
  <si>
    <t>REKAB PENJUALAN NENER BULAN  2019</t>
  </si>
  <si>
    <t>`Okt 2019</t>
  </si>
  <si>
    <t>REALISASI PEMASARAN BULAN NOVEMBER 2019</t>
  </si>
  <si>
    <t>REKAB PENJUALAN NENER BULAN NOVEMBER 2019</t>
  </si>
  <si>
    <t>UNTUK TANGGAL :  01 S/D 31 OKTOBER 2019</t>
  </si>
  <si>
    <t>Jalang'E 01 November 2019</t>
  </si>
  <si>
    <t>UNTUK TANGGAL :  01 S/D 31 OKTOBER 2019 (Ekor)</t>
  </si>
  <si>
    <t>`Nov 2019</t>
  </si>
  <si>
    <t>Jalang'E, 02 Desember 2019</t>
  </si>
  <si>
    <t>UNTUK TANGGAL :  01 S/D 30 NOVEMBER 2019</t>
  </si>
  <si>
    <t>UNTUK TANGGAL :  01 S/D 30 NOVEMBER 2019 (Ekor)</t>
  </si>
  <si>
    <t>( Satuan Ekor  1 : 1.000 )</t>
  </si>
  <si>
    <t>Des 2019</t>
  </si>
  <si>
    <t>No</t>
  </si>
  <si>
    <t>Pemasaran Daerah</t>
  </si>
  <si>
    <t>Wilayah</t>
  </si>
  <si>
    <t>Asist. Korwil</t>
  </si>
  <si>
    <t>: Eleaser</t>
  </si>
  <si>
    <t>Sulawesi Barat</t>
  </si>
  <si>
    <t xml:space="preserve">Anggota </t>
  </si>
  <si>
    <t>: Valdi Arnada</t>
  </si>
  <si>
    <t>Donggala</t>
  </si>
  <si>
    <t>Mamuju</t>
  </si>
  <si>
    <t>Mamuju Utara</t>
  </si>
  <si>
    <t>Mamuju Tengah</t>
  </si>
  <si>
    <t>Polman</t>
  </si>
  <si>
    <t>Majene</t>
  </si>
  <si>
    <t>: Fachruddin</t>
  </si>
  <si>
    <t>Sulawesi Tengah/ Gorontalo</t>
  </si>
  <si>
    <t>: Arifin</t>
  </si>
  <si>
    <t xml:space="preserve">  Syahrun Nuzul K</t>
  </si>
  <si>
    <t>Toli Toli</t>
  </si>
  <si>
    <t>Palu</t>
  </si>
  <si>
    <t>Poso</t>
  </si>
  <si>
    <t>Morowali</t>
  </si>
  <si>
    <t>: Yusri Suhaeri</t>
  </si>
  <si>
    <t>Luwu Raya</t>
  </si>
  <si>
    <t>: Abd Malik S</t>
  </si>
  <si>
    <t>Luwu Utara</t>
  </si>
  <si>
    <t>Luwu Timur</t>
  </si>
  <si>
    <t>Luwu</t>
  </si>
  <si>
    <t>Palopo</t>
  </si>
  <si>
    <t>: Ahmad Muhammad</t>
  </si>
  <si>
    <t>Sulawesi Tenggara</t>
  </si>
  <si>
    <t>: Munandar</t>
  </si>
  <si>
    <t>Kolaka Utara</t>
  </si>
  <si>
    <t xml:space="preserve">  Hardyansyah</t>
  </si>
  <si>
    <t>Kolaka Kota</t>
  </si>
  <si>
    <t xml:space="preserve">  Zaenul</t>
  </si>
  <si>
    <t xml:space="preserve">Bombana </t>
  </si>
  <si>
    <t>Konawe Selatan</t>
  </si>
  <si>
    <t>Konawe Utara</t>
  </si>
  <si>
    <t xml:space="preserve">Raha </t>
  </si>
  <si>
    <t>Buton</t>
  </si>
  <si>
    <t>Pinrang</t>
  </si>
  <si>
    <t>: Wahyudi</t>
  </si>
  <si>
    <t>Wilayah II</t>
  </si>
  <si>
    <t>Pare Pare</t>
  </si>
  <si>
    <t>Barru</t>
  </si>
  <si>
    <t xml:space="preserve">Pangkep </t>
  </si>
  <si>
    <t>Maros</t>
  </si>
  <si>
    <t>: Sam Nugraha Kinas</t>
  </si>
  <si>
    <t>Wajo</t>
  </si>
  <si>
    <t>Bone</t>
  </si>
  <si>
    <t>Sinjai</t>
  </si>
  <si>
    <t>Bulukumba/Selayar/Bantaeng</t>
  </si>
  <si>
    <t>Bulukumba (Intensif)</t>
  </si>
  <si>
    <t>Jeneponto</t>
  </si>
  <si>
    <t>Takalar (Intensif)</t>
  </si>
  <si>
    <t>Makassar</t>
  </si>
  <si>
    <t>ANTAR PULAU</t>
  </si>
  <si>
    <t>Luwuk Banggai</t>
  </si>
  <si>
    <t>Yogyakarta</t>
  </si>
  <si>
    <t>Ternate</t>
  </si>
  <si>
    <t>Gresik</t>
  </si>
  <si>
    <t>Sumbawa/ Lombok</t>
  </si>
  <si>
    <t>Berau, Kal. Utara</t>
  </si>
  <si>
    <t>Semarang</t>
  </si>
  <si>
    <t>Papua/ Jaya Pura</t>
  </si>
  <si>
    <t>Pangkal Pinang</t>
  </si>
  <si>
    <t>Bengkulu/ Bengkalis</t>
  </si>
  <si>
    <t>Manado</t>
  </si>
  <si>
    <t>: Riswandi</t>
  </si>
  <si>
    <t>: Wawan Gunawan</t>
  </si>
  <si>
    <t>Tahun 2019</t>
  </si>
  <si>
    <t>Januari 2020</t>
  </si>
  <si>
    <t>Total</t>
  </si>
  <si>
    <t>Rata-rata</t>
  </si>
  <si>
    <t>Tarakan/ Nunukan, Kalut</t>
  </si>
  <si>
    <t>Balikpapan/ Samarinda, Kaltim</t>
  </si>
  <si>
    <t>Tuban/ Surabaya</t>
  </si>
  <si>
    <t>GRAND TOTAL</t>
  </si>
  <si>
    <t>Februari 2020</t>
  </si>
  <si>
    <t>Maret 2020</t>
  </si>
  <si>
    <t>April 2020</t>
  </si>
  <si>
    <t>Mei 2020</t>
  </si>
  <si>
    <t>Juni 2020</t>
  </si>
  <si>
    <t>Parigi (Intensif)</t>
  </si>
  <si>
    <t>Pontianak, Kalbar</t>
  </si>
  <si>
    <t>Juli 2020</t>
  </si>
  <si>
    <t>Batu Licin, Kalimantan</t>
  </si>
  <si>
    <t>Agustus 2020</t>
  </si>
  <si>
    <t>September 2020</t>
  </si>
  <si>
    <t>: Putra Jaya Sasmita</t>
  </si>
  <si>
    <t>: Syahrul Usman</t>
  </si>
  <si>
    <t>Oktober 2020</t>
  </si>
  <si>
    <t>November 2020</t>
  </si>
  <si>
    <t>Desember 2020</t>
  </si>
  <si>
    <t>Jalang'E, 02 Januari 2020</t>
  </si>
  <si>
    <t>TAHUN 2017 S/D 31 DESEMBER 2020</t>
  </si>
  <si>
    <t>Tahun 2020</t>
  </si>
  <si>
    <t>Januari 2021</t>
  </si>
  <si>
    <t>Lingadan (Intensif)</t>
  </si>
  <si>
    <t>Sinay, Parigi (Intensif)</t>
  </si>
  <si>
    <t>Jalang'E (Petak 7,8,9)</t>
  </si>
  <si>
    <t>Jalang'E (Petak 3)</t>
  </si>
  <si>
    <t>Tambak Intensif</t>
  </si>
  <si>
    <t>Februari 2021</t>
  </si>
  <si>
    <t>Maret 2021</t>
  </si>
  <si>
    <t>April 2021</t>
  </si>
  <si>
    <t>No.</t>
  </si>
  <si>
    <t>Mei 2021</t>
  </si>
  <si>
    <t>Juni 2021</t>
  </si>
  <si>
    <t>Juli 2021</t>
  </si>
  <si>
    <t>Agustus 2021</t>
  </si>
  <si>
    <t>September 2021</t>
  </si>
  <si>
    <t>Oktober 2021</t>
  </si>
  <si>
    <t>November 2021</t>
  </si>
  <si>
    <t>TAHUN 2017 S/D 31 Desember 2021</t>
  </si>
  <si>
    <t>Desember 2021</t>
  </si>
  <si>
    <t>Jalang'E, 01 Januari 2022</t>
  </si>
  <si>
    <t>Tahun 2021</t>
  </si>
  <si>
    <t>Januari 2022</t>
  </si>
  <si>
    <t>Februari 2022</t>
  </si>
  <si>
    <t>Maret 2022</t>
  </si>
  <si>
    <t>April 2022</t>
  </si>
  <si>
    <t>Mei 2022</t>
  </si>
  <si>
    <t>Juni 2022</t>
  </si>
  <si>
    <t>Juli 2022</t>
  </si>
  <si>
    <t>Agustus 2022</t>
  </si>
  <si>
    <t>September 2022</t>
  </si>
  <si>
    <t>Oktober 2022</t>
  </si>
  <si>
    <t>November 2022</t>
  </si>
  <si>
    <t>Desember 2022</t>
  </si>
  <si>
    <t>Donggulu (Intens)</t>
  </si>
  <si>
    <t>Buol</t>
  </si>
  <si>
    <t>Dampal (Intensif)</t>
  </si>
  <si>
    <t>TAHUN 2017 S/D 31 Desember 2022</t>
  </si>
  <si>
    <t>Tahun 2022</t>
  </si>
  <si>
    <t>Jalang'E (Petak 7, 8 9)</t>
  </si>
  <si>
    <t>Donggulu 1</t>
  </si>
  <si>
    <t>Donggulu 2</t>
  </si>
  <si>
    <t xml:space="preserve">Tomoli, Parigi </t>
  </si>
  <si>
    <t>Siney, Parigi</t>
  </si>
  <si>
    <t xml:space="preserve">Bambapula 1, Dampal </t>
  </si>
  <si>
    <t>Lado ABCD, Parigi</t>
  </si>
  <si>
    <t>Babanji ABCD, Dampal</t>
  </si>
  <si>
    <t xml:space="preserve">Bambapula 2, Dampal </t>
  </si>
  <si>
    <t>Lombonga, Donggala</t>
  </si>
  <si>
    <t>Sulawesi Tengah</t>
  </si>
  <si>
    <t>: Hasrul Hasan</t>
  </si>
  <si>
    <t>Luwuk Banggai (Intensif)</t>
  </si>
  <si>
    <t>Tahun 2023</t>
  </si>
  <si>
    <t>Januari 2024</t>
  </si>
  <si>
    <t>Februari 2024</t>
  </si>
  <si>
    <t>Maret 2024</t>
  </si>
  <si>
    <t>April 2024</t>
  </si>
  <si>
    <t>Mei 2024</t>
  </si>
  <si>
    <t>Juni 2024</t>
  </si>
  <si>
    <t>Juli 2024</t>
  </si>
  <si>
    <t>Agustus 2024</t>
  </si>
  <si>
    <t>September 2024</t>
  </si>
  <si>
    <t>Oktober 2024</t>
  </si>
  <si>
    <t>November 2024</t>
  </si>
  <si>
    <t>Desember 2024</t>
  </si>
  <si>
    <t>Lingadan Perusahaan</t>
  </si>
  <si>
    <t>Lingadan Masyarakat</t>
  </si>
  <si>
    <t>Tambak Intensif Luar</t>
  </si>
  <si>
    <t>Tambak Intensif Perusahaan</t>
  </si>
  <si>
    <t>Korwil</t>
  </si>
  <si>
    <t>: Ismed Akhdiat</t>
  </si>
  <si>
    <t>Luwu Raya 1</t>
  </si>
  <si>
    <t>Luwu Raya 2</t>
  </si>
  <si>
    <t>TAHUN 2017 S/D 31 DESEMBER 2024</t>
  </si>
  <si>
    <t>Tahun 2024</t>
  </si>
  <si>
    <t>Januari 2025</t>
  </si>
  <si>
    <t>Februari 2025</t>
  </si>
  <si>
    <t>Maret 2025</t>
  </si>
  <si>
    <t>April 2025</t>
  </si>
  <si>
    <t>Mei 2025</t>
  </si>
  <si>
    <t>Juni 2025</t>
  </si>
  <si>
    <t>Juli 2025</t>
  </si>
  <si>
    <t>Agustus 2025</t>
  </si>
  <si>
    <t>September 2025</t>
  </si>
  <si>
    <t>Oktober 2025</t>
  </si>
  <si>
    <t>November 2025</t>
  </si>
  <si>
    <t>Desember 2025</t>
  </si>
  <si>
    <t>Bambapula 2, Dampal Blok A</t>
  </si>
  <si>
    <t>Bambapula 2, Dampal Blok B</t>
  </si>
  <si>
    <t>Lado, Parigi</t>
  </si>
  <si>
    <t>Mamuju Utara (Intensif)</t>
  </si>
  <si>
    <t>Moutong (intensif)</t>
  </si>
  <si>
    <t>Morowali (Intensif)</t>
  </si>
  <si>
    <t>TAHUN 2017 S/D 31 Oktober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</si>
</sst>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_);_(* \(#,##0\);_(* &quot;-&quot;_);_(@_)"/>
    <numFmt numFmtId="165" formatCode="_(* #,##0.00_);_(* \(#,##0.00\);_(* &quot;-&quot;??_);_(@_)"/>
    <numFmt numFmtId="166" formatCode="_(* #,##0.00_);_(* \(#,##0.00\);_(* &quot;-&quot;_);_(@_)"/>
    <numFmt numFmtId="167" formatCode="_(* #,##0.0_);_(* \(#,##0.0\);_(* &quot;-&quot;_);_(@_)"/>
    <numFmt numFmtId="168" formatCode="_(&quot;$&quot;* #,##0.0_);_(&quot;$&quot;* \(#,##0.0\);_(&quot;$&quot;* &quot;-&quot;?_);_(@_)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rgb="FFC00000"/>
      <name val="Arial"/>
      <family val="2"/>
    </font>
    <font>
      <b/>
      <sz val="11"/>
      <color theme="1"/>
      <name val="Arial"/>
      <family val="2"/>
    </font>
    <font>
      <b/>
      <sz val="11"/>
      <color rgb="FF0070C0"/>
      <name val="Arial"/>
      <family val="2"/>
    </font>
    <font>
      <b/>
      <sz val="11"/>
      <color rgb="FF00B050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1"/>
      <name val="Arial"/>
      <family val="2"/>
    </font>
    <font>
      <b/>
      <u val="singleAccounting"/>
      <sz val="11"/>
      <color theme="1"/>
      <name val="Arial"/>
      <family val="2"/>
    </font>
    <font>
      <b/>
      <sz val="10"/>
      <color theme="1"/>
      <name val="Arial"/>
      <family val="2"/>
    </font>
    <font>
      <b/>
      <sz val="12"/>
      <color rgb="FFFF0000"/>
      <name val="Arial"/>
      <family val="2"/>
    </font>
    <font>
      <sz val="11"/>
      <name val="Arial"/>
      <family val="2"/>
    </font>
    <font>
      <b/>
      <i/>
      <sz val="11"/>
      <color theme="1"/>
      <name val="Arial"/>
      <family val="2"/>
    </font>
    <font>
      <sz val="11"/>
      <color rgb="FFC00000"/>
      <name val="Arial"/>
      <family val="2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</fills>
  <borders count="1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auto="1"/>
      </bottom>
      <diagonal/>
    </border>
    <border>
      <left style="thin">
        <color auto="1"/>
      </left>
      <right/>
      <top style="medium">
        <color indexed="64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 style="thin">
        <color auto="1"/>
      </left>
      <right/>
      <top style="hair">
        <color auto="1"/>
      </top>
      <bottom style="medium">
        <color indexed="64"/>
      </bottom>
      <diagonal/>
    </border>
    <border>
      <left/>
      <right style="thin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</borders>
  <cellStyleXfs count="7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5" fontId="21" fillId="0" borderId="0" applyFont="0" applyFill="0" applyBorder="0" applyAlignment="0" applyProtection="0"/>
    <xf numFmtId="164" fontId="21" fillId="0" borderId="0" applyFont="0" applyFill="0" applyBorder="0" applyAlignment="0" applyProtection="0"/>
  </cellStyleXfs>
  <cellXfs count="461">
    <xf numFmtId="0" fontId="0" fillId="0" borderId="0" xfId="0"/>
    <xf numFmtId="0" fontId="2" fillId="0" borderId="0" xfId="3"/>
    <xf numFmtId="164" fontId="0" fillId="0" borderId="0" xfId="0" applyNumberFormat="1"/>
    <xf numFmtId="0" fontId="0" fillId="0" borderId="0" xfId="0" applyAlignment="1">
      <alignment horizontal="center"/>
    </xf>
    <xf numFmtId="164" fontId="3" fillId="0" borderId="35" xfId="0" applyNumberFormat="1" applyFont="1" applyBorder="1"/>
    <xf numFmtId="0" fontId="0" fillId="0" borderId="0" xfId="0" applyAlignment="1">
      <alignment horizontal="right"/>
    </xf>
    <xf numFmtId="164" fontId="1" fillId="0" borderId="1" xfId="0" applyNumberFormat="1" applyFont="1" applyBorder="1"/>
    <xf numFmtId="0" fontId="0" fillId="2" borderId="0" xfId="0" applyFill="1"/>
    <xf numFmtId="0" fontId="0" fillId="0" borderId="41" xfId="0" applyBorder="1"/>
    <xf numFmtId="164" fontId="0" fillId="0" borderId="41" xfId="0" applyNumberFormat="1" applyBorder="1"/>
    <xf numFmtId="0" fontId="0" fillId="0" borderId="41" xfId="0" applyBorder="1" applyAlignment="1">
      <alignment horizontal="right"/>
    </xf>
    <xf numFmtId="0" fontId="0" fillId="0" borderId="42" xfId="0" applyBorder="1"/>
    <xf numFmtId="0" fontId="0" fillId="0" borderId="43" xfId="0" applyBorder="1"/>
    <xf numFmtId="0" fontId="0" fillId="0" borderId="10" xfId="0" applyBorder="1"/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1" fillId="0" borderId="0" xfId="0" applyFont="1"/>
    <xf numFmtId="0" fontId="0" fillId="0" borderId="44" xfId="0" applyBorder="1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45" xfId="0" applyBorder="1"/>
    <xf numFmtId="0" fontId="0" fillId="0" borderId="40" xfId="0" applyBorder="1"/>
    <xf numFmtId="0" fontId="3" fillId="0" borderId="0" xfId="0" applyFont="1"/>
    <xf numFmtId="164" fontId="0" fillId="2" borderId="0" xfId="0" applyNumberFormat="1" applyFill="1"/>
    <xf numFmtId="0" fontId="0" fillId="2" borderId="0" xfId="0" applyFill="1" applyAlignment="1">
      <alignment horizontal="right"/>
    </xf>
    <xf numFmtId="0" fontId="6" fillId="0" borderId="0" xfId="0" applyFont="1" applyAlignment="1">
      <alignment horizontal="center"/>
    </xf>
    <xf numFmtId="0" fontId="6" fillId="0" borderId="0" xfId="0" applyFont="1"/>
    <xf numFmtId="164" fontId="6" fillId="0" borderId="0" xfId="0" applyNumberFormat="1" applyFont="1"/>
    <xf numFmtId="0" fontId="9" fillId="0" borderId="53" xfId="0" applyFont="1" applyBorder="1" applyAlignment="1">
      <alignment horizontal="center"/>
    </xf>
    <xf numFmtId="0" fontId="9" fillId="0" borderId="49" xfId="0" applyFont="1" applyBorder="1" applyAlignment="1">
      <alignment horizontal="left"/>
    </xf>
    <xf numFmtId="164" fontId="6" fillId="0" borderId="53" xfId="0" applyNumberFormat="1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9" fillId="0" borderId="50" xfId="0" applyFont="1" applyBorder="1"/>
    <xf numFmtId="164" fontId="6" fillId="0" borderId="47" xfId="0" applyNumberFormat="1" applyFont="1" applyBorder="1"/>
    <xf numFmtId="165" fontId="6" fillId="0" borderId="47" xfId="0" applyNumberFormat="1" applyFont="1" applyBorder="1"/>
    <xf numFmtId="0" fontId="6" fillId="0" borderId="50" xfId="0" applyFont="1" applyBorder="1"/>
    <xf numFmtId="0" fontId="9" fillId="0" borderId="0" xfId="0" applyFont="1" applyAlignment="1">
      <alignment horizontal="center"/>
    </xf>
    <xf numFmtId="0" fontId="9" fillId="0" borderId="0" xfId="0" applyFont="1"/>
    <xf numFmtId="0" fontId="9" fillId="5" borderId="37" xfId="3" applyFont="1" applyFill="1" applyBorder="1" applyAlignment="1">
      <alignment horizontal="center"/>
    </xf>
    <xf numFmtId="0" fontId="9" fillId="0" borderId="16" xfId="3" applyFont="1" applyBorder="1" applyAlignment="1">
      <alignment vertical="center"/>
    </xf>
    <xf numFmtId="0" fontId="9" fillId="0" borderId="17" xfId="3" applyFont="1" applyBorder="1" applyAlignment="1">
      <alignment horizontal="left" vertical="center"/>
    </xf>
    <xf numFmtId="0" fontId="9" fillId="0" borderId="17" xfId="3" applyFont="1" applyBorder="1" applyAlignment="1">
      <alignment horizontal="center"/>
    </xf>
    <xf numFmtId="0" fontId="9" fillId="0" borderId="16" xfId="3" applyFont="1" applyBorder="1" applyAlignment="1">
      <alignment horizontal="center"/>
    </xf>
    <xf numFmtId="0" fontId="9" fillId="0" borderId="17" xfId="3" applyFont="1" applyBorder="1"/>
    <xf numFmtId="0" fontId="6" fillId="0" borderId="17" xfId="3" applyFont="1" applyBorder="1"/>
    <xf numFmtId="0" fontId="9" fillId="0" borderId="20" xfId="3" applyFont="1" applyBorder="1" applyAlignment="1">
      <alignment horizontal="center"/>
    </xf>
    <xf numFmtId="0" fontId="6" fillId="0" borderId="4" xfId="3" applyFont="1" applyBorder="1"/>
    <xf numFmtId="164" fontId="6" fillId="0" borderId="4" xfId="4" applyFont="1" applyBorder="1" applyAlignment="1">
      <alignment horizontal="right"/>
    </xf>
    <xf numFmtId="164" fontId="6" fillId="0" borderId="21" xfId="4" applyFont="1" applyBorder="1" applyAlignment="1">
      <alignment horizontal="left"/>
    </xf>
    <xf numFmtId="0" fontId="9" fillId="0" borderId="33" xfId="3" applyFont="1" applyBorder="1" applyAlignment="1">
      <alignment horizontal="center"/>
    </xf>
    <xf numFmtId="0" fontId="6" fillId="0" borderId="12" xfId="3" applyFont="1" applyBorder="1"/>
    <xf numFmtId="164" fontId="6" fillId="0" borderId="12" xfId="4" applyFont="1" applyBorder="1" applyAlignment="1">
      <alignment horizontal="left"/>
    </xf>
    <xf numFmtId="164" fontId="6" fillId="0" borderId="25" xfId="4" applyFont="1" applyBorder="1" applyAlignment="1">
      <alignment horizontal="left"/>
    </xf>
    <xf numFmtId="0" fontId="9" fillId="5" borderId="67" xfId="3" applyFont="1" applyFill="1" applyBorder="1" applyAlignment="1">
      <alignment horizontal="center"/>
    </xf>
    <xf numFmtId="0" fontId="9" fillId="5" borderId="66" xfId="3" applyFont="1" applyFill="1" applyBorder="1"/>
    <xf numFmtId="164" fontId="5" fillId="5" borderId="66" xfId="4" applyFont="1" applyFill="1" applyBorder="1" applyAlignment="1">
      <alignment horizontal="left"/>
    </xf>
    <xf numFmtId="164" fontId="5" fillId="5" borderId="68" xfId="4" applyFont="1" applyFill="1" applyBorder="1" applyAlignment="1">
      <alignment horizontal="left"/>
    </xf>
    <xf numFmtId="164" fontId="6" fillId="0" borderId="17" xfId="4" applyFont="1" applyBorder="1" applyAlignment="1">
      <alignment horizontal="left"/>
    </xf>
    <xf numFmtId="0" fontId="6" fillId="0" borderId="17" xfId="3" applyFont="1" applyBorder="1" applyAlignment="1">
      <alignment horizontal="left"/>
    </xf>
    <xf numFmtId="0" fontId="9" fillId="0" borderId="4" xfId="3" applyFont="1" applyBorder="1"/>
    <xf numFmtId="164" fontId="6" fillId="0" borderId="4" xfId="4" applyFont="1" applyBorder="1" applyAlignment="1">
      <alignment horizontal="left"/>
    </xf>
    <xf numFmtId="0" fontId="6" fillId="0" borderId="4" xfId="3" applyFont="1" applyBorder="1" applyAlignment="1">
      <alignment horizontal="left"/>
    </xf>
    <xf numFmtId="0" fontId="6" fillId="0" borderId="27" xfId="3" applyFont="1" applyBorder="1"/>
    <xf numFmtId="164" fontId="6" fillId="0" borderId="27" xfId="4" applyFont="1" applyBorder="1" applyAlignment="1">
      <alignment horizontal="left"/>
    </xf>
    <xf numFmtId="0" fontId="9" fillId="5" borderId="43" xfId="3" applyFont="1" applyFill="1" applyBorder="1" applyAlignment="1">
      <alignment horizontal="center"/>
    </xf>
    <xf numFmtId="0" fontId="9" fillId="5" borderId="65" xfId="3" applyFont="1" applyFill="1" applyBorder="1"/>
    <xf numFmtId="0" fontId="9" fillId="0" borderId="13" xfId="3" applyFont="1" applyBorder="1" applyAlignment="1">
      <alignment horizontal="center"/>
    </xf>
    <xf numFmtId="164" fontId="6" fillId="0" borderId="15" xfId="4" applyFont="1" applyBorder="1" applyAlignment="1">
      <alignment horizontal="left"/>
    </xf>
    <xf numFmtId="0" fontId="9" fillId="0" borderId="26" xfId="3" applyFont="1" applyBorder="1" applyAlignment="1">
      <alignment horizontal="center"/>
    </xf>
    <xf numFmtId="0" fontId="9" fillId="5" borderId="64" xfId="3" applyFont="1" applyFill="1" applyBorder="1" applyAlignment="1">
      <alignment horizontal="center"/>
    </xf>
    <xf numFmtId="0" fontId="9" fillId="0" borderId="37" xfId="3" applyFont="1" applyBorder="1" applyAlignment="1">
      <alignment horizontal="center"/>
    </xf>
    <xf numFmtId="0" fontId="6" fillId="0" borderId="38" xfId="3" applyFont="1" applyBorder="1"/>
    <xf numFmtId="164" fontId="6" fillId="0" borderId="38" xfId="4" applyFont="1" applyBorder="1" applyAlignment="1">
      <alignment horizontal="left"/>
    </xf>
    <xf numFmtId="164" fontId="10" fillId="6" borderId="38" xfId="4" applyFont="1" applyFill="1" applyBorder="1" applyAlignment="1">
      <alignment horizontal="left"/>
    </xf>
    <xf numFmtId="0" fontId="6" fillId="0" borderId="0" xfId="3" applyFont="1"/>
    <xf numFmtId="0" fontId="6" fillId="0" borderId="0" xfId="3" applyFont="1" applyAlignment="1">
      <alignment horizontal="left"/>
    </xf>
    <xf numFmtId="0" fontId="7" fillId="0" borderId="35" xfId="0" applyFont="1" applyBorder="1" applyAlignment="1">
      <alignment horizontal="center"/>
    </xf>
    <xf numFmtId="0" fontId="6" fillId="0" borderId="1" xfId="3" applyFont="1" applyBorder="1"/>
    <xf numFmtId="0" fontId="9" fillId="3" borderId="32" xfId="3" applyFont="1" applyFill="1" applyBorder="1" applyAlignment="1">
      <alignment horizontal="center"/>
    </xf>
    <xf numFmtId="0" fontId="9" fillId="3" borderId="30" xfId="3" applyFont="1" applyFill="1" applyBorder="1" applyAlignment="1">
      <alignment horizontal="center"/>
    </xf>
    <xf numFmtId="0" fontId="9" fillId="3" borderId="39" xfId="3" applyFont="1" applyFill="1" applyBorder="1" applyAlignment="1">
      <alignment horizontal="center"/>
    </xf>
    <xf numFmtId="0" fontId="9" fillId="0" borderId="17" xfId="3" applyFont="1" applyBorder="1" applyAlignment="1">
      <alignment horizontal="center" vertical="center"/>
    </xf>
    <xf numFmtId="0" fontId="9" fillId="0" borderId="18" xfId="3" applyFont="1" applyBorder="1" applyAlignment="1">
      <alignment horizontal="center" vertical="center"/>
    </xf>
    <xf numFmtId="0" fontId="6" fillId="0" borderId="18" xfId="3" applyFont="1" applyBorder="1"/>
    <xf numFmtId="164" fontId="6" fillId="0" borderId="4" xfId="4" applyFont="1" applyBorder="1"/>
    <xf numFmtId="166" fontId="6" fillId="0" borderId="4" xfId="4" applyNumberFormat="1" applyFont="1" applyBorder="1"/>
    <xf numFmtId="0" fontId="6" fillId="0" borderId="22" xfId="3" applyFont="1" applyBorder="1"/>
    <xf numFmtId="2" fontId="6" fillId="0" borderId="22" xfId="3" applyNumberFormat="1" applyFont="1" applyBorder="1"/>
    <xf numFmtId="164" fontId="5" fillId="0" borderId="4" xfId="4" applyFont="1" applyBorder="1" applyAlignment="1">
      <alignment horizontal="left"/>
    </xf>
    <xf numFmtId="164" fontId="9" fillId="0" borderId="4" xfId="4" applyFont="1" applyBorder="1"/>
    <xf numFmtId="166" fontId="5" fillId="0" borderId="4" xfId="4" applyNumberFormat="1" applyFont="1" applyBorder="1"/>
    <xf numFmtId="167" fontId="6" fillId="0" borderId="4" xfId="4" applyNumberFormat="1" applyFont="1" applyBorder="1" applyAlignment="1">
      <alignment horizontal="left"/>
    </xf>
    <xf numFmtId="164" fontId="10" fillId="0" borderId="12" xfId="3" applyNumberFormat="1" applyFont="1" applyBorder="1"/>
    <xf numFmtId="164" fontId="10" fillId="0" borderId="12" xfId="4" applyFont="1" applyBorder="1" applyAlignment="1">
      <alignment horizontal="left"/>
    </xf>
    <xf numFmtId="164" fontId="10" fillId="0" borderId="12" xfId="3" applyNumberFormat="1" applyFont="1" applyBorder="1" applyAlignment="1">
      <alignment horizontal="left"/>
    </xf>
    <xf numFmtId="164" fontId="9" fillId="0" borderId="12" xfId="4" applyFont="1" applyBorder="1"/>
    <xf numFmtId="166" fontId="5" fillId="0" borderId="12" xfId="4" applyNumberFormat="1" applyFont="1" applyBorder="1"/>
    <xf numFmtId="0" fontId="9" fillId="0" borderId="27" xfId="3" applyFont="1" applyBorder="1"/>
    <xf numFmtId="164" fontId="9" fillId="0" borderId="7" xfId="3" applyNumberFormat="1" applyFont="1" applyBorder="1"/>
    <xf numFmtId="164" fontId="9" fillId="0" borderId="7" xfId="4" applyFont="1" applyBorder="1" applyAlignment="1">
      <alignment horizontal="left"/>
    </xf>
    <xf numFmtId="164" fontId="9" fillId="0" borderId="7" xfId="3" applyNumberFormat="1" applyFont="1" applyBorder="1" applyAlignment="1">
      <alignment horizontal="left"/>
    </xf>
    <xf numFmtId="164" fontId="9" fillId="0" borderId="7" xfId="4" applyFont="1" applyBorder="1"/>
    <xf numFmtId="166" fontId="5" fillId="0" borderId="7" xfId="4" applyNumberFormat="1" applyFont="1" applyBorder="1"/>
    <xf numFmtId="0" fontId="6" fillId="0" borderId="28" xfId="3" applyFont="1" applyBorder="1"/>
    <xf numFmtId="164" fontId="9" fillId="0" borderId="27" xfId="3" applyNumberFormat="1" applyFont="1" applyBorder="1"/>
    <xf numFmtId="164" fontId="9" fillId="0" borderId="27" xfId="4" applyFont="1" applyBorder="1" applyAlignment="1">
      <alignment horizontal="left"/>
    </xf>
    <xf numFmtId="164" fontId="9" fillId="0" borderId="27" xfId="3" applyNumberFormat="1" applyFont="1" applyBorder="1" applyAlignment="1">
      <alignment horizontal="left"/>
    </xf>
    <xf numFmtId="164" fontId="9" fillId="0" borderId="27" xfId="4" applyFont="1" applyBorder="1"/>
    <xf numFmtId="166" fontId="5" fillId="0" borderId="27" xfId="4" applyNumberFormat="1" applyFont="1" applyBorder="1"/>
    <xf numFmtId="166" fontId="14" fillId="0" borderId="27" xfId="4" applyNumberFormat="1" applyFont="1" applyBorder="1"/>
    <xf numFmtId="164" fontId="9" fillId="0" borderId="12" xfId="3" applyNumberFormat="1" applyFont="1" applyBorder="1"/>
    <xf numFmtId="164" fontId="9" fillId="0" borderId="12" xfId="4" applyFont="1" applyBorder="1" applyAlignment="1">
      <alignment horizontal="left"/>
    </xf>
    <xf numFmtId="164" fontId="9" fillId="0" borderId="12" xfId="3" applyNumberFormat="1" applyFont="1" applyBorder="1" applyAlignment="1">
      <alignment horizontal="left"/>
    </xf>
    <xf numFmtId="0" fontId="9" fillId="0" borderId="30" xfId="3" applyFont="1" applyBorder="1" applyAlignment="1">
      <alignment horizontal="center"/>
    </xf>
    <xf numFmtId="0" fontId="9" fillId="0" borderId="31" xfId="3" applyFont="1" applyBorder="1"/>
    <xf numFmtId="164" fontId="10" fillId="0" borderId="38" xfId="3" applyNumberFormat="1" applyFont="1" applyBorder="1"/>
    <xf numFmtId="164" fontId="10" fillId="0" borderId="38" xfId="4" applyFont="1" applyBorder="1" applyAlignment="1">
      <alignment horizontal="left"/>
    </xf>
    <xf numFmtId="164" fontId="10" fillId="0" borderId="38" xfId="3" applyNumberFormat="1" applyFont="1" applyBorder="1" applyAlignment="1">
      <alignment horizontal="left"/>
    </xf>
    <xf numFmtId="164" fontId="9" fillId="0" borderId="38" xfId="4" applyFont="1" applyBorder="1"/>
    <xf numFmtId="166" fontId="5" fillId="0" borderId="38" xfId="4" applyNumberFormat="1" applyFont="1" applyBorder="1"/>
    <xf numFmtId="0" fontId="6" fillId="0" borderId="62" xfId="3" applyFont="1" applyBorder="1"/>
    <xf numFmtId="0" fontId="9" fillId="0" borderId="0" xfId="3" applyFont="1"/>
    <xf numFmtId="0" fontId="6" fillId="0" borderId="0" xfId="3" applyFont="1" applyAlignment="1">
      <alignment horizontal="right"/>
    </xf>
    <xf numFmtId="164" fontId="9" fillId="0" borderId="0" xfId="4" applyFont="1" applyAlignment="1">
      <alignment horizontal="left"/>
    </xf>
    <xf numFmtId="164" fontId="9" fillId="0" borderId="0" xfId="3" applyNumberFormat="1" applyFont="1" applyAlignment="1">
      <alignment horizontal="left"/>
    </xf>
    <xf numFmtId="164" fontId="15" fillId="0" borderId="0" xfId="3" applyNumberFormat="1" applyFont="1" applyAlignment="1">
      <alignment horizontal="left"/>
    </xf>
    <xf numFmtId="164" fontId="10" fillId="0" borderId="35" xfId="4" applyFont="1" applyBorder="1" applyAlignment="1">
      <alignment horizontal="left"/>
    </xf>
    <xf numFmtId="164" fontId="5" fillId="0" borderId="35" xfId="0" applyNumberFormat="1" applyFont="1" applyBorder="1"/>
    <xf numFmtId="0" fontId="6" fillId="4" borderId="0" xfId="0" applyFont="1" applyFill="1"/>
    <xf numFmtId="0" fontId="9" fillId="7" borderId="32" xfId="3" applyFont="1" applyFill="1" applyBorder="1" applyAlignment="1">
      <alignment horizontal="center"/>
    </xf>
    <xf numFmtId="0" fontId="9" fillId="7" borderId="30" xfId="3" applyFont="1" applyFill="1" applyBorder="1" applyAlignment="1">
      <alignment horizontal="center"/>
    </xf>
    <xf numFmtId="0" fontId="9" fillId="0" borderId="13" xfId="3" applyFont="1" applyBorder="1" applyAlignment="1">
      <alignment vertical="center"/>
    </xf>
    <xf numFmtId="0" fontId="9" fillId="0" borderId="14" xfId="3" applyFont="1" applyBorder="1" applyAlignment="1">
      <alignment horizontal="left" vertical="center"/>
    </xf>
    <xf numFmtId="164" fontId="9" fillId="0" borderId="17" xfId="3" applyNumberFormat="1" applyFont="1" applyBorder="1"/>
    <xf numFmtId="164" fontId="5" fillId="0" borderId="4" xfId="3" applyNumberFormat="1" applyFont="1" applyBorder="1"/>
    <xf numFmtId="164" fontId="5" fillId="0" borderId="4" xfId="4" applyFont="1" applyBorder="1"/>
    <xf numFmtId="164" fontId="10" fillId="0" borderId="31" xfId="3" applyNumberFormat="1" applyFont="1" applyBorder="1"/>
    <xf numFmtId="164" fontId="10" fillId="0" borderId="31" xfId="4" applyFont="1" applyBorder="1" applyAlignment="1">
      <alignment horizontal="left"/>
    </xf>
    <xf numFmtId="164" fontId="10" fillId="0" borderId="31" xfId="3" applyNumberFormat="1" applyFont="1" applyBorder="1" applyAlignment="1">
      <alignment horizontal="left"/>
    </xf>
    <xf numFmtId="164" fontId="9" fillId="0" borderId="31" xfId="4" applyFont="1" applyBorder="1"/>
    <xf numFmtId="166" fontId="5" fillId="0" borderId="31" xfId="4" applyNumberFormat="1" applyFont="1" applyBorder="1"/>
    <xf numFmtId="0" fontId="6" fillId="0" borderId="32" xfId="3" applyFont="1" applyBorder="1"/>
    <xf numFmtId="0" fontId="5" fillId="0" borderId="35" xfId="0" applyFont="1" applyBorder="1"/>
    <xf numFmtId="164" fontId="6" fillId="0" borderId="7" xfId="4" applyFont="1" applyFill="1" applyBorder="1"/>
    <xf numFmtId="0" fontId="16" fillId="7" borderId="37" xfId="3" applyFont="1" applyFill="1" applyBorder="1" applyAlignment="1">
      <alignment horizontal="center"/>
    </xf>
    <xf numFmtId="0" fontId="16" fillId="7" borderId="31" xfId="3" applyFont="1" applyFill="1" applyBorder="1" applyAlignment="1">
      <alignment horizontal="center"/>
    </xf>
    <xf numFmtId="0" fontId="16" fillId="3" borderId="37" xfId="3" applyFont="1" applyFill="1" applyBorder="1" applyAlignment="1">
      <alignment horizontal="center"/>
    </xf>
    <xf numFmtId="0" fontId="16" fillId="3" borderId="31" xfId="3" applyFont="1" applyFill="1" applyBorder="1" applyAlignment="1">
      <alignment horizontal="center"/>
    </xf>
    <xf numFmtId="0" fontId="7" fillId="0" borderId="0" xfId="0" applyFont="1"/>
    <xf numFmtId="164" fontId="9" fillId="0" borderId="23" xfId="3" applyNumberFormat="1" applyFont="1" applyBorder="1" applyAlignment="1">
      <alignment horizontal="center"/>
    </xf>
    <xf numFmtId="164" fontId="6" fillId="0" borderId="23" xfId="3" applyNumberFormat="1" applyFont="1" applyBorder="1"/>
    <xf numFmtId="164" fontId="6" fillId="0" borderId="24" xfId="4" applyFont="1" applyBorder="1" applyAlignment="1">
      <alignment horizontal="right"/>
    </xf>
    <xf numFmtId="164" fontId="6" fillId="0" borderId="72" xfId="4" applyFont="1" applyBorder="1" applyAlignment="1">
      <alignment horizontal="left"/>
    </xf>
    <xf numFmtId="164" fontId="6" fillId="0" borderId="23" xfId="3" applyNumberFormat="1" applyFont="1" applyBorder="1" applyAlignment="1">
      <alignment horizontal="left"/>
    </xf>
    <xf numFmtId="164" fontId="6" fillId="0" borderId="24" xfId="3" applyNumberFormat="1" applyFont="1" applyBorder="1" applyAlignment="1">
      <alignment horizontal="left"/>
    </xf>
    <xf numFmtId="164" fontId="6" fillId="0" borderId="73" xfId="4" applyFont="1" applyBorder="1" applyAlignment="1">
      <alignment horizontal="left"/>
    </xf>
    <xf numFmtId="164" fontId="6" fillId="0" borderId="71" xfId="3" applyNumberFormat="1" applyFont="1" applyBorder="1" applyAlignment="1">
      <alignment horizontal="left"/>
    </xf>
    <xf numFmtId="164" fontId="6" fillId="0" borderId="0" xfId="3" applyNumberFormat="1" applyFont="1"/>
    <xf numFmtId="164" fontId="10" fillId="0" borderId="0" xfId="4" applyFont="1" applyBorder="1" applyAlignment="1">
      <alignment horizontal="left"/>
    </xf>
    <xf numFmtId="0" fontId="10" fillId="0" borderId="0" xfId="0" applyFont="1"/>
    <xf numFmtId="0" fontId="5" fillId="0" borderId="0" xfId="3" applyFont="1"/>
    <xf numFmtId="0" fontId="7" fillId="0" borderId="0" xfId="3" applyFont="1"/>
    <xf numFmtId="0" fontId="7" fillId="0" borderId="0" xfId="3" applyFont="1" applyAlignment="1">
      <alignment horizontal="right"/>
    </xf>
    <xf numFmtId="164" fontId="5" fillId="0" borderId="35" xfId="4" applyFont="1" applyBorder="1" applyAlignment="1">
      <alignment horizontal="left"/>
    </xf>
    <xf numFmtId="0" fontId="5" fillId="0" borderId="0" xfId="0" applyFont="1"/>
    <xf numFmtId="164" fontId="5" fillId="0" borderId="0" xfId="0" applyNumberFormat="1" applyFont="1"/>
    <xf numFmtId="16" fontId="9" fillId="5" borderId="71" xfId="3" applyNumberFormat="1" applyFont="1" applyFill="1" applyBorder="1" applyAlignment="1">
      <alignment horizontal="center"/>
    </xf>
    <xf numFmtId="164" fontId="18" fillId="0" borderId="4" xfId="4" applyFont="1" applyBorder="1" applyAlignment="1">
      <alignment horizontal="left"/>
    </xf>
    <xf numFmtId="0" fontId="5" fillId="0" borderId="20" xfId="3" applyFont="1" applyBorder="1" applyAlignment="1">
      <alignment horizontal="center"/>
    </xf>
    <xf numFmtId="0" fontId="5" fillId="0" borderId="4" xfId="3" applyFont="1" applyBorder="1"/>
    <xf numFmtId="0" fontId="7" fillId="0" borderId="22" xfId="3" applyFont="1" applyBorder="1"/>
    <xf numFmtId="0" fontId="14" fillId="0" borderId="20" xfId="3" applyFont="1" applyBorder="1" applyAlignment="1">
      <alignment horizontal="center"/>
    </xf>
    <xf numFmtId="0" fontId="18" fillId="0" borderId="4" xfId="3" applyFont="1" applyBorder="1"/>
    <xf numFmtId="164" fontId="18" fillId="0" borderId="4" xfId="4" applyFont="1" applyBorder="1"/>
    <xf numFmtId="164" fontId="18" fillId="0" borderId="4" xfId="4" applyFont="1" applyBorder="1" applyAlignment="1">
      <alignment horizontal="right"/>
    </xf>
    <xf numFmtId="166" fontId="18" fillId="0" borderId="4" xfId="4" applyNumberFormat="1" applyFont="1" applyBorder="1"/>
    <xf numFmtId="0" fontId="18" fillId="0" borderId="0" xfId="0" applyFont="1"/>
    <xf numFmtId="0" fontId="11" fillId="0" borderId="0" xfId="0" applyFont="1"/>
    <xf numFmtId="0" fontId="18" fillId="0" borderId="29" xfId="0" applyFont="1" applyBorder="1"/>
    <xf numFmtId="0" fontId="6" fillId="0" borderId="21" xfId="3" applyFont="1" applyBorder="1"/>
    <xf numFmtId="164" fontId="10" fillId="0" borderId="0" xfId="0" applyNumberFormat="1" applyFont="1"/>
    <xf numFmtId="165" fontId="6" fillId="7" borderId="47" xfId="0" applyNumberFormat="1" applyFont="1" applyFill="1" applyBorder="1"/>
    <xf numFmtId="0" fontId="9" fillId="4" borderId="54" xfId="0" applyFont="1" applyFill="1" applyBorder="1" applyAlignment="1">
      <alignment horizontal="center" vertical="center"/>
    </xf>
    <xf numFmtId="0" fontId="9" fillId="4" borderId="57" xfId="0" applyFont="1" applyFill="1" applyBorder="1" applyAlignment="1">
      <alignment horizontal="center" vertical="center"/>
    </xf>
    <xf numFmtId="164" fontId="9" fillId="4" borderId="54" xfId="0" applyNumberFormat="1" applyFont="1" applyFill="1" applyBorder="1" applyAlignment="1">
      <alignment horizontal="center" vertical="center"/>
    </xf>
    <xf numFmtId="165" fontId="9" fillId="4" borderId="58" xfId="0" applyNumberFormat="1" applyFont="1" applyFill="1" applyBorder="1" applyAlignment="1">
      <alignment horizontal="center" vertical="center"/>
    </xf>
    <xf numFmtId="0" fontId="5" fillId="7" borderId="50" xfId="0" applyFont="1" applyFill="1" applyBorder="1"/>
    <xf numFmtId="165" fontId="9" fillId="0" borderId="47" xfId="0" applyNumberFormat="1" applyFont="1" applyBorder="1"/>
    <xf numFmtId="164" fontId="9" fillId="7" borderId="47" xfId="0" applyNumberFormat="1" applyFont="1" applyFill="1" applyBorder="1"/>
    <xf numFmtId="165" fontId="9" fillId="7" borderId="47" xfId="0" applyNumberFormat="1" applyFont="1" applyFill="1" applyBorder="1"/>
    <xf numFmtId="165" fontId="9" fillId="0" borderId="0" xfId="0" applyNumberFormat="1" applyFont="1"/>
    <xf numFmtId="165" fontId="9" fillId="0" borderId="53" xfId="0" applyNumberFormat="1" applyFont="1" applyBorder="1" applyAlignment="1">
      <alignment horizontal="center"/>
    </xf>
    <xf numFmtId="165" fontId="1" fillId="0" borderId="0" xfId="0" applyNumberFormat="1" applyFont="1"/>
    <xf numFmtId="164" fontId="8" fillId="7" borderId="47" xfId="0" applyNumberFormat="1" applyFont="1" applyFill="1" applyBorder="1"/>
    <xf numFmtId="164" fontId="20" fillId="7" borderId="47" xfId="0" applyNumberFormat="1" applyFont="1" applyFill="1" applyBorder="1"/>
    <xf numFmtId="0" fontId="9" fillId="0" borderId="61" xfId="0" applyFont="1" applyBorder="1" applyAlignment="1">
      <alignment horizontal="center"/>
    </xf>
    <xf numFmtId="0" fontId="5" fillId="8" borderId="46" xfId="0" applyFont="1" applyFill="1" applyBorder="1"/>
    <xf numFmtId="165" fontId="6" fillId="8" borderId="61" xfId="0" applyNumberFormat="1" applyFont="1" applyFill="1" applyBorder="1"/>
    <xf numFmtId="164" fontId="6" fillId="8" borderId="61" xfId="0" applyNumberFormat="1" applyFont="1" applyFill="1" applyBorder="1"/>
    <xf numFmtId="165" fontId="9" fillId="8" borderId="46" xfId="0" applyNumberFormat="1" applyFont="1" applyFill="1" applyBorder="1"/>
    <xf numFmtId="0" fontId="9" fillId="4" borderId="56" xfId="0" applyFont="1" applyFill="1" applyBorder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6" fillId="0" borderId="41" xfId="0" applyFont="1" applyBorder="1"/>
    <xf numFmtId="164" fontId="5" fillId="4" borderId="56" xfId="0" applyNumberFormat="1" applyFont="1" applyFill="1" applyBorder="1" applyAlignment="1">
      <alignment vertical="center"/>
    </xf>
    <xf numFmtId="165" fontId="5" fillId="4" borderId="56" xfId="0" applyNumberFormat="1" applyFont="1" applyFill="1" applyBorder="1" applyAlignment="1">
      <alignment vertical="center"/>
    </xf>
    <xf numFmtId="0" fontId="7" fillId="0" borderId="0" xfId="0" applyFont="1" applyAlignment="1">
      <alignment horizontal="center"/>
    </xf>
    <xf numFmtId="0" fontId="0" fillId="9" borderId="0" xfId="0" applyFill="1"/>
    <xf numFmtId="0" fontId="1" fillId="9" borderId="0" xfId="0" applyFont="1" applyFill="1" applyAlignment="1">
      <alignment horizontal="center"/>
    </xf>
    <xf numFmtId="164" fontId="0" fillId="9" borderId="0" xfId="0" applyNumberFormat="1" applyFill="1"/>
    <xf numFmtId="165" fontId="1" fillId="9" borderId="0" xfId="0" applyNumberFormat="1" applyFont="1" applyFill="1"/>
    <xf numFmtId="0" fontId="6" fillId="9" borderId="0" xfId="0" applyFont="1" applyFill="1" applyAlignment="1">
      <alignment horizontal="center"/>
    </xf>
    <xf numFmtId="0" fontId="6" fillId="9" borderId="0" xfId="0" applyFont="1" applyFill="1"/>
    <xf numFmtId="165" fontId="10" fillId="7" borderId="47" xfId="0" applyNumberFormat="1" applyFont="1" applyFill="1" applyBorder="1"/>
    <xf numFmtId="164" fontId="17" fillId="4" borderId="56" xfId="0" applyNumberFormat="1" applyFont="1" applyFill="1" applyBorder="1" applyAlignment="1">
      <alignment vertical="center"/>
    </xf>
    <xf numFmtId="165" fontId="17" fillId="4" borderId="56" xfId="0" applyNumberFormat="1" applyFont="1" applyFill="1" applyBorder="1" applyAlignment="1">
      <alignment vertical="center"/>
    </xf>
    <xf numFmtId="0" fontId="13" fillId="4" borderId="54" xfId="0" applyFont="1" applyFill="1" applyBorder="1" applyAlignment="1">
      <alignment horizontal="center" vertical="center"/>
    </xf>
    <xf numFmtId="0" fontId="13" fillId="4" borderId="57" xfId="0" applyFont="1" applyFill="1" applyBorder="1" applyAlignment="1">
      <alignment horizontal="center" vertical="center"/>
    </xf>
    <xf numFmtId="164" fontId="13" fillId="4" borderId="54" xfId="0" applyNumberFormat="1" applyFont="1" applyFill="1" applyBorder="1" applyAlignment="1">
      <alignment horizontal="center" vertical="center"/>
    </xf>
    <xf numFmtId="165" fontId="13" fillId="4" borderId="58" xfId="0" applyNumberFormat="1" applyFont="1" applyFill="1" applyBorder="1" applyAlignment="1">
      <alignment horizontal="center" vertical="center"/>
    </xf>
    <xf numFmtId="0" fontId="5" fillId="10" borderId="50" xfId="0" applyFont="1" applyFill="1" applyBorder="1"/>
    <xf numFmtId="165" fontId="9" fillId="10" borderId="47" xfId="0" applyNumberFormat="1" applyFont="1" applyFill="1" applyBorder="1"/>
    <xf numFmtId="164" fontId="9" fillId="10" borderId="47" xfId="0" applyNumberFormat="1" applyFont="1" applyFill="1" applyBorder="1"/>
    <xf numFmtId="164" fontId="8" fillId="10" borderId="47" xfId="0" applyNumberFormat="1" applyFont="1" applyFill="1" applyBorder="1"/>
    <xf numFmtId="164" fontId="9" fillId="10" borderId="61" xfId="0" applyNumberFormat="1" applyFont="1" applyFill="1" applyBorder="1"/>
    <xf numFmtId="164" fontId="8" fillId="10" borderId="61" xfId="0" applyNumberFormat="1" applyFont="1" applyFill="1" applyBorder="1"/>
    <xf numFmtId="0" fontId="0" fillId="8" borderId="0" xfId="0" applyFill="1"/>
    <xf numFmtId="0" fontId="9" fillId="8" borderId="61" xfId="0" applyFont="1" applyFill="1" applyBorder="1" applyAlignment="1">
      <alignment horizontal="center"/>
    </xf>
    <xf numFmtId="0" fontId="5" fillId="8" borderId="70" xfId="0" applyFont="1" applyFill="1" applyBorder="1"/>
    <xf numFmtId="164" fontId="9" fillId="8" borderId="61" xfId="0" applyNumberFormat="1" applyFont="1" applyFill="1" applyBorder="1"/>
    <xf numFmtId="164" fontId="8" fillId="8" borderId="61" xfId="0" applyNumberFormat="1" applyFont="1" applyFill="1" applyBorder="1"/>
    <xf numFmtId="165" fontId="9" fillId="8" borderId="61" xfId="0" applyNumberFormat="1" applyFont="1" applyFill="1" applyBorder="1"/>
    <xf numFmtId="0" fontId="0" fillId="8" borderId="0" xfId="0" applyFill="1" applyAlignment="1">
      <alignment horizontal="center"/>
    </xf>
    <xf numFmtId="0" fontId="14" fillId="8" borderId="70" xfId="0" applyFont="1" applyFill="1" applyBorder="1"/>
    <xf numFmtId="165" fontId="18" fillId="8" borderId="61" xfId="0" applyNumberFormat="1" applyFont="1" applyFill="1" applyBorder="1"/>
    <xf numFmtId="164" fontId="18" fillId="8" borderId="61" xfId="0" applyNumberFormat="1" applyFont="1" applyFill="1" applyBorder="1"/>
    <xf numFmtId="0" fontId="18" fillId="8" borderId="70" xfId="0" applyFont="1" applyFill="1" applyBorder="1"/>
    <xf numFmtId="164" fontId="9" fillId="3" borderId="61" xfId="0" applyNumberFormat="1" applyFont="1" applyFill="1" applyBorder="1" applyAlignment="1">
      <alignment vertical="center"/>
    </xf>
    <xf numFmtId="164" fontId="8" fillId="3" borderId="61" xfId="0" applyNumberFormat="1" applyFont="1" applyFill="1" applyBorder="1" applyAlignment="1">
      <alignment vertical="center"/>
    </xf>
    <xf numFmtId="165" fontId="9" fillId="3" borderId="47" xfId="0" applyNumberFormat="1" applyFont="1" applyFill="1" applyBorder="1" applyAlignment="1">
      <alignment vertical="center"/>
    </xf>
    <xf numFmtId="164" fontId="5" fillId="0" borderId="4" xfId="0" applyNumberFormat="1" applyFont="1" applyBorder="1"/>
    <xf numFmtId="164" fontId="3" fillId="0" borderId="0" xfId="0" applyNumberFormat="1" applyFont="1"/>
    <xf numFmtId="0" fontId="9" fillId="0" borderId="0" xfId="3" applyFont="1" applyAlignment="1">
      <alignment horizontal="right"/>
    </xf>
    <xf numFmtId="0" fontId="5" fillId="0" borderId="0" xfId="3" applyFont="1" applyAlignment="1">
      <alignment horizontal="right"/>
    </xf>
    <xf numFmtId="164" fontId="5" fillId="0" borderId="0" xfId="3" applyNumberFormat="1" applyFont="1" applyAlignment="1">
      <alignment horizontal="right"/>
    </xf>
    <xf numFmtId="164" fontId="10" fillId="0" borderId="35" xfId="3" applyNumberFormat="1" applyFont="1" applyBorder="1"/>
    <xf numFmtId="164" fontId="6" fillId="0" borderId="74" xfId="4" applyFont="1" applyBorder="1"/>
    <xf numFmtId="164" fontId="6" fillId="0" borderId="74" xfId="4" applyFont="1" applyBorder="1" applyAlignment="1">
      <alignment horizontal="right"/>
    </xf>
    <xf numFmtId="164" fontId="6" fillId="0" borderId="4" xfId="0" applyNumberFormat="1" applyFont="1" applyBorder="1" applyAlignment="1">
      <alignment horizontal="center"/>
    </xf>
    <xf numFmtId="164" fontId="18" fillId="0" borderId="74" xfId="4" applyFont="1" applyBorder="1" applyAlignment="1">
      <alignment horizontal="right"/>
    </xf>
    <xf numFmtId="164" fontId="6" fillId="0" borderId="74" xfId="0" applyNumberFormat="1" applyFont="1" applyBorder="1" applyAlignment="1">
      <alignment horizontal="center"/>
    </xf>
    <xf numFmtId="164" fontId="5" fillId="5" borderId="76" xfId="4" applyFont="1" applyFill="1" applyBorder="1" applyAlignment="1">
      <alignment horizontal="left"/>
    </xf>
    <xf numFmtId="164" fontId="5" fillId="5" borderId="0" xfId="4" applyFont="1" applyFill="1" applyBorder="1" applyAlignment="1">
      <alignment horizontal="left"/>
    </xf>
    <xf numFmtId="164" fontId="6" fillId="0" borderId="10" xfId="4" applyFont="1" applyBorder="1" applyAlignment="1">
      <alignment horizontal="left"/>
    </xf>
    <xf numFmtId="164" fontId="6" fillId="0" borderId="45" xfId="4" applyFont="1" applyBorder="1" applyAlignment="1">
      <alignment horizontal="left"/>
    </xf>
    <xf numFmtId="0" fontId="6" fillId="0" borderId="41" xfId="3" applyFont="1" applyBorder="1" applyAlignment="1">
      <alignment horizontal="left"/>
    </xf>
    <xf numFmtId="0" fontId="9" fillId="5" borderId="71" xfId="3" applyFont="1" applyFill="1" applyBorder="1" applyAlignment="1">
      <alignment horizontal="center"/>
    </xf>
    <xf numFmtId="0" fontId="9" fillId="0" borderId="77" xfId="3" applyFont="1" applyBorder="1" applyAlignment="1">
      <alignment horizontal="left" vertical="center"/>
    </xf>
    <xf numFmtId="0" fontId="6" fillId="0" borderId="23" xfId="3" applyFont="1" applyBorder="1" applyAlignment="1">
      <alignment horizontal="left"/>
    </xf>
    <xf numFmtId="164" fontId="6" fillId="0" borderId="24" xfId="4" applyFont="1" applyBorder="1" applyAlignment="1">
      <alignment horizontal="left"/>
    </xf>
    <xf numFmtId="164" fontId="6" fillId="0" borderId="23" xfId="4" applyFont="1" applyBorder="1" applyAlignment="1">
      <alignment horizontal="left"/>
    </xf>
    <xf numFmtId="164" fontId="6" fillId="0" borderId="78" xfId="4" applyFont="1" applyBorder="1" applyAlignment="1">
      <alignment horizontal="left"/>
    </xf>
    <xf numFmtId="164" fontId="10" fillId="6" borderId="71" xfId="4" applyFont="1" applyFill="1" applyBorder="1" applyAlignment="1">
      <alignment horizontal="left"/>
    </xf>
    <xf numFmtId="0" fontId="9" fillId="5" borderId="63" xfId="3" applyFont="1" applyFill="1" applyBorder="1" applyAlignment="1">
      <alignment horizontal="center"/>
    </xf>
    <xf numFmtId="0" fontId="9" fillId="0" borderId="21" xfId="3" applyFont="1" applyBorder="1" applyAlignment="1">
      <alignment horizontal="left" vertical="center"/>
    </xf>
    <xf numFmtId="0" fontId="6" fillId="0" borderId="21" xfId="3" applyFont="1" applyBorder="1" applyAlignment="1">
      <alignment horizontal="left"/>
    </xf>
    <xf numFmtId="164" fontId="6" fillId="0" borderId="79" xfId="4" applyFont="1" applyBorder="1" applyAlignment="1">
      <alignment horizontal="left"/>
    </xf>
    <xf numFmtId="164" fontId="5" fillId="5" borderId="80" xfId="4" applyFont="1" applyFill="1" applyBorder="1" applyAlignment="1">
      <alignment horizontal="left"/>
    </xf>
    <xf numFmtId="168" fontId="19" fillId="0" borderId="0" xfId="0" applyNumberFormat="1" applyFont="1"/>
    <xf numFmtId="164" fontId="6" fillId="0" borderId="74" xfId="4" applyFont="1" applyBorder="1" applyAlignment="1">
      <alignment horizontal="left"/>
    </xf>
    <xf numFmtId="164" fontId="6" fillId="0" borderId="50" xfId="0" applyNumberFormat="1" applyFont="1" applyBorder="1" applyAlignment="1">
      <alignment horizontal="center"/>
    </xf>
    <xf numFmtId="164" fontId="5" fillId="0" borderId="74" xfId="4" applyFont="1" applyBorder="1"/>
    <xf numFmtId="164" fontId="18" fillId="0" borderId="4" xfId="0" applyNumberFormat="1" applyFont="1" applyBorder="1" applyAlignment="1">
      <alignment horizontal="center"/>
    </xf>
    <xf numFmtId="164" fontId="18" fillId="0" borderId="74" xfId="0" applyNumberFormat="1" applyFont="1" applyBorder="1" applyAlignment="1">
      <alignment horizontal="center"/>
    </xf>
    <xf numFmtId="0" fontId="9" fillId="0" borderId="16" xfId="3" applyFont="1" applyBorder="1" applyAlignment="1">
      <alignment horizontal="center" vertical="center"/>
    </xf>
    <xf numFmtId="0" fontId="9" fillId="0" borderId="20" xfId="3" applyFont="1" applyBorder="1" applyAlignment="1">
      <alignment horizontal="center" vertical="center"/>
    </xf>
    <xf numFmtId="0" fontId="5" fillId="0" borderId="20" xfId="3" applyFont="1" applyBorder="1" applyAlignment="1">
      <alignment horizontal="center" vertical="center"/>
    </xf>
    <xf numFmtId="0" fontId="14" fillId="0" borderId="20" xfId="3" applyFont="1" applyBorder="1" applyAlignment="1">
      <alignment horizontal="center" vertical="center"/>
    </xf>
    <xf numFmtId="0" fontId="9" fillId="0" borderId="26" xfId="3" applyFont="1" applyBorder="1" applyAlignment="1">
      <alignment horizontal="center" vertical="center"/>
    </xf>
    <xf numFmtId="0" fontId="9" fillId="0" borderId="30" xfId="3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9" fillId="0" borderId="13" xfId="3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3" applyFont="1" applyAlignment="1">
      <alignment horizontal="left" vertical="center"/>
    </xf>
    <xf numFmtId="164" fontId="6" fillId="0" borderId="17" xfId="0" applyNumberFormat="1" applyFont="1" applyBorder="1" applyAlignment="1">
      <alignment horizontal="center"/>
    </xf>
    <xf numFmtId="164" fontId="6" fillId="0" borderId="49" xfId="0" applyNumberFormat="1" applyFont="1" applyBorder="1" applyAlignment="1">
      <alignment horizontal="center"/>
    </xf>
    <xf numFmtId="0" fontId="9" fillId="0" borderId="37" xfId="3" applyFont="1" applyBorder="1" applyAlignment="1">
      <alignment horizontal="center" vertical="center"/>
    </xf>
    <xf numFmtId="0" fontId="9" fillId="0" borderId="38" xfId="3" applyFont="1" applyBorder="1"/>
    <xf numFmtId="0" fontId="6" fillId="0" borderId="39" xfId="3" applyFont="1" applyBorder="1"/>
    <xf numFmtId="0" fontId="6" fillId="0" borderId="31" xfId="3" applyFont="1" applyBorder="1"/>
    <xf numFmtId="164" fontId="6" fillId="0" borderId="31" xfId="4" applyFont="1" applyBorder="1" applyAlignment="1">
      <alignment horizontal="left"/>
    </xf>
    <xf numFmtId="0" fontId="6" fillId="0" borderId="31" xfId="3" applyFont="1" applyBorder="1" applyAlignment="1">
      <alignment horizontal="left"/>
    </xf>
    <xf numFmtId="164" fontId="6" fillId="0" borderId="31" xfId="4" applyFont="1" applyBorder="1"/>
    <xf numFmtId="0" fontId="6" fillId="0" borderId="86" xfId="0" applyFont="1" applyBorder="1" applyAlignment="1">
      <alignment horizontal="center" vertical="center"/>
    </xf>
    <xf numFmtId="0" fontId="6" fillId="0" borderId="87" xfId="0" applyFont="1" applyBorder="1"/>
    <xf numFmtId="0" fontId="6" fillId="0" borderId="88" xfId="0" applyFont="1" applyBorder="1"/>
    <xf numFmtId="0" fontId="6" fillId="0" borderId="91" xfId="0" applyFont="1" applyBorder="1" applyAlignment="1">
      <alignment horizontal="center" vertical="center"/>
    </xf>
    <xf numFmtId="0" fontId="6" fillId="0" borderId="92" xfId="0" applyFont="1" applyBorder="1"/>
    <xf numFmtId="0" fontId="6" fillId="0" borderId="93" xfId="0" applyFont="1" applyBorder="1"/>
    <xf numFmtId="0" fontId="6" fillId="0" borderId="96" xfId="0" applyFont="1" applyBorder="1" applyAlignment="1">
      <alignment horizontal="center" vertical="center"/>
    </xf>
    <xf numFmtId="0" fontId="6" fillId="0" borderId="97" xfId="0" applyFont="1" applyBorder="1"/>
    <xf numFmtId="0" fontId="6" fillId="0" borderId="98" xfId="0" applyFont="1" applyBorder="1"/>
    <xf numFmtId="0" fontId="6" fillId="0" borderId="83" xfId="0" applyFont="1" applyBorder="1" applyAlignment="1">
      <alignment horizontal="center" vertical="center"/>
    </xf>
    <xf numFmtId="0" fontId="6" fillId="0" borderId="84" xfId="0" applyFont="1" applyBorder="1"/>
    <xf numFmtId="0" fontId="6" fillId="0" borderId="85" xfId="0" applyFont="1" applyBorder="1"/>
    <xf numFmtId="0" fontId="9" fillId="0" borderId="94" xfId="3" applyFont="1" applyBorder="1"/>
    <xf numFmtId="0" fontId="9" fillId="0" borderId="92" xfId="0" applyFont="1" applyBorder="1"/>
    <xf numFmtId="0" fontId="1" fillId="0" borderId="43" xfId="0" applyFont="1" applyBorder="1"/>
    <xf numFmtId="0" fontId="9" fillId="7" borderId="2" xfId="0" applyFont="1" applyFill="1" applyBorder="1" applyAlignment="1">
      <alignment horizontal="center" vertical="center"/>
    </xf>
    <xf numFmtId="0" fontId="9" fillId="7" borderId="100" xfId="0" applyFont="1" applyFill="1" applyBorder="1"/>
    <xf numFmtId="0" fontId="9" fillId="7" borderId="51" xfId="0" applyFont="1" applyFill="1" applyBorder="1"/>
    <xf numFmtId="0" fontId="9" fillId="3" borderId="2" xfId="0" applyFont="1" applyFill="1" applyBorder="1" applyAlignment="1">
      <alignment horizontal="center" vertical="center"/>
    </xf>
    <xf numFmtId="0" fontId="9" fillId="3" borderId="69" xfId="0" applyFont="1" applyFill="1" applyBorder="1"/>
    <xf numFmtId="0" fontId="6" fillId="0" borderId="93" xfId="3" applyFont="1" applyBorder="1"/>
    <xf numFmtId="0" fontId="6" fillId="0" borderId="85" xfId="3" applyFont="1" applyBorder="1"/>
    <xf numFmtId="164" fontId="6" fillId="0" borderId="89" xfId="0" applyNumberFormat="1" applyFont="1" applyBorder="1"/>
    <xf numFmtId="164" fontId="6" fillId="0" borderId="94" xfId="0" applyNumberFormat="1" applyFont="1" applyBorder="1"/>
    <xf numFmtId="164" fontId="6" fillId="0" borderId="94" xfId="6" applyFont="1" applyBorder="1"/>
    <xf numFmtId="164" fontId="9" fillId="7" borderId="52" xfId="6" applyFont="1" applyFill="1" applyBorder="1"/>
    <xf numFmtId="164" fontId="6" fillId="0" borderId="89" xfId="6" applyFont="1" applyBorder="1"/>
    <xf numFmtId="164" fontId="6" fillId="0" borderId="99" xfId="6" applyFont="1" applyBorder="1"/>
    <xf numFmtId="164" fontId="9" fillId="7" borderId="52" xfId="0" applyNumberFormat="1" applyFont="1" applyFill="1" applyBorder="1"/>
    <xf numFmtId="164" fontId="6" fillId="0" borderId="89" xfId="5" applyNumberFormat="1" applyFont="1" applyBorder="1"/>
    <xf numFmtId="164" fontId="9" fillId="7" borderId="55" xfId="0" applyNumberFormat="1" applyFont="1" applyFill="1" applyBorder="1"/>
    <xf numFmtId="164" fontId="9" fillId="3" borderId="55" xfId="0" applyNumberFormat="1" applyFont="1" applyFill="1" applyBorder="1"/>
    <xf numFmtId="164" fontId="6" fillId="6" borderId="90" xfId="0" applyNumberFormat="1" applyFont="1" applyFill="1" applyBorder="1"/>
    <xf numFmtId="164" fontId="6" fillId="6" borderId="95" xfId="0" applyNumberFormat="1" applyFont="1" applyFill="1" applyBorder="1"/>
    <xf numFmtId="164" fontId="9" fillId="7" borderId="3" xfId="0" applyNumberFormat="1" applyFont="1" applyFill="1" applyBorder="1"/>
    <xf numFmtId="164" fontId="9" fillId="7" borderId="3" xfId="6" applyFont="1" applyFill="1" applyBorder="1"/>
    <xf numFmtId="0" fontId="19" fillId="0" borderId="0" xfId="3" applyFont="1" applyAlignment="1">
      <alignment horizontal="center"/>
    </xf>
    <xf numFmtId="0" fontId="9" fillId="3" borderId="100" xfId="0" applyFont="1" applyFill="1" applyBorder="1"/>
    <xf numFmtId="0" fontId="9" fillId="3" borderId="51" xfId="0" applyFont="1" applyFill="1" applyBorder="1"/>
    <xf numFmtId="164" fontId="9" fillId="3" borderId="52" xfId="0" applyNumberFormat="1" applyFont="1" applyFill="1" applyBorder="1"/>
    <xf numFmtId="164" fontId="6" fillId="0" borderId="102" xfId="0" applyNumberFormat="1" applyFont="1" applyBorder="1"/>
    <xf numFmtId="164" fontId="6" fillId="0" borderId="103" xfId="0" applyNumberFormat="1" applyFont="1" applyBorder="1"/>
    <xf numFmtId="164" fontId="6" fillId="0" borderId="103" xfId="6" applyFont="1" applyBorder="1"/>
    <xf numFmtId="164" fontId="6" fillId="0" borderId="102" xfId="6" applyFont="1" applyBorder="1"/>
    <xf numFmtId="164" fontId="9" fillId="7" borderId="69" xfId="6" applyFont="1" applyFill="1" applyBorder="1"/>
    <xf numFmtId="164" fontId="6" fillId="0" borderId="105" xfId="6" applyFont="1" applyBorder="1"/>
    <xf numFmtId="164" fontId="9" fillId="7" borderId="69" xfId="0" applyNumberFormat="1" applyFont="1" applyFill="1" applyBorder="1"/>
    <xf numFmtId="164" fontId="6" fillId="0" borderId="102" xfId="5" applyNumberFormat="1" applyFont="1" applyBorder="1"/>
    <xf numFmtId="164" fontId="6" fillId="0" borderId="82" xfId="0" applyNumberFormat="1" applyFont="1" applyBorder="1"/>
    <xf numFmtId="164" fontId="6" fillId="0" borderId="92" xfId="0" applyNumberFormat="1" applyFont="1" applyBorder="1"/>
    <xf numFmtId="164" fontId="9" fillId="3" borderId="100" xfId="0" applyNumberFormat="1" applyFont="1" applyFill="1" applyBorder="1"/>
    <xf numFmtId="164" fontId="9" fillId="7" borderId="100" xfId="6" applyFont="1" applyFill="1" applyBorder="1"/>
    <xf numFmtId="164" fontId="9" fillId="7" borderId="100" xfId="0" applyNumberFormat="1" applyFont="1" applyFill="1" applyBorder="1"/>
    <xf numFmtId="164" fontId="9" fillId="3" borderId="51" xfId="0" applyNumberFormat="1" applyFont="1" applyFill="1" applyBorder="1"/>
    <xf numFmtId="164" fontId="9" fillId="7" borderId="51" xfId="6" applyFont="1" applyFill="1" applyBorder="1"/>
    <xf numFmtId="164" fontId="9" fillId="7" borderId="51" xfId="0" applyNumberFormat="1" applyFont="1" applyFill="1" applyBorder="1"/>
    <xf numFmtId="164" fontId="6" fillId="0" borderId="106" xfId="0" applyNumberFormat="1" applyFont="1" applyBorder="1"/>
    <xf numFmtId="164" fontId="6" fillId="0" borderId="107" xfId="6" applyFont="1" applyBorder="1"/>
    <xf numFmtId="164" fontId="6" fillId="0" borderId="104" xfId="0" applyNumberFormat="1" applyFont="1" applyBorder="1"/>
    <xf numFmtId="164" fontId="6" fillId="0" borderId="7" xfId="0" applyNumberFormat="1" applyFont="1" applyBorder="1"/>
    <xf numFmtId="164" fontId="6" fillId="0" borderId="108" xfId="0" applyNumberFormat="1" applyFont="1" applyBorder="1"/>
    <xf numFmtId="164" fontId="6" fillId="0" borderId="109" xfId="0" applyNumberFormat="1" applyFont="1" applyBorder="1"/>
    <xf numFmtId="164" fontId="6" fillId="0" borderId="110" xfId="0" applyNumberFormat="1" applyFont="1" applyBorder="1"/>
    <xf numFmtId="164" fontId="9" fillId="3" borderId="2" xfId="0" applyNumberFormat="1" applyFont="1" applyFill="1" applyBorder="1" applyAlignment="1">
      <alignment horizontal="center" vertical="center"/>
    </xf>
    <xf numFmtId="164" fontId="9" fillId="3" borderId="3" xfId="0" applyNumberFormat="1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 vertical="center"/>
    </xf>
    <xf numFmtId="49" fontId="9" fillId="3" borderId="2" xfId="0" applyNumberFormat="1" applyFont="1" applyFill="1" applyBorder="1" applyAlignment="1">
      <alignment horizontal="center" vertical="center"/>
    </xf>
    <xf numFmtId="49" fontId="9" fillId="3" borderId="3" xfId="0" applyNumberFormat="1" applyFont="1" applyFill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/>
    </xf>
    <xf numFmtId="164" fontId="9" fillId="7" borderId="2" xfId="6" applyFont="1" applyFill="1" applyBorder="1"/>
    <xf numFmtId="164" fontId="9" fillId="3" borderId="2" xfId="0" applyNumberFormat="1" applyFont="1" applyFill="1" applyBorder="1"/>
    <xf numFmtId="164" fontId="9" fillId="7" borderId="2" xfId="0" applyNumberFormat="1" applyFont="1" applyFill="1" applyBorder="1"/>
    <xf numFmtId="164" fontId="9" fillId="3" borderId="3" xfId="0" applyNumberFormat="1" applyFont="1" applyFill="1" applyBorder="1"/>
    <xf numFmtId="0" fontId="6" fillId="0" borderId="102" xfId="0" applyFont="1" applyBorder="1"/>
    <xf numFmtId="0" fontId="0" fillId="0" borderId="92" xfId="0" applyBorder="1"/>
    <xf numFmtId="0" fontId="6" fillId="0" borderId="116" xfId="0" applyFont="1" applyBorder="1"/>
    <xf numFmtId="164" fontId="9" fillId="3" borderId="44" xfId="0" applyNumberFormat="1" applyFont="1" applyFill="1" applyBorder="1" applyAlignment="1">
      <alignment horizontal="center" vertical="center"/>
    </xf>
    <xf numFmtId="164" fontId="9" fillId="3" borderId="48" xfId="0" applyNumberFormat="1" applyFont="1" applyFill="1" applyBorder="1" applyAlignment="1">
      <alignment horizontal="center" vertical="center"/>
    </xf>
    <xf numFmtId="49" fontId="9" fillId="3" borderId="44" xfId="0" applyNumberFormat="1" applyFont="1" applyFill="1" applyBorder="1" applyAlignment="1">
      <alignment horizontal="center" vertical="center"/>
    </xf>
    <xf numFmtId="164" fontId="6" fillId="0" borderId="111" xfId="0" applyNumberFormat="1" applyFont="1" applyBorder="1"/>
    <xf numFmtId="164" fontId="9" fillId="3" borderId="117" xfId="0" applyNumberFormat="1" applyFont="1" applyFill="1" applyBorder="1"/>
    <xf numFmtId="164" fontId="0" fillId="0" borderId="0" xfId="6" applyFont="1"/>
    <xf numFmtId="164" fontId="9" fillId="11" borderId="44" xfId="0" applyNumberFormat="1" applyFont="1" applyFill="1" applyBorder="1" applyAlignment="1">
      <alignment horizontal="center" vertical="center"/>
    </xf>
    <xf numFmtId="164" fontId="9" fillId="11" borderId="48" xfId="0" applyNumberFormat="1" applyFont="1" applyFill="1" applyBorder="1" applyAlignment="1">
      <alignment horizontal="center" vertical="center"/>
    </xf>
    <xf numFmtId="164" fontId="9" fillId="11" borderId="1" xfId="0" applyNumberFormat="1" applyFont="1" applyFill="1" applyBorder="1" applyAlignment="1">
      <alignment horizontal="center" vertical="center"/>
    </xf>
    <xf numFmtId="49" fontId="9" fillId="11" borderId="44" xfId="0" applyNumberFormat="1" applyFont="1" applyFill="1" applyBorder="1" applyAlignment="1">
      <alignment horizontal="center" vertical="center"/>
    </xf>
    <xf numFmtId="164" fontId="6" fillId="0" borderId="118" xfId="0" applyNumberFormat="1" applyFont="1" applyBorder="1"/>
    <xf numFmtId="164" fontId="0" fillId="0" borderId="7" xfId="6" applyFont="1" applyBorder="1"/>
    <xf numFmtId="164" fontId="0" fillId="0" borderId="99" xfId="6" applyFont="1" applyBorder="1"/>
    <xf numFmtId="164" fontId="0" fillId="0" borderId="94" xfId="6" applyFont="1" applyBorder="1"/>
    <xf numFmtId="164" fontId="0" fillId="0" borderId="107" xfId="6" applyFont="1" applyBorder="1"/>
    <xf numFmtId="164" fontId="6" fillId="0" borderId="93" xfId="0" applyNumberFormat="1" applyFont="1" applyBorder="1"/>
    <xf numFmtId="0" fontId="9" fillId="7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164" fontId="6" fillId="0" borderId="94" xfId="6" applyNumberFormat="1" applyFont="1" applyBorder="1"/>
    <xf numFmtId="0" fontId="6" fillId="0" borderId="0" xfId="0" applyFont="1" applyBorder="1"/>
    <xf numFmtId="0" fontId="9" fillId="0" borderId="0" xfId="3" applyFont="1" applyAlignment="1">
      <alignment horizontal="center"/>
    </xf>
    <xf numFmtId="0" fontId="9" fillId="0" borderId="1" xfId="3" applyFont="1" applyBorder="1" applyAlignment="1">
      <alignment horizontal="center"/>
    </xf>
    <xf numFmtId="0" fontId="9" fillId="3" borderId="5" xfId="3" applyFont="1" applyFill="1" applyBorder="1" applyAlignment="1">
      <alignment vertical="center"/>
    </xf>
    <xf numFmtId="0" fontId="9" fillId="3" borderId="37" xfId="3" applyFont="1" applyFill="1" applyBorder="1" applyAlignment="1">
      <alignment vertical="center"/>
    </xf>
    <xf numFmtId="0" fontId="9" fillId="3" borderId="6" xfId="3" applyFont="1" applyFill="1" applyBorder="1" applyAlignment="1">
      <alignment horizontal="center" vertical="center"/>
    </xf>
    <xf numFmtId="0" fontId="9" fillId="3" borderId="31" xfId="3" applyFont="1" applyFill="1" applyBorder="1" applyAlignment="1">
      <alignment horizontal="center" vertical="center"/>
    </xf>
    <xf numFmtId="0" fontId="9" fillId="3" borderId="19" xfId="3" applyFont="1" applyFill="1" applyBorder="1" applyAlignment="1">
      <alignment horizontal="center" vertical="center"/>
    </xf>
    <xf numFmtId="0" fontId="9" fillId="3" borderId="39" xfId="3" applyFont="1" applyFill="1" applyBorder="1" applyAlignment="1">
      <alignment horizontal="center" vertical="center"/>
    </xf>
    <xf numFmtId="0" fontId="9" fillId="3" borderId="36" xfId="3" applyFont="1" applyFill="1" applyBorder="1" applyAlignment="1">
      <alignment horizontal="center"/>
    </xf>
    <xf numFmtId="0" fontId="9" fillId="3" borderId="8" xfId="3" applyFont="1" applyFill="1" applyBorder="1" applyAlignment="1">
      <alignment horizontal="center"/>
    </xf>
    <xf numFmtId="0" fontId="9" fillId="3" borderId="9" xfId="3" applyFont="1" applyFill="1" applyBorder="1" applyAlignment="1">
      <alignment horizontal="center"/>
    </xf>
    <xf numFmtId="0" fontId="19" fillId="0" borderId="0" xfId="3" applyFont="1" applyAlignment="1">
      <alignment horizontal="right"/>
    </xf>
    <xf numFmtId="0" fontId="9" fillId="3" borderId="63" xfId="3" applyFont="1" applyFill="1" applyBorder="1" applyAlignment="1">
      <alignment horizontal="center" vertical="center"/>
    </xf>
    <xf numFmtId="0" fontId="9" fillId="3" borderId="48" xfId="3" applyFont="1" applyFill="1" applyBorder="1" applyAlignment="1">
      <alignment horizontal="center" vertical="center"/>
    </xf>
    <xf numFmtId="0" fontId="9" fillId="0" borderId="0" xfId="3" applyFont="1" applyAlignment="1">
      <alignment horizontal="left"/>
    </xf>
    <xf numFmtId="0" fontId="9" fillId="7" borderId="5" xfId="3" applyFont="1" applyFill="1" applyBorder="1" applyAlignment="1">
      <alignment vertical="center"/>
    </xf>
    <xf numFmtId="0" fontId="9" fillId="7" borderId="11" xfId="3" applyFont="1" applyFill="1" applyBorder="1" applyAlignment="1">
      <alignment vertical="center"/>
    </xf>
    <xf numFmtId="0" fontId="9" fillId="7" borderId="6" xfId="3" applyFont="1" applyFill="1" applyBorder="1" applyAlignment="1">
      <alignment horizontal="center" vertical="center"/>
    </xf>
    <xf numFmtId="0" fontId="9" fillId="7" borderId="12" xfId="3" applyFont="1" applyFill="1" applyBorder="1" applyAlignment="1">
      <alignment horizontal="center" vertical="center"/>
    </xf>
    <xf numFmtId="0" fontId="9" fillId="7" borderId="19" xfId="3" applyFont="1" applyFill="1" applyBorder="1" applyAlignment="1">
      <alignment horizontal="center" vertical="center"/>
    </xf>
    <xf numFmtId="0" fontId="9" fillId="7" borderId="39" xfId="3" applyFont="1" applyFill="1" applyBorder="1" applyAlignment="1">
      <alignment horizontal="center" vertical="center"/>
    </xf>
    <xf numFmtId="0" fontId="9" fillId="7" borderId="36" xfId="3" applyFont="1" applyFill="1" applyBorder="1" applyAlignment="1">
      <alignment horizontal="center"/>
    </xf>
    <xf numFmtId="0" fontId="9" fillId="7" borderId="8" xfId="3" applyFont="1" applyFill="1" applyBorder="1" applyAlignment="1">
      <alignment horizontal="center"/>
    </xf>
    <xf numFmtId="0" fontId="9" fillId="7" borderId="9" xfId="3" applyFont="1" applyFill="1" applyBorder="1" applyAlignment="1">
      <alignment horizontal="center"/>
    </xf>
    <xf numFmtId="0" fontId="9" fillId="7" borderId="10" xfId="3" applyFont="1" applyFill="1" applyBorder="1" applyAlignment="1">
      <alignment horizontal="center" vertical="center"/>
    </xf>
    <xf numFmtId="0" fontId="9" fillId="7" borderId="45" xfId="3" applyFont="1" applyFill="1" applyBorder="1" applyAlignment="1">
      <alignment horizontal="center" vertical="center"/>
    </xf>
    <xf numFmtId="0" fontId="9" fillId="3" borderId="5" xfId="3" applyFont="1" applyFill="1" applyBorder="1" applyAlignment="1">
      <alignment horizontal="center" vertical="center"/>
    </xf>
    <xf numFmtId="0" fontId="9" fillId="3" borderId="37" xfId="3" applyFont="1" applyFill="1" applyBorder="1" applyAlignment="1">
      <alignment horizontal="center" vertical="center"/>
    </xf>
    <xf numFmtId="0" fontId="9" fillId="7" borderId="5" xfId="3" applyFont="1" applyFill="1" applyBorder="1" applyAlignment="1">
      <alignment horizontal="center" vertical="center"/>
    </xf>
    <xf numFmtId="0" fontId="9" fillId="7" borderId="11" xfId="3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3" fillId="0" borderId="0" xfId="3" applyFont="1" applyAlignment="1">
      <alignment horizontal="center"/>
    </xf>
    <xf numFmtId="0" fontId="9" fillId="0" borderId="0" xfId="3" applyFont="1" applyAlignment="1">
      <alignment horizontal="right"/>
    </xf>
    <xf numFmtId="0" fontId="10" fillId="6" borderId="2" xfId="3" applyFont="1" applyFill="1" applyBorder="1" applyAlignment="1">
      <alignment horizontal="center"/>
    </xf>
    <xf numFmtId="0" fontId="10" fillId="6" borderId="51" xfId="3" applyFont="1" applyFill="1" applyBorder="1" applyAlignment="1">
      <alignment horizontal="center"/>
    </xf>
    <xf numFmtId="0" fontId="9" fillId="6" borderId="5" xfId="3" applyFont="1" applyFill="1" applyBorder="1" applyAlignment="1">
      <alignment vertical="center"/>
    </xf>
    <xf numFmtId="0" fontId="9" fillId="6" borderId="37" xfId="3" applyFont="1" applyFill="1" applyBorder="1" applyAlignment="1">
      <alignment vertical="center"/>
    </xf>
    <xf numFmtId="0" fontId="9" fillId="6" borderId="6" xfId="3" applyFont="1" applyFill="1" applyBorder="1" applyAlignment="1">
      <alignment horizontal="center" vertical="center"/>
    </xf>
    <xf numFmtId="0" fontId="9" fillId="6" borderId="31" xfId="3" applyFont="1" applyFill="1" applyBorder="1" applyAlignment="1">
      <alignment horizontal="center" vertical="center"/>
    </xf>
    <xf numFmtId="0" fontId="9" fillId="6" borderId="59" xfId="3" applyFont="1" applyFill="1" applyBorder="1" applyAlignment="1">
      <alignment horizontal="center"/>
    </xf>
    <xf numFmtId="0" fontId="9" fillId="6" borderId="57" xfId="3" applyFont="1" applyFill="1" applyBorder="1" applyAlignment="1">
      <alignment horizontal="center"/>
    </xf>
    <xf numFmtId="0" fontId="9" fillId="6" borderId="58" xfId="3" applyFont="1" applyFill="1" applyBorder="1" applyAlignment="1">
      <alignment horizontal="center"/>
    </xf>
    <xf numFmtId="168" fontId="19" fillId="0" borderId="0" xfId="0" applyNumberFormat="1" applyFont="1" applyAlignment="1">
      <alignment horizontal="right"/>
    </xf>
    <xf numFmtId="0" fontId="12" fillId="0" borderId="0" xfId="0" applyFont="1" applyAlignment="1">
      <alignment horizontal="center"/>
    </xf>
    <xf numFmtId="0" fontId="12" fillId="0" borderId="35" xfId="0" applyFont="1" applyBorder="1" applyAlignment="1">
      <alignment horizontal="center"/>
    </xf>
    <xf numFmtId="0" fontId="9" fillId="3" borderId="75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9" fillId="3" borderId="60" xfId="0" applyFont="1" applyFill="1" applyBorder="1" applyAlignment="1">
      <alignment horizontal="center" vertical="center"/>
    </xf>
    <xf numFmtId="0" fontId="9" fillId="3" borderId="34" xfId="0" applyFont="1" applyFill="1" applyBorder="1" applyAlignment="1">
      <alignment horizontal="center" vertical="center"/>
    </xf>
    <xf numFmtId="0" fontId="17" fillId="4" borderId="44" xfId="0" applyFont="1" applyFill="1" applyBorder="1" applyAlignment="1">
      <alignment horizontal="center" vertical="center"/>
    </xf>
    <xf numFmtId="0" fontId="17" fillId="4" borderId="45" xfId="0" applyFont="1" applyFill="1" applyBorder="1" applyAlignment="1">
      <alignment horizontal="center" vertical="center"/>
    </xf>
    <xf numFmtId="0" fontId="19" fillId="0" borderId="0" xfId="3" applyFont="1" applyAlignment="1">
      <alignment horizontal="center"/>
    </xf>
    <xf numFmtId="0" fontId="9" fillId="3" borderId="81" xfId="0" applyFont="1" applyFill="1" applyBorder="1" applyAlignment="1">
      <alignment horizontal="center" vertical="center"/>
    </xf>
    <xf numFmtId="0" fontId="9" fillId="3" borderId="111" xfId="0" applyFont="1" applyFill="1" applyBorder="1" applyAlignment="1">
      <alignment horizontal="center" vertical="center"/>
    </xf>
    <xf numFmtId="0" fontId="9" fillId="3" borderId="83" xfId="0" applyFont="1" applyFill="1" applyBorder="1" applyAlignment="1">
      <alignment horizontal="center" vertical="center"/>
    </xf>
    <xf numFmtId="0" fontId="9" fillId="3" borderId="112" xfId="0" applyFont="1" applyFill="1" applyBorder="1" applyAlignment="1">
      <alignment horizontal="center" vertical="center"/>
    </xf>
    <xf numFmtId="0" fontId="9" fillId="3" borderId="113" xfId="0" applyFont="1" applyFill="1" applyBorder="1" applyAlignment="1">
      <alignment horizontal="center" vertical="center"/>
    </xf>
    <xf numFmtId="0" fontId="9" fillId="3" borderId="114" xfId="0" applyFont="1" applyFill="1" applyBorder="1" applyAlignment="1">
      <alignment horizontal="center" vertical="center"/>
    </xf>
    <xf numFmtId="0" fontId="9" fillId="0" borderId="35" xfId="3" applyFont="1" applyBorder="1" applyAlignment="1">
      <alignment horizontal="center"/>
    </xf>
    <xf numFmtId="164" fontId="9" fillId="3" borderId="40" xfId="0" applyNumberFormat="1" applyFont="1" applyFill="1" applyBorder="1" applyAlignment="1">
      <alignment horizontal="center" vertical="center"/>
    </xf>
    <xf numFmtId="164" fontId="9" fillId="3" borderId="44" xfId="0" applyNumberFormat="1" applyFont="1" applyFill="1" applyBorder="1" applyAlignment="1">
      <alignment horizontal="center" vertical="center"/>
    </xf>
    <xf numFmtId="164" fontId="9" fillId="3" borderId="115" xfId="0" applyNumberFormat="1" applyFont="1" applyFill="1" applyBorder="1" applyAlignment="1">
      <alignment horizontal="center" vertical="center"/>
    </xf>
    <xf numFmtId="164" fontId="9" fillId="3" borderId="48" xfId="0" applyNumberFormat="1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69" xfId="0" applyFont="1" applyFill="1" applyBorder="1" applyAlignment="1">
      <alignment horizontal="center" vertical="center"/>
    </xf>
    <xf numFmtId="0" fontId="9" fillId="7" borderId="101" xfId="0" applyFont="1" applyFill="1" applyBorder="1" applyAlignment="1">
      <alignment horizontal="center" vertical="center"/>
    </xf>
    <xf numFmtId="0" fontId="9" fillId="3" borderId="6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01" xfId="0" applyFont="1" applyFill="1" applyBorder="1" applyAlignment="1">
      <alignment horizontal="center" vertical="center"/>
    </xf>
  </cellXfs>
  <cellStyles count="7">
    <cellStyle name="Comma" xfId="5" builtinId="3"/>
    <cellStyle name="Comma [0]" xfId="6" builtinId="6"/>
    <cellStyle name="Comma [0] 2" xfId="2"/>
    <cellStyle name="Comma [0] 3" xfId="4"/>
    <cellStyle name="Normal" xfId="0" builtinId="0"/>
    <cellStyle name="Normal 2" xfId="1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M174"/>
  <sheetViews>
    <sheetView zoomScale="90" zoomScaleNormal="90" workbookViewId="0">
      <pane ySplit="6" topLeftCell="A70" activePane="bottomLeft" state="frozen"/>
      <selection pane="bottomLeft" activeCell="B2" sqref="B2:I90"/>
    </sheetView>
  </sheetViews>
  <sheetFormatPr defaultColWidth="9.140625" defaultRowHeight="14.25" x14ac:dyDescent="0.2"/>
  <cols>
    <col min="1" max="1" width="9.140625" style="27"/>
    <col min="2" max="2" width="4.42578125" style="27" customWidth="1"/>
    <col min="3" max="3" width="28.7109375" style="27" customWidth="1"/>
    <col min="4" max="4" width="18.5703125" style="27" customWidth="1"/>
    <col min="5" max="5" width="19.140625" style="27" customWidth="1"/>
    <col min="6" max="7" width="18.140625" style="27" customWidth="1"/>
    <col min="8" max="9" width="19" style="27" customWidth="1"/>
    <col min="10" max="10" width="16.42578125" style="27" customWidth="1"/>
    <col min="11" max="16384" width="9.140625" style="27"/>
  </cols>
  <sheetData>
    <row r="2" spans="2:10" ht="15" x14ac:dyDescent="0.25">
      <c r="B2" s="392" t="s">
        <v>140</v>
      </c>
      <c r="C2" s="392"/>
      <c r="D2" s="392"/>
      <c r="E2" s="392"/>
      <c r="F2" s="392"/>
      <c r="G2" s="392"/>
      <c r="H2" s="392"/>
      <c r="I2" s="392"/>
      <c r="J2" s="75"/>
    </row>
    <row r="3" spans="2:10" ht="15" x14ac:dyDescent="0.25">
      <c r="B3" s="392" t="s">
        <v>144</v>
      </c>
      <c r="C3" s="392"/>
      <c r="D3" s="392"/>
      <c r="E3" s="392"/>
      <c r="F3" s="392"/>
      <c r="G3" s="392"/>
      <c r="H3" s="392"/>
      <c r="I3" s="392"/>
      <c r="J3" s="75"/>
    </row>
    <row r="4" spans="2:10" ht="15.75" thickBot="1" x14ac:dyDescent="0.3">
      <c r="B4" s="393" t="s">
        <v>1</v>
      </c>
      <c r="C4" s="393"/>
      <c r="D4" s="393"/>
      <c r="E4" s="393"/>
      <c r="F4" s="393"/>
      <c r="G4" s="393"/>
      <c r="H4" s="393"/>
      <c r="I4" s="393"/>
      <c r="J4" s="78"/>
    </row>
    <row r="5" spans="2:10" ht="15" x14ac:dyDescent="0.25">
      <c r="B5" s="394" t="s">
        <v>2</v>
      </c>
      <c r="C5" s="396" t="s">
        <v>3</v>
      </c>
      <c r="D5" s="398" t="s">
        <v>4</v>
      </c>
      <c r="E5" s="400" t="s">
        <v>5</v>
      </c>
      <c r="F5" s="401"/>
      <c r="G5" s="402"/>
      <c r="H5" s="401" t="s">
        <v>6</v>
      </c>
      <c r="I5" s="402"/>
      <c r="J5" s="404" t="s">
        <v>0</v>
      </c>
    </row>
    <row r="6" spans="2:10" ht="15.75" thickBot="1" x14ac:dyDescent="0.3">
      <c r="B6" s="395"/>
      <c r="C6" s="397"/>
      <c r="D6" s="399"/>
      <c r="E6" s="147" t="s">
        <v>145</v>
      </c>
      <c r="F6" s="148" t="s">
        <v>146</v>
      </c>
      <c r="G6" s="79" t="s">
        <v>7</v>
      </c>
      <c r="H6" s="80" t="s">
        <v>8</v>
      </c>
      <c r="I6" s="81" t="s">
        <v>9</v>
      </c>
      <c r="J6" s="405"/>
    </row>
    <row r="7" spans="2:10" ht="15" x14ac:dyDescent="0.25">
      <c r="B7" s="40"/>
      <c r="C7" s="41" t="s">
        <v>10</v>
      </c>
      <c r="D7" s="82"/>
      <c r="E7" s="42"/>
      <c r="F7" s="42"/>
      <c r="G7" s="41"/>
      <c r="H7" s="42"/>
      <c r="I7" s="42"/>
      <c r="J7" s="83"/>
    </row>
    <row r="8" spans="2:10" ht="15" x14ac:dyDescent="0.25">
      <c r="B8" s="43" t="s">
        <v>12</v>
      </c>
      <c r="C8" s="44" t="s">
        <v>13</v>
      </c>
      <c r="D8" s="45"/>
      <c r="E8" s="45"/>
      <c r="F8" s="45"/>
      <c r="G8" s="59"/>
      <c r="H8" s="45"/>
      <c r="I8" s="45"/>
      <c r="J8" s="84"/>
    </row>
    <row r="9" spans="2:10" ht="15" x14ac:dyDescent="0.25">
      <c r="B9" s="46"/>
      <c r="C9" s="47" t="s">
        <v>36</v>
      </c>
      <c r="D9" s="85">
        <v>10408000</v>
      </c>
      <c r="E9" s="48">
        <v>6053000</v>
      </c>
      <c r="F9" s="61">
        <v>0</v>
      </c>
      <c r="G9" s="61">
        <f>E9+F9</f>
        <v>6053000</v>
      </c>
      <c r="H9" s="85">
        <f t="shared" ref="H9:H28" si="0">G9-D9</f>
        <v>-4355000</v>
      </c>
      <c r="I9" s="86">
        <f t="shared" ref="I9:I22" si="1">G9/D9%</f>
        <v>58.157186779400462</v>
      </c>
      <c r="J9" s="87"/>
    </row>
    <row r="10" spans="2:10" ht="15" x14ac:dyDescent="0.25">
      <c r="B10" s="46"/>
      <c r="C10" s="47" t="s">
        <v>37</v>
      </c>
      <c r="D10" s="85">
        <v>7645000</v>
      </c>
      <c r="E10" s="48">
        <v>5820000</v>
      </c>
      <c r="F10" s="61">
        <v>0</v>
      </c>
      <c r="G10" s="61">
        <f t="shared" ref="G10:G19" si="2">E10+F10</f>
        <v>5820000</v>
      </c>
      <c r="H10" s="85">
        <f t="shared" si="0"/>
        <v>-1825000</v>
      </c>
      <c r="I10" s="86">
        <f t="shared" si="1"/>
        <v>76.128188358404188</v>
      </c>
      <c r="J10" s="87"/>
    </row>
    <row r="11" spans="2:10" ht="15" x14ac:dyDescent="0.25">
      <c r="B11" s="46"/>
      <c r="C11" s="47" t="s">
        <v>52</v>
      </c>
      <c r="D11" s="85">
        <v>106000</v>
      </c>
      <c r="E11" s="48">
        <v>72000</v>
      </c>
      <c r="F11" s="61">
        <v>0</v>
      </c>
      <c r="G11" s="61">
        <f t="shared" si="2"/>
        <v>72000</v>
      </c>
      <c r="H11" s="85"/>
      <c r="I11" s="86"/>
      <c r="J11" s="87"/>
    </row>
    <row r="12" spans="2:10" ht="15" x14ac:dyDescent="0.25">
      <c r="B12" s="46"/>
      <c r="C12" s="47" t="s">
        <v>53</v>
      </c>
      <c r="D12" s="85">
        <v>16637000</v>
      </c>
      <c r="E12" s="48">
        <v>14718722</v>
      </c>
      <c r="F12" s="61">
        <f>110000</f>
        <v>110000</v>
      </c>
      <c r="G12" s="61">
        <f t="shared" si="2"/>
        <v>14828722</v>
      </c>
      <c r="H12" s="85">
        <f t="shared" si="0"/>
        <v>-1808278</v>
      </c>
      <c r="I12" s="86">
        <f t="shared" si="1"/>
        <v>89.130985153573363</v>
      </c>
      <c r="J12" s="87"/>
    </row>
    <row r="13" spans="2:10" ht="15" x14ac:dyDescent="0.25">
      <c r="B13" s="46"/>
      <c r="C13" s="47" t="s">
        <v>54</v>
      </c>
      <c r="D13" s="85">
        <v>284000</v>
      </c>
      <c r="E13" s="48">
        <v>8442000</v>
      </c>
      <c r="F13" s="61">
        <f>150000</f>
        <v>150000</v>
      </c>
      <c r="G13" s="61">
        <f t="shared" si="2"/>
        <v>8592000</v>
      </c>
      <c r="H13" s="85">
        <f t="shared" si="0"/>
        <v>8308000</v>
      </c>
      <c r="I13" s="86">
        <f t="shared" si="1"/>
        <v>3025.3521126760565</v>
      </c>
      <c r="J13" s="88"/>
    </row>
    <row r="14" spans="2:10" ht="15" x14ac:dyDescent="0.25">
      <c r="B14" s="46"/>
      <c r="C14" s="47" t="s">
        <v>55</v>
      </c>
      <c r="D14" s="85">
        <v>8153000</v>
      </c>
      <c r="E14" s="48">
        <v>4354000</v>
      </c>
      <c r="F14" s="61">
        <v>0</v>
      </c>
      <c r="G14" s="61">
        <f>E14+F14</f>
        <v>4354000</v>
      </c>
      <c r="H14" s="85">
        <f t="shared" si="0"/>
        <v>-3799000</v>
      </c>
      <c r="I14" s="86">
        <f t="shared" si="1"/>
        <v>53.403655096283579</v>
      </c>
      <c r="J14" s="88"/>
    </row>
    <row r="15" spans="2:10" ht="15" x14ac:dyDescent="0.25">
      <c r="B15" s="46"/>
      <c r="C15" s="47" t="s">
        <v>56</v>
      </c>
      <c r="D15" s="85">
        <v>9598000</v>
      </c>
      <c r="E15" s="48">
        <v>6917666</v>
      </c>
      <c r="F15" s="61">
        <f>80000+45000+670000+500000</f>
        <v>1295000</v>
      </c>
      <c r="G15" s="61">
        <f t="shared" si="2"/>
        <v>8212666</v>
      </c>
      <c r="H15" s="85">
        <f t="shared" si="0"/>
        <v>-1385334</v>
      </c>
      <c r="I15" s="86">
        <f t="shared" si="1"/>
        <v>85.566430506355488</v>
      </c>
      <c r="J15" s="87"/>
    </row>
    <row r="16" spans="2:10" ht="15" x14ac:dyDescent="0.25">
      <c r="B16" s="46"/>
      <c r="C16" s="47" t="s">
        <v>57</v>
      </c>
      <c r="D16" s="85">
        <v>40989000</v>
      </c>
      <c r="E16" s="48">
        <v>18512762</v>
      </c>
      <c r="F16" s="61">
        <f>200000+100000+300000+300000+120000+70000+150000+85000+100000+150000+200000+350000</f>
        <v>2125000</v>
      </c>
      <c r="G16" s="168">
        <f>E16+F16</f>
        <v>20637762</v>
      </c>
      <c r="H16" s="85">
        <f t="shared" si="0"/>
        <v>-20351238</v>
      </c>
      <c r="I16" s="86">
        <f t="shared" si="1"/>
        <v>50.349513284051817</v>
      </c>
      <c r="J16" s="87"/>
    </row>
    <row r="17" spans="2:13" ht="15" x14ac:dyDescent="0.25">
      <c r="B17" s="46"/>
      <c r="C17" s="47" t="s">
        <v>58</v>
      </c>
      <c r="D17" s="85">
        <v>1694000</v>
      </c>
      <c r="E17" s="48">
        <v>519956</v>
      </c>
      <c r="F17" s="61">
        <f>150000</f>
        <v>150000</v>
      </c>
      <c r="G17" s="61">
        <f>E17+F17</f>
        <v>669956</v>
      </c>
      <c r="H17" s="85">
        <f t="shared" si="0"/>
        <v>-1024044</v>
      </c>
      <c r="I17" s="86">
        <f t="shared" si="1"/>
        <v>39.54876033057851</v>
      </c>
      <c r="J17" s="87"/>
    </row>
    <row r="18" spans="2:13" ht="15" x14ac:dyDescent="0.25">
      <c r="B18" s="46"/>
      <c r="C18" s="47" t="s">
        <v>59</v>
      </c>
      <c r="D18" s="85">
        <v>3598000</v>
      </c>
      <c r="E18" s="48">
        <v>1970000</v>
      </c>
      <c r="F18" s="61">
        <f>65000</f>
        <v>65000</v>
      </c>
      <c r="G18" s="61">
        <f t="shared" si="2"/>
        <v>2035000</v>
      </c>
      <c r="H18" s="85">
        <f t="shared" si="0"/>
        <v>-1563000</v>
      </c>
      <c r="I18" s="86">
        <f t="shared" si="1"/>
        <v>56.559199555308503</v>
      </c>
      <c r="J18" s="87"/>
    </row>
    <row r="19" spans="2:13" ht="15" x14ac:dyDescent="0.25">
      <c r="B19" s="46"/>
      <c r="C19" s="47" t="s">
        <v>60</v>
      </c>
      <c r="D19" s="85">
        <v>27383000</v>
      </c>
      <c r="E19" s="48">
        <v>22250500</v>
      </c>
      <c r="F19" s="61">
        <f>80000+280000+380000+1500000+950000+100000</f>
        <v>3290000</v>
      </c>
      <c r="G19" s="61">
        <f t="shared" si="2"/>
        <v>25540500</v>
      </c>
      <c r="H19" s="85">
        <f t="shared" si="0"/>
        <v>-1842500</v>
      </c>
      <c r="I19" s="86">
        <f t="shared" si="1"/>
        <v>93.271372749516118</v>
      </c>
      <c r="J19" s="87"/>
    </row>
    <row r="20" spans="2:13" ht="15" x14ac:dyDescent="0.25">
      <c r="B20" s="46"/>
      <c r="C20" s="47" t="s">
        <v>61</v>
      </c>
      <c r="D20" s="85">
        <v>61655000</v>
      </c>
      <c r="E20" s="48">
        <v>41072500</v>
      </c>
      <c r="F20" s="61">
        <f>290000+2100000</f>
        <v>2390000</v>
      </c>
      <c r="G20" s="61">
        <f>E20+F20</f>
        <v>43462500</v>
      </c>
      <c r="H20" s="85">
        <f t="shared" si="0"/>
        <v>-18192500</v>
      </c>
      <c r="I20" s="86">
        <f t="shared" si="1"/>
        <v>70.493066255778118</v>
      </c>
      <c r="J20" s="87"/>
    </row>
    <row r="21" spans="2:13" ht="15" x14ac:dyDescent="0.25">
      <c r="B21" s="46"/>
      <c r="C21" s="47" t="s">
        <v>62</v>
      </c>
      <c r="D21" s="85">
        <v>0</v>
      </c>
      <c r="E21" s="48">
        <v>0</v>
      </c>
      <c r="F21" s="61">
        <v>0</v>
      </c>
      <c r="G21" s="61">
        <f t="shared" ref="G21:G27" si="3">E21+F21</f>
        <v>0</v>
      </c>
      <c r="H21" s="85">
        <f>G21-D21</f>
        <v>0</v>
      </c>
      <c r="I21" s="86" t="e">
        <f>G21/D21%</f>
        <v>#DIV/0!</v>
      </c>
      <c r="J21" s="87"/>
    </row>
    <row r="22" spans="2:13" ht="15" x14ac:dyDescent="0.25">
      <c r="B22" s="46"/>
      <c r="C22" s="47" t="s">
        <v>63</v>
      </c>
      <c r="D22" s="85">
        <v>318000</v>
      </c>
      <c r="E22" s="48">
        <v>0</v>
      </c>
      <c r="F22" s="61">
        <v>0</v>
      </c>
      <c r="G22" s="61">
        <f t="shared" si="3"/>
        <v>0</v>
      </c>
      <c r="H22" s="85">
        <f t="shared" si="0"/>
        <v>-318000</v>
      </c>
      <c r="I22" s="86">
        <f t="shared" si="1"/>
        <v>0</v>
      </c>
      <c r="J22" s="87"/>
    </row>
    <row r="23" spans="2:13" ht="15" x14ac:dyDescent="0.25">
      <c r="B23" s="46"/>
      <c r="C23" s="47" t="s">
        <v>64</v>
      </c>
      <c r="D23" s="85">
        <v>4669000</v>
      </c>
      <c r="E23" s="48">
        <v>1171428</v>
      </c>
      <c r="F23" s="61">
        <f>1200000</f>
        <v>1200000</v>
      </c>
      <c r="G23" s="61">
        <f t="shared" si="3"/>
        <v>2371428</v>
      </c>
      <c r="H23" s="85">
        <f>G23-D23</f>
        <v>-2297572</v>
      </c>
      <c r="I23" s="86">
        <f>G23/D23%</f>
        <v>50.790918826301137</v>
      </c>
      <c r="J23" s="87"/>
    </row>
    <row r="24" spans="2:13" ht="15" x14ac:dyDescent="0.25">
      <c r="B24" s="46"/>
      <c r="C24" s="47" t="s">
        <v>65</v>
      </c>
      <c r="D24" s="85">
        <v>0</v>
      </c>
      <c r="E24" s="48">
        <v>1260000</v>
      </c>
      <c r="F24" s="61">
        <f>600000+100000</f>
        <v>700000</v>
      </c>
      <c r="G24" s="61">
        <f t="shared" si="3"/>
        <v>1960000</v>
      </c>
      <c r="H24" s="85">
        <f>G24-D24</f>
        <v>1960000</v>
      </c>
      <c r="I24" s="86" t="e">
        <f>G24/D24%</f>
        <v>#DIV/0!</v>
      </c>
      <c r="J24" s="87"/>
    </row>
    <row r="25" spans="2:13" ht="15" x14ac:dyDescent="0.25">
      <c r="B25" s="46"/>
      <c r="C25" s="47" t="s">
        <v>66</v>
      </c>
      <c r="D25" s="85">
        <v>12706000</v>
      </c>
      <c r="E25" s="48">
        <v>15367272</v>
      </c>
      <c r="F25" s="61">
        <v>0</v>
      </c>
      <c r="G25" s="61">
        <f t="shared" si="3"/>
        <v>15367272</v>
      </c>
      <c r="H25" s="85">
        <f>G25-D25</f>
        <v>2661272</v>
      </c>
      <c r="I25" s="86">
        <f>G25/D25%</f>
        <v>120.94500236108925</v>
      </c>
      <c r="J25" s="87"/>
    </row>
    <row r="26" spans="2:13" ht="15" x14ac:dyDescent="0.25">
      <c r="B26" s="46"/>
      <c r="C26" s="47" t="s">
        <v>67</v>
      </c>
      <c r="D26" s="85">
        <v>0</v>
      </c>
      <c r="E26" s="48">
        <v>845000</v>
      </c>
      <c r="F26" s="61">
        <v>0</v>
      </c>
      <c r="G26" s="61">
        <f t="shared" si="3"/>
        <v>845000</v>
      </c>
      <c r="H26" s="85">
        <f>G26-D26</f>
        <v>845000</v>
      </c>
      <c r="I26" s="86" t="e">
        <f>G26/D26%</f>
        <v>#DIV/0!</v>
      </c>
      <c r="J26" s="87"/>
    </row>
    <row r="27" spans="2:13" ht="15" x14ac:dyDescent="0.25">
      <c r="B27" s="46"/>
      <c r="C27" s="47" t="s">
        <v>68</v>
      </c>
      <c r="D27" s="85">
        <v>0</v>
      </c>
      <c r="E27" s="48">
        <v>0</v>
      </c>
      <c r="F27" s="61">
        <v>0</v>
      </c>
      <c r="G27" s="61">
        <f t="shared" si="3"/>
        <v>0</v>
      </c>
      <c r="H27" s="85">
        <f>G27-D27</f>
        <v>0</v>
      </c>
      <c r="I27" s="86" t="e">
        <f>G27/D27%</f>
        <v>#DIV/0!</v>
      </c>
      <c r="J27" s="87"/>
    </row>
    <row r="28" spans="2:13" ht="15" x14ac:dyDescent="0.25">
      <c r="B28" s="46"/>
      <c r="C28" s="47" t="s">
        <v>69</v>
      </c>
      <c r="D28" s="85">
        <v>16706000</v>
      </c>
      <c r="E28" s="48">
        <v>16062318</v>
      </c>
      <c r="F28" s="61">
        <v>0</v>
      </c>
      <c r="G28" s="61">
        <f>E28+F28</f>
        <v>16062318</v>
      </c>
      <c r="H28" s="85">
        <f t="shared" si="0"/>
        <v>-643682</v>
      </c>
      <c r="I28" s="86"/>
      <c r="J28" s="87"/>
    </row>
    <row r="29" spans="2:13" ht="15" x14ac:dyDescent="0.25">
      <c r="B29" s="46"/>
      <c r="C29" s="47"/>
      <c r="D29" s="47"/>
      <c r="E29" s="61"/>
      <c r="F29" s="61"/>
      <c r="G29" s="61"/>
      <c r="H29" s="85"/>
      <c r="I29" s="86"/>
      <c r="J29" s="87"/>
    </row>
    <row r="30" spans="2:13" ht="15" x14ac:dyDescent="0.25">
      <c r="B30" s="169"/>
      <c r="C30" s="170" t="s">
        <v>14</v>
      </c>
      <c r="D30" s="135">
        <f>SUM(D9:D28)</f>
        <v>222549000</v>
      </c>
      <c r="E30" s="89">
        <f>SUM(E9:E28)</f>
        <v>165409124</v>
      </c>
      <c r="F30" s="89">
        <f>SUM(F9:F28)</f>
        <v>11475000</v>
      </c>
      <c r="G30" s="89">
        <f>SUM(G9:G28)</f>
        <v>176884124</v>
      </c>
      <c r="H30" s="136">
        <f>SUM(H9:H22)</f>
        <v>-48155894</v>
      </c>
      <c r="I30" s="91">
        <f>G30/D30%</f>
        <v>79.480979020350574</v>
      </c>
      <c r="J30" s="171"/>
      <c r="K30" s="149"/>
      <c r="L30" s="149"/>
      <c r="M30" s="149"/>
    </row>
    <row r="31" spans="2:13" ht="15" x14ac:dyDescent="0.25">
      <c r="B31" s="46"/>
      <c r="C31" s="47"/>
      <c r="D31" s="47"/>
      <c r="E31" s="61"/>
      <c r="F31" s="62"/>
      <c r="G31" s="61"/>
      <c r="H31" s="85"/>
      <c r="I31" s="85"/>
      <c r="J31" s="87"/>
    </row>
    <row r="32" spans="2:13" ht="15" x14ac:dyDescent="0.25">
      <c r="B32" s="46" t="s">
        <v>15</v>
      </c>
      <c r="C32" s="60" t="s">
        <v>16</v>
      </c>
      <c r="D32" s="47"/>
      <c r="E32" s="61"/>
      <c r="F32" s="62"/>
      <c r="G32" s="61"/>
      <c r="H32" s="85"/>
      <c r="I32" s="85"/>
      <c r="J32" s="87"/>
    </row>
    <row r="33" spans="2:13" ht="15" x14ac:dyDescent="0.25">
      <c r="B33" s="46"/>
      <c r="C33" s="47" t="s">
        <v>38</v>
      </c>
      <c r="D33" s="85">
        <v>611000</v>
      </c>
      <c r="E33" s="48">
        <v>335000</v>
      </c>
      <c r="F33" s="61">
        <v>0</v>
      </c>
      <c r="G33" s="61">
        <f>E33+F33</f>
        <v>335000</v>
      </c>
      <c r="H33" s="85">
        <f t="shared" ref="H33:H49" si="4">G33-D33</f>
        <v>-276000</v>
      </c>
      <c r="I33" s="86">
        <f t="shared" ref="I33:I49" si="5">G33/D33%</f>
        <v>54.828150572831426</v>
      </c>
      <c r="J33" s="87"/>
    </row>
    <row r="34" spans="2:13" ht="15" x14ac:dyDescent="0.25">
      <c r="B34" s="172"/>
      <c r="C34" s="173" t="s">
        <v>39</v>
      </c>
      <c r="D34" s="174">
        <v>28857000</v>
      </c>
      <c r="E34" s="175">
        <v>17235956</v>
      </c>
      <c r="F34" s="168">
        <f>30000+15000+75000+45000+155000</f>
        <v>320000</v>
      </c>
      <c r="G34" s="168">
        <f t="shared" ref="G34:G49" si="6">E34+F34</f>
        <v>17555956</v>
      </c>
      <c r="H34" s="174">
        <f t="shared" si="4"/>
        <v>-11301044</v>
      </c>
      <c r="I34" s="176">
        <f t="shared" si="5"/>
        <v>60.837772464220123</v>
      </c>
      <c r="J34" s="179"/>
      <c r="K34" s="177"/>
      <c r="L34" s="177"/>
      <c r="M34" s="177"/>
    </row>
    <row r="35" spans="2:13" ht="15" x14ac:dyDescent="0.25">
      <c r="B35" s="46"/>
      <c r="C35" s="47" t="s">
        <v>40</v>
      </c>
      <c r="D35" s="85">
        <v>7702000</v>
      </c>
      <c r="E35" s="48">
        <v>5993000</v>
      </c>
      <c r="F35" s="61">
        <v>0</v>
      </c>
      <c r="G35" s="61">
        <f>E35+F35</f>
        <v>5993000</v>
      </c>
      <c r="H35" s="85">
        <f t="shared" si="4"/>
        <v>-1709000</v>
      </c>
      <c r="I35" s="86">
        <f>G35/D35%</f>
        <v>77.810958192677234</v>
      </c>
      <c r="J35" s="180"/>
    </row>
    <row r="36" spans="2:13" ht="15" x14ac:dyDescent="0.25">
      <c r="B36" s="46"/>
      <c r="C36" s="47" t="s">
        <v>41</v>
      </c>
      <c r="D36" s="85">
        <v>1523000</v>
      </c>
      <c r="E36" s="48">
        <v>625000</v>
      </c>
      <c r="F36" s="61">
        <v>0</v>
      </c>
      <c r="G36" s="61">
        <f t="shared" si="6"/>
        <v>625000</v>
      </c>
      <c r="H36" s="85">
        <f t="shared" si="4"/>
        <v>-898000</v>
      </c>
      <c r="I36" s="86">
        <f t="shared" si="5"/>
        <v>41.037426132632959</v>
      </c>
      <c r="J36" s="87"/>
    </row>
    <row r="37" spans="2:13" ht="15" x14ac:dyDescent="0.25">
      <c r="B37" s="46"/>
      <c r="C37" s="47" t="s">
        <v>50</v>
      </c>
      <c r="D37" s="85">
        <v>0</v>
      </c>
      <c r="E37" s="48">
        <v>0</v>
      </c>
      <c r="F37" s="61">
        <v>0</v>
      </c>
      <c r="G37" s="61">
        <f t="shared" si="6"/>
        <v>0</v>
      </c>
      <c r="H37" s="85">
        <f>G37-D37</f>
        <v>0</v>
      </c>
      <c r="I37" s="86" t="e">
        <f>G37/D37%</f>
        <v>#DIV/0!</v>
      </c>
      <c r="J37" s="87"/>
    </row>
    <row r="38" spans="2:13" ht="15" x14ac:dyDescent="0.25">
      <c r="B38" s="46"/>
      <c r="C38" s="47" t="s">
        <v>51</v>
      </c>
      <c r="D38" s="85">
        <v>0</v>
      </c>
      <c r="E38" s="48">
        <v>0</v>
      </c>
      <c r="F38" s="61">
        <v>0</v>
      </c>
      <c r="G38" s="61">
        <f>E38+F38</f>
        <v>0</v>
      </c>
      <c r="H38" s="85">
        <f>G38-D38</f>
        <v>0</v>
      </c>
      <c r="I38" s="86" t="e">
        <f>G38/D38%</f>
        <v>#DIV/0!</v>
      </c>
      <c r="J38" s="87"/>
    </row>
    <row r="39" spans="2:13" ht="15" x14ac:dyDescent="0.25">
      <c r="B39" s="46"/>
      <c r="C39" s="47" t="s">
        <v>49</v>
      </c>
      <c r="D39" s="85">
        <v>0</v>
      </c>
      <c r="E39" s="48">
        <v>100000</v>
      </c>
      <c r="F39" s="61">
        <v>0</v>
      </c>
      <c r="G39" s="61">
        <f t="shared" si="6"/>
        <v>100000</v>
      </c>
      <c r="H39" s="85">
        <f>G39-D38</f>
        <v>100000</v>
      </c>
      <c r="I39" s="86" t="e">
        <f>G39/D38%</f>
        <v>#DIV/0!</v>
      </c>
      <c r="J39" s="87"/>
    </row>
    <row r="40" spans="2:13" ht="15" x14ac:dyDescent="0.25">
      <c r="B40" s="46"/>
      <c r="C40" s="47" t="s">
        <v>79</v>
      </c>
      <c r="D40" s="85">
        <v>2296000</v>
      </c>
      <c r="E40" s="48">
        <v>2620000</v>
      </c>
      <c r="F40" s="61">
        <v>0</v>
      </c>
      <c r="G40" s="61">
        <f t="shared" si="6"/>
        <v>2620000</v>
      </c>
      <c r="H40" s="85">
        <f>G40-D39</f>
        <v>2620000</v>
      </c>
      <c r="I40" s="86" t="e">
        <f>G40/D39%</f>
        <v>#DIV/0!</v>
      </c>
      <c r="J40" s="87"/>
    </row>
    <row r="41" spans="2:13" ht="15" x14ac:dyDescent="0.25">
      <c r="B41" s="46"/>
      <c r="C41" s="47" t="s">
        <v>71</v>
      </c>
      <c r="D41" s="85">
        <v>4110000</v>
      </c>
      <c r="E41" s="48">
        <v>3065000</v>
      </c>
      <c r="F41" s="61">
        <f>60000</f>
        <v>60000</v>
      </c>
      <c r="G41" s="61">
        <f t="shared" si="6"/>
        <v>3125000</v>
      </c>
      <c r="H41" s="85">
        <f>G41-D40</f>
        <v>829000</v>
      </c>
      <c r="I41" s="86">
        <f>G41/D40%</f>
        <v>136.10627177700349</v>
      </c>
      <c r="J41" s="87"/>
    </row>
    <row r="42" spans="2:13" ht="15" x14ac:dyDescent="0.25">
      <c r="B42" s="46"/>
      <c r="C42" s="47" t="s">
        <v>72</v>
      </c>
      <c r="D42" s="144">
        <v>3118000</v>
      </c>
      <c r="E42" s="48">
        <v>3875000</v>
      </c>
      <c r="F42" s="61">
        <f>150000</f>
        <v>150000</v>
      </c>
      <c r="G42" s="61">
        <f t="shared" si="6"/>
        <v>4025000</v>
      </c>
      <c r="H42" s="85">
        <f>G42-D41</f>
        <v>-85000</v>
      </c>
      <c r="I42" s="86">
        <f>G42/D41%</f>
        <v>97.931873479318739</v>
      </c>
      <c r="J42" s="87"/>
    </row>
    <row r="43" spans="2:13" ht="15" x14ac:dyDescent="0.25">
      <c r="B43" s="46"/>
      <c r="C43" s="47" t="s">
        <v>70</v>
      </c>
      <c r="D43" s="85">
        <v>424000</v>
      </c>
      <c r="E43" s="48">
        <v>295000</v>
      </c>
      <c r="F43" s="61">
        <v>0</v>
      </c>
      <c r="G43" s="61">
        <f t="shared" si="6"/>
        <v>295000</v>
      </c>
      <c r="H43" s="85">
        <f t="shared" si="4"/>
        <v>-129000</v>
      </c>
      <c r="I43" s="86">
        <f t="shared" si="5"/>
        <v>69.575471698113205</v>
      </c>
      <c r="J43" s="87"/>
    </row>
    <row r="44" spans="2:13" ht="15" x14ac:dyDescent="0.25">
      <c r="B44" s="46"/>
      <c r="C44" s="47" t="s">
        <v>73</v>
      </c>
      <c r="D44" s="85">
        <v>529000</v>
      </c>
      <c r="E44" s="48">
        <v>712500</v>
      </c>
      <c r="F44" s="61">
        <v>0</v>
      </c>
      <c r="G44" s="61">
        <f t="shared" si="6"/>
        <v>712500</v>
      </c>
      <c r="H44" s="85">
        <f t="shared" si="4"/>
        <v>183500</v>
      </c>
      <c r="I44" s="86">
        <f t="shared" si="5"/>
        <v>134.68809073724009</v>
      </c>
      <c r="J44" s="87"/>
    </row>
    <row r="45" spans="2:13" ht="15" x14ac:dyDescent="0.25">
      <c r="B45" s="46"/>
      <c r="C45" s="47" t="s">
        <v>74</v>
      </c>
      <c r="D45" s="85">
        <v>0</v>
      </c>
      <c r="E45" s="48">
        <v>0</v>
      </c>
      <c r="F45" s="61">
        <v>0</v>
      </c>
      <c r="G45" s="61">
        <f t="shared" si="6"/>
        <v>0</v>
      </c>
      <c r="H45" s="85">
        <f t="shared" si="4"/>
        <v>0</v>
      </c>
      <c r="I45" s="86" t="e">
        <f t="shared" si="5"/>
        <v>#DIV/0!</v>
      </c>
      <c r="J45" s="87"/>
    </row>
    <row r="46" spans="2:13" ht="15" x14ac:dyDescent="0.25">
      <c r="B46" s="46"/>
      <c r="C46" s="47" t="s">
        <v>75</v>
      </c>
      <c r="D46" s="85">
        <v>3388000</v>
      </c>
      <c r="E46" s="48">
        <v>800000</v>
      </c>
      <c r="F46" s="61">
        <f>1000000</f>
        <v>1000000</v>
      </c>
      <c r="G46" s="61">
        <f t="shared" si="6"/>
        <v>1800000</v>
      </c>
      <c r="H46" s="85">
        <f t="shared" si="4"/>
        <v>-1588000</v>
      </c>
      <c r="I46" s="86">
        <f t="shared" si="5"/>
        <v>53.128689492325854</v>
      </c>
      <c r="J46" s="87"/>
    </row>
    <row r="47" spans="2:13" ht="15" x14ac:dyDescent="0.25">
      <c r="B47" s="46"/>
      <c r="C47" s="47" t="s">
        <v>76</v>
      </c>
      <c r="D47" s="85">
        <v>0</v>
      </c>
      <c r="E47" s="48">
        <v>0</v>
      </c>
      <c r="F47" s="61"/>
      <c r="G47" s="61">
        <f t="shared" si="6"/>
        <v>0</v>
      </c>
      <c r="H47" s="85">
        <f t="shared" si="4"/>
        <v>0</v>
      </c>
      <c r="I47" s="86" t="e">
        <f t="shared" si="5"/>
        <v>#DIV/0!</v>
      </c>
      <c r="J47" s="87"/>
    </row>
    <row r="48" spans="2:13" ht="15" x14ac:dyDescent="0.25">
      <c r="B48" s="46"/>
      <c r="C48" s="47" t="s">
        <v>77</v>
      </c>
      <c r="D48" s="85">
        <v>0</v>
      </c>
      <c r="E48" s="48">
        <v>0</v>
      </c>
      <c r="F48" s="61">
        <v>0</v>
      </c>
      <c r="G48" s="61">
        <f t="shared" si="6"/>
        <v>0</v>
      </c>
      <c r="H48" s="85">
        <f t="shared" si="4"/>
        <v>0</v>
      </c>
      <c r="I48" s="86" t="e">
        <f t="shared" si="5"/>
        <v>#DIV/0!</v>
      </c>
      <c r="J48" s="87"/>
    </row>
    <row r="49" spans="2:13" ht="15" x14ac:dyDescent="0.25">
      <c r="B49" s="46"/>
      <c r="C49" s="47" t="s">
        <v>78</v>
      </c>
      <c r="D49" s="85">
        <v>18678000</v>
      </c>
      <c r="E49" s="48">
        <v>9829056</v>
      </c>
      <c r="F49" s="61">
        <f>15000+400000</f>
        <v>415000</v>
      </c>
      <c r="G49" s="61">
        <f t="shared" si="6"/>
        <v>10244056</v>
      </c>
      <c r="H49" s="85">
        <f t="shared" si="4"/>
        <v>-8433944</v>
      </c>
      <c r="I49" s="86">
        <f t="shared" si="5"/>
        <v>54.845572331084696</v>
      </c>
      <c r="J49" s="87"/>
    </row>
    <row r="50" spans="2:13" ht="15" x14ac:dyDescent="0.25">
      <c r="B50" s="46"/>
      <c r="C50" s="47"/>
      <c r="D50" s="85"/>
      <c r="E50" s="61"/>
      <c r="F50" s="61"/>
      <c r="G50" s="61"/>
      <c r="H50" s="85"/>
      <c r="I50" s="85"/>
      <c r="J50" s="87"/>
    </row>
    <row r="51" spans="2:13" ht="15" x14ac:dyDescent="0.25">
      <c r="B51" s="169"/>
      <c r="C51" s="170" t="s">
        <v>17</v>
      </c>
      <c r="D51" s="136">
        <f>SUM(D33:D49)</f>
        <v>71236000</v>
      </c>
      <c r="E51" s="89">
        <f>SUM(E33:E49)</f>
        <v>45485512</v>
      </c>
      <c r="F51" s="89">
        <f>SUM(F33:F49)</f>
        <v>1945000</v>
      </c>
      <c r="G51" s="89">
        <f>SUM(G33:G49)</f>
        <v>47430512</v>
      </c>
      <c r="H51" s="136">
        <f>SUM(H33:H49)</f>
        <v>-20687488</v>
      </c>
      <c r="I51" s="91">
        <f>G51/D51%</f>
        <v>66.582222471783936</v>
      </c>
      <c r="J51" s="171"/>
      <c r="K51" s="149"/>
      <c r="L51" s="149"/>
      <c r="M51" s="149"/>
    </row>
    <row r="52" spans="2:13" ht="15" x14ac:dyDescent="0.25">
      <c r="B52" s="46"/>
      <c r="C52" s="47"/>
      <c r="D52" s="47"/>
      <c r="E52" s="61"/>
      <c r="F52" s="62"/>
      <c r="G52" s="61"/>
      <c r="H52" s="85"/>
      <c r="I52" s="85"/>
      <c r="J52" s="87"/>
    </row>
    <row r="53" spans="2:13" ht="15" x14ac:dyDescent="0.25">
      <c r="B53" s="46" t="s">
        <v>18</v>
      </c>
      <c r="C53" s="60" t="s">
        <v>19</v>
      </c>
      <c r="D53" s="47"/>
      <c r="E53" s="61"/>
      <c r="F53" s="62"/>
      <c r="G53" s="61"/>
      <c r="H53" s="85"/>
      <c r="I53" s="85"/>
      <c r="J53" s="87"/>
    </row>
    <row r="54" spans="2:13" ht="15" x14ac:dyDescent="0.25">
      <c r="B54" s="46"/>
      <c r="C54" s="47" t="s">
        <v>42</v>
      </c>
      <c r="D54" s="85">
        <v>0</v>
      </c>
      <c r="E54" s="48">
        <v>169827</v>
      </c>
      <c r="F54" s="61">
        <v>0</v>
      </c>
      <c r="G54" s="61">
        <f>E54+F54</f>
        <v>169827</v>
      </c>
      <c r="H54" s="85">
        <f t="shared" ref="H54:H67" si="7">G54-D54</f>
        <v>169827</v>
      </c>
      <c r="I54" s="86" t="e">
        <f t="shared" ref="I54:I67" si="8">G54/D54%</f>
        <v>#DIV/0!</v>
      </c>
      <c r="J54" s="87"/>
    </row>
    <row r="55" spans="2:13" ht="15" x14ac:dyDescent="0.25">
      <c r="B55" s="46"/>
      <c r="C55" s="47" t="s">
        <v>43</v>
      </c>
      <c r="D55" s="85">
        <v>21176000</v>
      </c>
      <c r="E55" s="48">
        <v>27025500</v>
      </c>
      <c r="F55" s="61">
        <v>0</v>
      </c>
      <c r="G55" s="61">
        <f t="shared" ref="G55:G67" si="9">E55+F55</f>
        <v>27025500</v>
      </c>
      <c r="H55" s="85">
        <f t="shared" si="7"/>
        <v>5849500</v>
      </c>
      <c r="I55" s="86">
        <f t="shared" si="8"/>
        <v>127.62325273894976</v>
      </c>
      <c r="J55" s="87"/>
    </row>
    <row r="56" spans="2:13" ht="15" x14ac:dyDescent="0.25">
      <c r="B56" s="46"/>
      <c r="C56" s="47" t="s">
        <v>44</v>
      </c>
      <c r="D56" s="85">
        <v>1090000</v>
      </c>
      <c r="E56" s="48">
        <v>1500000</v>
      </c>
      <c r="F56" s="61">
        <v>0</v>
      </c>
      <c r="G56" s="61">
        <f t="shared" si="9"/>
        <v>1500000</v>
      </c>
      <c r="H56" s="85">
        <f t="shared" si="7"/>
        <v>410000</v>
      </c>
      <c r="I56" s="86">
        <f t="shared" si="8"/>
        <v>137.61467889908258</v>
      </c>
      <c r="J56" s="87"/>
    </row>
    <row r="57" spans="2:13" ht="15" x14ac:dyDescent="0.25">
      <c r="B57" s="46"/>
      <c r="C57" s="47" t="s">
        <v>45</v>
      </c>
      <c r="D57" s="85">
        <v>0</v>
      </c>
      <c r="E57" s="48">
        <v>0</v>
      </c>
      <c r="F57" s="61">
        <v>0</v>
      </c>
      <c r="G57" s="61">
        <f t="shared" si="9"/>
        <v>0</v>
      </c>
      <c r="H57" s="85">
        <f t="shared" si="7"/>
        <v>0</v>
      </c>
      <c r="I57" s="86" t="e">
        <f t="shared" si="8"/>
        <v>#DIV/0!</v>
      </c>
      <c r="J57" s="87"/>
    </row>
    <row r="58" spans="2:13" ht="15" x14ac:dyDescent="0.25">
      <c r="B58" s="46"/>
      <c r="C58" s="47" t="s">
        <v>46</v>
      </c>
      <c r="D58" s="85">
        <v>0</v>
      </c>
      <c r="E58" s="48">
        <v>0</v>
      </c>
      <c r="F58" s="92">
        <v>0</v>
      </c>
      <c r="G58" s="61">
        <f t="shared" si="9"/>
        <v>0</v>
      </c>
      <c r="H58" s="85">
        <f t="shared" si="7"/>
        <v>0</v>
      </c>
      <c r="I58" s="86" t="e">
        <f t="shared" si="8"/>
        <v>#DIV/0!</v>
      </c>
      <c r="J58" s="87"/>
    </row>
    <row r="59" spans="2:13" ht="15" x14ac:dyDescent="0.25">
      <c r="B59" s="46"/>
      <c r="C59" s="47" t="s">
        <v>47</v>
      </c>
      <c r="D59" s="85">
        <v>0</v>
      </c>
      <c r="E59" s="48">
        <v>3450000</v>
      </c>
      <c r="F59" s="61">
        <v>0</v>
      </c>
      <c r="G59" s="61">
        <f t="shared" si="9"/>
        <v>3450000</v>
      </c>
      <c r="H59" s="85">
        <f t="shared" si="7"/>
        <v>3450000</v>
      </c>
      <c r="I59" s="86" t="e">
        <f t="shared" si="8"/>
        <v>#DIV/0!</v>
      </c>
      <c r="J59" s="87"/>
    </row>
    <row r="60" spans="2:13" ht="15" x14ac:dyDescent="0.25">
      <c r="B60" s="46"/>
      <c r="C60" s="47" t="s">
        <v>129</v>
      </c>
      <c r="D60" s="85">
        <v>667000</v>
      </c>
      <c r="E60" s="48">
        <v>0</v>
      </c>
      <c r="F60" s="61">
        <v>0</v>
      </c>
      <c r="G60" s="61">
        <f t="shared" si="9"/>
        <v>0</v>
      </c>
      <c r="H60" s="85">
        <f t="shared" si="7"/>
        <v>-667000</v>
      </c>
      <c r="I60" s="86">
        <f t="shared" si="8"/>
        <v>0</v>
      </c>
      <c r="J60" s="87"/>
    </row>
    <row r="61" spans="2:13" ht="15" x14ac:dyDescent="0.25">
      <c r="B61" s="46"/>
      <c r="C61" s="47" t="s">
        <v>86</v>
      </c>
      <c r="D61" s="85">
        <v>0</v>
      </c>
      <c r="E61" s="48">
        <v>0</v>
      </c>
      <c r="F61" s="61">
        <v>0</v>
      </c>
      <c r="G61" s="61">
        <f t="shared" si="9"/>
        <v>0</v>
      </c>
      <c r="H61" s="85">
        <f t="shared" si="7"/>
        <v>0</v>
      </c>
      <c r="I61" s="86" t="e">
        <f t="shared" si="8"/>
        <v>#DIV/0!</v>
      </c>
      <c r="J61" s="87"/>
    </row>
    <row r="62" spans="2:13" ht="15" x14ac:dyDescent="0.25">
      <c r="B62" s="46"/>
      <c r="C62" s="47" t="s">
        <v>87</v>
      </c>
      <c r="D62" s="85">
        <v>0</v>
      </c>
      <c r="E62" s="48">
        <v>0</v>
      </c>
      <c r="F62" s="61">
        <v>0</v>
      </c>
      <c r="G62" s="61">
        <f>E62+F62</f>
        <v>0</v>
      </c>
      <c r="H62" s="85">
        <f>G62-D62</f>
        <v>0</v>
      </c>
      <c r="I62" s="86" t="e">
        <f>G62/D62%</f>
        <v>#DIV/0!</v>
      </c>
      <c r="J62" s="87"/>
    </row>
    <row r="63" spans="2:13" ht="15" x14ac:dyDescent="0.25">
      <c r="B63" s="46"/>
      <c r="C63" s="47" t="s">
        <v>81</v>
      </c>
      <c r="D63" s="85">
        <v>245000</v>
      </c>
      <c r="E63" s="48">
        <v>1325000</v>
      </c>
      <c r="F63" s="61">
        <v>0</v>
      </c>
      <c r="G63" s="61">
        <f t="shared" si="9"/>
        <v>1325000</v>
      </c>
      <c r="H63" s="85">
        <f t="shared" si="7"/>
        <v>1080000</v>
      </c>
      <c r="I63" s="86">
        <f t="shared" si="8"/>
        <v>540.81632653061229</v>
      </c>
      <c r="J63" s="87"/>
    </row>
    <row r="64" spans="2:13" ht="15" x14ac:dyDescent="0.25">
      <c r="B64" s="46"/>
      <c r="C64" s="47" t="s">
        <v>82</v>
      </c>
      <c r="D64" s="85">
        <v>0</v>
      </c>
      <c r="E64" s="48">
        <v>0</v>
      </c>
      <c r="F64" s="61">
        <v>0</v>
      </c>
      <c r="G64" s="61">
        <f t="shared" si="9"/>
        <v>0</v>
      </c>
      <c r="H64" s="85">
        <f t="shared" si="7"/>
        <v>0</v>
      </c>
      <c r="I64" s="86" t="e">
        <f t="shared" si="8"/>
        <v>#DIV/0!</v>
      </c>
      <c r="J64" s="87"/>
    </row>
    <row r="65" spans="2:13" ht="15" x14ac:dyDescent="0.25">
      <c r="B65" s="46"/>
      <c r="C65" s="47" t="s">
        <v>83</v>
      </c>
      <c r="D65" s="85">
        <v>0</v>
      </c>
      <c r="E65" s="48">
        <v>0</v>
      </c>
      <c r="F65" s="61">
        <v>0</v>
      </c>
      <c r="G65" s="61">
        <f>E65+F65</f>
        <v>0</v>
      </c>
      <c r="H65" s="85">
        <f>G65-D65</f>
        <v>0</v>
      </c>
      <c r="I65" s="86" t="e">
        <f>G65/D65%</f>
        <v>#DIV/0!</v>
      </c>
      <c r="J65" s="87"/>
    </row>
    <row r="66" spans="2:13" ht="15" x14ac:dyDescent="0.25">
      <c r="B66" s="46"/>
      <c r="C66" s="47" t="s">
        <v>142</v>
      </c>
      <c r="D66" s="85">
        <v>424000</v>
      </c>
      <c r="E66" s="48">
        <v>700000</v>
      </c>
      <c r="F66" s="61">
        <v>0</v>
      </c>
      <c r="G66" s="61">
        <f>E66+F66</f>
        <v>700000</v>
      </c>
      <c r="H66" s="85">
        <f>G66-D66</f>
        <v>276000</v>
      </c>
      <c r="I66" s="86">
        <f>G66/D66%</f>
        <v>165.09433962264151</v>
      </c>
      <c r="J66" s="87"/>
    </row>
    <row r="67" spans="2:13" ht="15" x14ac:dyDescent="0.25">
      <c r="B67" s="46"/>
      <c r="C67" s="47" t="s">
        <v>85</v>
      </c>
      <c r="D67" s="85">
        <v>0</v>
      </c>
      <c r="E67" s="48">
        <v>0</v>
      </c>
      <c r="F67" s="61">
        <v>0</v>
      </c>
      <c r="G67" s="61">
        <f t="shared" si="9"/>
        <v>0</v>
      </c>
      <c r="H67" s="85">
        <f t="shared" si="7"/>
        <v>0</v>
      </c>
      <c r="I67" s="86" t="e">
        <f t="shared" si="8"/>
        <v>#DIV/0!</v>
      </c>
      <c r="J67" s="87"/>
    </row>
    <row r="68" spans="2:13" ht="15" x14ac:dyDescent="0.25">
      <c r="B68" s="46"/>
      <c r="C68" s="47"/>
      <c r="D68" s="85"/>
      <c r="E68" s="61"/>
      <c r="F68" s="61"/>
      <c r="G68" s="61"/>
      <c r="H68" s="85"/>
      <c r="I68" s="85"/>
      <c r="J68" s="87"/>
    </row>
    <row r="69" spans="2:13" ht="15" x14ac:dyDescent="0.25">
      <c r="B69" s="169"/>
      <c r="C69" s="170" t="s">
        <v>20</v>
      </c>
      <c r="D69" s="136">
        <f>SUM(D54:D67)</f>
        <v>23602000</v>
      </c>
      <c r="E69" s="89">
        <f>SUM(E54:E67)</f>
        <v>34170327</v>
      </c>
      <c r="F69" s="89">
        <f>SUM(F54:F67)</f>
        <v>0</v>
      </c>
      <c r="G69" s="89">
        <f>SUM(G54:G67)</f>
        <v>34170327</v>
      </c>
      <c r="H69" s="136">
        <f>SUM(H54:H63)</f>
        <v>10292327</v>
      </c>
      <c r="I69" s="91">
        <f>G69/D69%</f>
        <v>144.77725192780272</v>
      </c>
      <c r="J69" s="171"/>
      <c r="K69" s="149"/>
      <c r="L69" s="149"/>
      <c r="M69" s="149"/>
    </row>
    <row r="70" spans="2:13" ht="15" x14ac:dyDescent="0.25">
      <c r="B70" s="46"/>
      <c r="C70" s="47"/>
      <c r="D70" s="47"/>
      <c r="E70" s="61"/>
      <c r="F70" s="62"/>
      <c r="G70" s="61"/>
      <c r="H70" s="85"/>
      <c r="I70" s="85"/>
      <c r="J70" s="87"/>
    </row>
    <row r="71" spans="2:13" ht="15.75" thickBot="1" x14ac:dyDescent="0.3">
      <c r="B71" s="46"/>
      <c r="C71" s="60" t="s">
        <v>21</v>
      </c>
      <c r="D71" s="93">
        <f>D30+D51+D69</f>
        <v>317387000</v>
      </c>
      <c r="E71" s="94">
        <f>E30+E51+E69</f>
        <v>245064963</v>
      </c>
      <c r="F71" s="95">
        <f>F30+F51+F69</f>
        <v>13420000</v>
      </c>
      <c r="G71" s="94">
        <f>G30+G51+G69</f>
        <v>258484963</v>
      </c>
      <c r="H71" s="96">
        <f>H30+H51+H69</f>
        <v>-58551055</v>
      </c>
      <c r="I71" s="97">
        <f>G71/D71%</f>
        <v>81.441572276117171</v>
      </c>
      <c r="J71" s="87"/>
    </row>
    <row r="72" spans="2:13" ht="15.75" thickTop="1" x14ac:dyDescent="0.25">
      <c r="B72" s="69"/>
      <c r="C72" s="98"/>
      <c r="D72" s="99"/>
      <c r="E72" s="100"/>
      <c r="F72" s="101"/>
      <c r="G72" s="100"/>
      <c r="H72" s="102"/>
      <c r="I72" s="103"/>
      <c r="J72" s="104"/>
    </row>
    <row r="73" spans="2:13" ht="15" x14ac:dyDescent="0.25">
      <c r="B73" s="69"/>
      <c r="C73" s="98" t="s">
        <v>22</v>
      </c>
      <c r="D73" s="105"/>
      <c r="E73" s="106"/>
      <c r="F73" s="107"/>
      <c r="G73" s="106"/>
      <c r="H73" s="108"/>
      <c r="I73" s="109"/>
      <c r="J73" s="104"/>
    </row>
    <row r="74" spans="2:13" ht="15" x14ac:dyDescent="0.25">
      <c r="B74" s="69" t="s">
        <v>12</v>
      </c>
      <c r="C74" s="98" t="s">
        <v>23</v>
      </c>
      <c r="D74" s="105">
        <v>13500000</v>
      </c>
      <c r="E74" s="106">
        <f>E125</f>
        <v>9772500</v>
      </c>
      <c r="F74" s="107">
        <f>F125</f>
        <v>678000</v>
      </c>
      <c r="G74" s="106">
        <f>E74+F74</f>
        <v>10450500</v>
      </c>
      <c r="H74" s="108">
        <f>G74-D74</f>
        <v>-3049500</v>
      </c>
      <c r="I74" s="110">
        <f>G74/D74%</f>
        <v>77.411111111111111</v>
      </c>
      <c r="J74" s="104"/>
    </row>
    <row r="75" spans="2:13" ht="15" x14ac:dyDescent="0.25">
      <c r="B75" s="69"/>
      <c r="C75" s="98"/>
      <c r="D75" s="105"/>
      <c r="E75" s="106"/>
      <c r="F75" s="107"/>
      <c r="G75" s="106"/>
      <c r="H75" s="108"/>
      <c r="I75" s="110"/>
      <c r="J75" s="104"/>
    </row>
    <row r="76" spans="2:13" ht="15" x14ac:dyDescent="0.25">
      <c r="B76" s="69" t="s">
        <v>15</v>
      </c>
      <c r="C76" s="98" t="s">
        <v>16</v>
      </c>
      <c r="D76" s="105">
        <v>4500000</v>
      </c>
      <c r="E76" s="106">
        <f>E146</f>
        <v>519000</v>
      </c>
      <c r="F76" s="107">
        <f>F146</f>
        <v>20000</v>
      </c>
      <c r="G76" s="106">
        <f>E76+F76</f>
        <v>539000</v>
      </c>
      <c r="H76" s="108">
        <f>G76-D76</f>
        <v>-3961000</v>
      </c>
      <c r="I76" s="110">
        <f>G76/D76%</f>
        <v>11.977777777777778</v>
      </c>
      <c r="J76" s="104"/>
    </row>
    <row r="77" spans="2:13" ht="15" x14ac:dyDescent="0.25">
      <c r="B77" s="69"/>
      <c r="C77" s="98"/>
      <c r="D77" s="105"/>
      <c r="E77" s="106"/>
      <c r="F77" s="107"/>
      <c r="G77" s="106"/>
      <c r="H77" s="108"/>
      <c r="I77" s="110"/>
      <c r="J77" s="104"/>
    </row>
    <row r="78" spans="2:13" ht="15" x14ac:dyDescent="0.25">
      <c r="B78" s="69" t="s">
        <v>18</v>
      </c>
      <c r="C78" s="98" t="s">
        <v>19</v>
      </c>
      <c r="D78" s="105">
        <v>0</v>
      </c>
      <c r="E78" s="106">
        <f>E164</f>
        <v>120000</v>
      </c>
      <c r="F78" s="107">
        <f>F164</f>
        <v>0</v>
      </c>
      <c r="G78" s="106">
        <f>E78+F78</f>
        <v>120000</v>
      </c>
      <c r="H78" s="108">
        <f>G78-D78</f>
        <v>120000</v>
      </c>
      <c r="I78" s="110" t="e">
        <f>G78/D78%</f>
        <v>#DIV/0!</v>
      </c>
      <c r="J78" s="104"/>
    </row>
    <row r="79" spans="2:13" ht="15.75" thickBot="1" x14ac:dyDescent="0.3">
      <c r="B79" s="69"/>
      <c r="C79" s="98"/>
      <c r="D79" s="111"/>
      <c r="E79" s="112"/>
      <c r="F79" s="113"/>
      <c r="G79" s="112"/>
      <c r="H79" s="96"/>
      <c r="I79" s="97"/>
      <c r="J79" s="104"/>
    </row>
    <row r="80" spans="2:13" ht="16.5" thickTop="1" thickBot="1" x14ac:dyDescent="0.3">
      <c r="B80" s="114"/>
      <c r="C80" s="115" t="s">
        <v>24</v>
      </c>
      <c r="D80" s="116">
        <f>SUM(D74:D78)</f>
        <v>18000000</v>
      </c>
      <c r="E80" s="117">
        <f>SUM(E74:E78)</f>
        <v>10411500</v>
      </c>
      <c r="F80" s="118">
        <f>SUM(F74:F78)</f>
        <v>698000</v>
      </c>
      <c r="G80" s="117">
        <f>SUM(G74:G78)</f>
        <v>11109500</v>
      </c>
      <c r="H80" s="119">
        <f>SUM(H74:H78)</f>
        <v>-6890500</v>
      </c>
      <c r="I80" s="120">
        <f>G80/D80%</f>
        <v>61.719444444444441</v>
      </c>
      <c r="J80" s="121"/>
    </row>
    <row r="81" spans="2:12" x14ac:dyDescent="0.2">
      <c r="B81" s="75"/>
      <c r="C81" s="75"/>
      <c r="D81" s="75"/>
      <c r="E81" s="75"/>
      <c r="F81" s="75"/>
      <c r="G81" s="76"/>
      <c r="H81" s="75"/>
      <c r="I81" s="75"/>
      <c r="J81" s="75"/>
    </row>
    <row r="82" spans="2:12" ht="15" x14ac:dyDescent="0.25">
      <c r="B82" s="75"/>
      <c r="C82" s="75"/>
      <c r="D82" s="75"/>
      <c r="E82" s="122" t="s">
        <v>25</v>
      </c>
      <c r="F82" s="123" t="s">
        <v>26</v>
      </c>
      <c r="G82" s="124" t="e">
        <f>#REF!</f>
        <v>#REF!</v>
      </c>
      <c r="H82" s="75"/>
      <c r="I82" s="75"/>
      <c r="J82" s="75"/>
    </row>
    <row r="83" spans="2:12" ht="15" x14ac:dyDescent="0.25">
      <c r="B83" s="75"/>
      <c r="C83" s="75"/>
      <c r="D83" s="75"/>
      <c r="E83" s="122" t="s">
        <v>132</v>
      </c>
      <c r="F83" s="123" t="s">
        <v>26</v>
      </c>
      <c r="G83" s="124" t="e">
        <f>#REF!</f>
        <v>#REF!</v>
      </c>
      <c r="H83" s="75"/>
      <c r="I83" s="75"/>
      <c r="J83" s="75"/>
    </row>
    <row r="84" spans="2:12" ht="15" x14ac:dyDescent="0.25">
      <c r="B84" s="75"/>
      <c r="C84" s="75"/>
      <c r="D84" s="75"/>
      <c r="E84" s="122" t="s">
        <v>27</v>
      </c>
      <c r="F84" s="123" t="s">
        <v>26</v>
      </c>
      <c r="G84" s="125">
        <f>163000+93000+164000+25000+72000+23000+33000</f>
        <v>573000</v>
      </c>
      <c r="H84" s="75"/>
      <c r="I84" s="75"/>
      <c r="J84" s="75"/>
    </row>
    <row r="85" spans="2:12" ht="19.5" x14ac:dyDescent="0.55000000000000004">
      <c r="B85" s="75"/>
      <c r="C85" s="75"/>
      <c r="D85" s="75"/>
      <c r="E85" s="122" t="s">
        <v>29</v>
      </c>
      <c r="F85" s="123" t="s">
        <v>26</v>
      </c>
      <c r="G85" s="126">
        <f>180000+22000+142500+95000+62500+10000+60000+200000+225000</f>
        <v>997000</v>
      </c>
      <c r="H85" s="75" t="s">
        <v>28</v>
      </c>
      <c r="I85" s="75"/>
      <c r="J85" s="75"/>
    </row>
    <row r="86" spans="2:12" ht="15.75" thickBot="1" x14ac:dyDescent="0.3">
      <c r="B86" s="75"/>
      <c r="C86" s="75"/>
      <c r="D86" s="75"/>
      <c r="E86" s="122" t="s">
        <v>30</v>
      </c>
      <c r="F86" s="123"/>
      <c r="G86" s="127" t="e">
        <f>SUM(G82:G85)</f>
        <v>#REF!</v>
      </c>
      <c r="H86" s="160" t="s">
        <v>126</v>
      </c>
      <c r="J86" s="75"/>
    </row>
    <row r="87" spans="2:12" ht="7.5" customHeight="1" thickTop="1" x14ac:dyDescent="0.25">
      <c r="B87" s="75"/>
      <c r="C87" s="75"/>
      <c r="D87" s="75"/>
      <c r="E87" s="122"/>
      <c r="F87" s="123"/>
      <c r="G87" s="159"/>
      <c r="J87" s="75"/>
    </row>
    <row r="88" spans="2:12" ht="15.75" thickBot="1" x14ac:dyDescent="0.3">
      <c r="B88" s="161" t="s">
        <v>128</v>
      </c>
      <c r="C88" s="149"/>
      <c r="D88" s="162"/>
      <c r="E88" s="161"/>
      <c r="F88" s="163"/>
      <c r="G88" s="164">
        <f>4500000+2000000+300000</f>
        <v>6800000</v>
      </c>
      <c r="H88" s="165" t="s">
        <v>126</v>
      </c>
      <c r="I88" s="149"/>
      <c r="J88" s="162"/>
      <c r="K88" s="149"/>
      <c r="L88" s="149"/>
    </row>
    <row r="89" spans="2:12" ht="16.5" thickTop="1" thickBot="1" x14ac:dyDescent="0.3">
      <c r="B89" s="161"/>
      <c r="C89" s="161" t="s">
        <v>134</v>
      </c>
      <c r="D89" s="162"/>
      <c r="E89" s="161"/>
      <c r="F89" s="163"/>
      <c r="G89" s="164">
        <f>3500000+3500000+4000000</f>
        <v>11000000</v>
      </c>
      <c r="H89" s="165" t="s">
        <v>126</v>
      </c>
      <c r="I89" s="149"/>
      <c r="J89" s="162"/>
      <c r="K89" s="149"/>
      <c r="L89" s="149"/>
    </row>
    <row r="90" spans="2:12" ht="15" thickTop="1" x14ac:dyDescent="0.2">
      <c r="H90" s="403" t="s">
        <v>139</v>
      </c>
      <c r="I90" s="403"/>
    </row>
    <row r="91" spans="2:12" ht="15" x14ac:dyDescent="0.25">
      <c r="G91" s="181" t="e">
        <f>G71-G82</f>
        <v>#REF!</v>
      </c>
    </row>
    <row r="92" spans="2:12" ht="15.75" thickBot="1" x14ac:dyDescent="0.3">
      <c r="G92" s="27" t="s">
        <v>133</v>
      </c>
      <c r="J92" s="128" t="e">
        <f>G82+G85</f>
        <v>#REF!</v>
      </c>
      <c r="K92" s="178" t="s">
        <v>127</v>
      </c>
    </row>
    <row r="93" spans="2:12" ht="15.75" thickTop="1" x14ac:dyDescent="0.25">
      <c r="J93" s="166"/>
    </row>
    <row r="94" spans="2:12" ht="15.75" thickBot="1" x14ac:dyDescent="0.3">
      <c r="J94" s="128" t="e">
        <f>G86+G88+G89</f>
        <v>#REF!</v>
      </c>
      <c r="K94" s="178" t="s">
        <v>130</v>
      </c>
    </row>
    <row r="95" spans="2:12" ht="15" thickTop="1" x14ac:dyDescent="0.2"/>
    <row r="96" spans="2:12" x14ac:dyDescent="0.2">
      <c r="B96" s="129"/>
      <c r="C96" s="129"/>
      <c r="D96" s="129"/>
      <c r="E96" s="129"/>
      <c r="F96" s="129"/>
      <c r="G96" s="129"/>
      <c r="H96" s="129"/>
      <c r="I96" s="129"/>
      <c r="J96" s="129"/>
    </row>
    <row r="97" spans="2:10" x14ac:dyDescent="0.2">
      <c r="J97" s="75"/>
    </row>
    <row r="98" spans="2:10" ht="15" x14ac:dyDescent="0.25">
      <c r="B98" s="406" t="s">
        <v>141</v>
      </c>
      <c r="C98" s="406"/>
      <c r="D98" s="406"/>
      <c r="E98" s="406"/>
      <c r="F98" s="406"/>
      <c r="G98" s="406"/>
      <c r="H98" s="406"/>
      <c r="I98" s="406"/>
      <c r="J98" s="75"/>
    </row>
    <row r="99" spans="2:10" ht="15.75" thickBot="1" x14ac:dyDescent="0.3">
      <c r="B99" s="406" t="s">
        <v>147</v>
      </c>
      <c r="C99" s="406"/>
      <c r="D99" s="406"/>
      <c r="E99" s="406"/>
      <c r="F99" s="406"/>
      <c r="G99" s="406"/>
      <c r="H99" s="406"/>
      <c r="I99" s="406"/>
      <c r="J99" s="78"/>
    </row>
    <row r="100" spans="2:10" ht="15" x14ac:dyDescent="0.25">
      <c r="B100" s="407" t="s">
        <v>2</v>
      </c>
      <c r="C100" s="409" t="s">
        <v>3</v>
      </c>
      <c r="D100" s="411" t="s">
        <v>4</v>
      </c>
      <c r="E100" s="413" t="s">
        <v>5</v>
      </c>
      <c r="F100" s="414"/>
      <c r="G100" s="415"/>
      <c r="H100" s="413" t="s">
        <v>6</v>
      </c>
      <c r="I100" s="415"/>
      <c r="J100" s="416" t="s">
        <v>0</v>
      </c>
    </row>
    <row r="101" spans="2:10" ht="15.75" thickBot="1" x14ac:dyDescent="0.3">
      <c r="B101" s="408"/>
      <c r="C101" s="410"/>
      <c r="D101" s="412"/>
      <c r="E101" s="145" t="str">
        <f>E6</f>
        <v>PENJ. S/D TGL. 30</v>
      </c>
      <c r="F101" s="146" t="str">
        <f>F6</f>
        <v>PENJ. TGL. 31</v>
      </c>
      <c r="G101" s="130" t="s">
        <v>7</v>
      </c>
      <c r="H101" s="131" t="s">
        <v>8</v>
      </c>
      <c r="I101" s="130" t="s">
        <v>9</v>
      </c>
      <c r="J101" s="417"/>
    </row>
    <row r="102" spans="2:10" ht="15.75" thickTop="1" x14ac:dyDescent="0.25">
      <c r="B102" s="132"/>
      <c r="C102" s="133" t="s">
        <v>11</v>
      </c>
      <c r="D102" s="82"/>
      <c r="E102" s="42"/>
      <c r="F102" s="42"/>
      <c r="G102" s="41"/>
      <c r="H102" s="42"/>
      <c r="I102" s="42"/>
      <c r="J102" s="83"/>
    </row>
    <row r="103" spans="2:10" ht="15" x14ac:dyDescent="0.25">
      <c r="B103" s="43" t="s">
        <v>12</v>
      </c>
      <c r="C103" s="44" t="s">
        <v>13</v>
      </c>
      <c r="D103" s="134">
        <v>13500000</v>
      </c>
      <c r="E103" s="45"/>
      <c r="F103" s="45"/>
      <c r="G103" s="59"/>
      <c r="H103" s="45"/>
      <c r="I103" s="45"/>
      <c r="J103" s="84"/>
    </row>
    <row r="104" spans="2:10" ht="15" x14ac:dyDescent="0.25">
      <c r="B104" s="46"/>
      <c r="C104" s="47" t="s">
        <v>36</v>
      </c>
      <c r="D104" s="85">
        <v>0</v>
      </c>
      <c r="E104" s="48">
        <v>7287500</v>
      </c>
      <c r="F104" s="61">
        <f>158000+150000</f>
        <v>308000</v>
      </c>
      <c r="G104" s="61">
        <f>E104+F104</f>
        <v>7595500</v>
      </c>
      <c r="H104" s="85">
        <f>G104-D104</f>
        <v>7595500</v>
      </c>
      <c r="I104" s="86" t="e">
        <f>G104/D104%</f>
        <v>#DIV/0!</v>
      </c>
      <c r="J104" s="87"/>
    </row>
    <row r="105" spans="2:10" ht="15" x14ac:dyDescent="0.25">
      <c r="B105" s="46"/>
      <c r="C105" s="47" t="s">
        <v>37</v>
      </c>
      <c r="D105" s="85">
        <v>0</v>
      </c>
      <c r="E105" s="48">
        <v>430000</v>
      </c>
      <c r="F105" s="61">
        <v>150000</v>
      </c>
      <c r="G105" s="61">
        <f t="shared" ref="G105:G123" si="10">E105+F105</f>
        <v>580000</v>
      </c>
      <c r="H105" s="85">
        <f>G105-D105</f>
        <v>580000</v>
      </c>
      <c r="I105" s="86" t="e">
        <f>G105/D105%</f>
        <v>#DIV/0!</v>
      </c>
      <c r="J105" s="87"/>
    </row>
    <row r="106" spans="2:10" ht="15" x14ac:dyDescent="0.25">
      <c r="B106" s="46"/>
      <c r="C106" s="47" t="s">
        <v>52</v>
      </c>
      <c r="D106" s="85">
        <v>0</v>
      </c>
      <c r="E106" s="48">
        <v>0</v>
      </c>
      <c r="F106" s="61">
        <v>0</v>
      </c>
      <c r="G106" s="61">
        <f t="shared" si="10"/>
        <v>0</v>
      </c>
      <c r="H106" s="85"/>
      <c r="I106" s="86"/>
      <c r="J106" s="87"/>
    </row>
    <row r="107" spans="2:10" ht="15" x14ac:dyDescent="0.25">
      <c r="B107" s="46"/>
      <c r="C107" s="47" t="s">
        <v>53</v>
      </c>
      <c r="D107" s="85">
        <v>0</v>
      </c>
      <c r="E107" s="48">
        <v>899000</v>
      </c>
      <c r="F107" s="61">
        <f>120000+50000</f>
        <v>170000</v>
      </c>
      <c r="G107" s="61">
        <f t="shared" si="10"/>
        <v>1069000</v>
      </c>
      <c r="H107" s="85">
        <f t="shared" ref="H107:H123" si="11">G107-D107</f>
        <v>1069000</v>
      </c>
      <c r="I107" s="86" t="e">
        <f t="shared" ref="I107:I122" si="12">G107/D107%</f>
        <v>#DIV/0!</v>
      </c>
      <c r="J107" s="87"/>
    </row>
    <row r="108" spans="2:10" ht="15" x14ac:dyDescent="0.25">
      <c r="B108" s="46"/>
      <c r="C108" s="47" t="s">
        <v>54</v>
      </c>
      <c r="D108" s="85">
        <v>0</v>
      </c>
      <c r="E108" s="48">
        <v>50000</v>
      </c>
      <c r="F108" s="61">
        <v>0</v>
      </c>
      <c r="G108" s="61">
        <f t="shared" si="10"/>
        <v>50000</v>
      </c>
      <c r="H108" s="85">
        <f t="shared" si="11"/>
        <v>50000</v>
      </c>
      <c r="I108" s="86" t="e">
        <f t="shared" si="12"/>
        <v>#DIV/0!</v>
      </c>
      <c r="J108" s="88"/>
    </row>
    <row r="109" spans="2:10" ht="15" x14ac:dyDescent="0.25">
      <c r="B109" s="46"/>
      <c r="C109" s="47" t="s">
        <v>55</v>
      </c>
      <c r="D109" s="85">
        <v>0</v>
      </c>
      <c r="E109" s="48">
        <v>236000</v>
      </c>
      <c r="F109" s="61">
        <f>50000</f>
        <v>50000</v>
      </c>
      <c r="G109" s="61">
        <f t="shared" si="10"/>
        <v>286000</v>
      </c>
      <c r="H109" s="85">
        <f t="shared" si="11"/>
        <v>286000</v>
      </c>
      <c r="I109" s="86" t="e">
        <f t="shared" si="12"/>
        <v>#DIV/0!</v>
      </c>
      <c r="J109" s="88"/>
    </row>
    <row r="110" spans="2:10" ht="15" x14ac:dyDescent="0.25">
      <c r="B110" s="46"/>
      <c r="C110" s="47" t="s">
        <v>56</v>
      </c>
      <c r="D110" s="85">
        <v>0</v>
      </c>
      <c r="E110" s="48">
        <v>0</v>
      </c>
      <c r="F110" s="61">
        <v>0</v>
      </c>
      <c r="G110" s="61">
        <f t="shared" si="10"/>
        <v>0</v>
      </c>
      <c r="H110" s="85">
        <f t="shared" si="11"/>
        <v>0</v>
      </c>
      <c r="I110" s="86" t="e">
        <f t="shared" si="12"/>
        <v>#DIV/0!</v>
      </c>
      <c r="J110" s="87"/>
    </row>
    <row r="111" spans="2:10" ht="15" x14ac:dyDescent="0.25">
      <c r="B111" s="46"/>
      <c r="C111" s="47" t="s">
        <v>57</v>
      </c>
      <c r="D111" s="85">
        <v>0</v>
      </c>
      <c r="E111" s="48">
        <v>600000</v>
      </c>
      <c r="F111" s="61">
        <v>0</v>
      </c>
      <c r="G111" s="61">
        <f t="shared" si="10"/>
        <v>600000</v>
      </c>
      <c r="H111" s="85">
        <f t="shared" si="11"/>
        <v>600000</v>
      </c>
      <c r="I111" s="86" t="e">
        <f t="shared" si="12"/>
        <v>#DIV/0!</v>
      </c>
      <c r="J111" s="87"/>
    </row>
    <row r="112" spans="2:10" ht="15" x14ac:dyDescent="0.25">
      <c r="B112" s="46"/>
      <c r="C112" s="47" t="s">
        <v>58</v>
      </c>
      <c r="D112" s="85">
        <v>0</v>
      </c>
      <c r="E112" s="48">
        <v>200000</v>
      </c>
      <c r="F112" s="61">
        <v>0</v>
      </c>
      <c r="G112" s="61">
        <f t="shared" si="10"/>
        <v>200000</v>
      </c>
      <c r="H112" s="85">
        <f t="shared" si="11"/>
        <v>200000</v>
      </c>
      <c r="I112" s="86" t="e">
        <f t="shared" si="12"/>
        <v>#DIV/0!</v>
      </c>
      <c r="J112" s="87"/>
    </row>
    <row r="113" spans="2:10" ht="15" x14ac:dyDescent="0.25">
      <c r="B113" s="46"/>
      <c r="C113" s="47" t="s">
        <v>59</v>
      </c>
      <c r="D113" s="85">
        <v>0</v>
      </c>
      <c r="E113" s="48">
        <v>0</v>
      </c>
      <c r="F113" s="61">
        <v>0</v>
      </c>
      <c r="G113" s="61">
        <f t="shared" si="10"/>
        <v>0</v>
      </c>
      <c r="H113" s="85">
        <f t="shared" si="11"/>
        <v>0</v>
      </c>
      <c r="I113" s="86" t="e">
        <f t="shared" si="12"/>
        <v>#DIV/0!</v>
      </c>
      <c r="J113" s="87"/>
    </row>
    <row r="114" spans="2:10" ht="15" x14ac:dyDescent="0.25">
      <c r="B114" s="46"/>
      <c r="C114" s="47" t="s">
        <v>60</v>
      </c>
      <c r="D114" s="85">
        <v>0</v>
      </c>
      <c r="E114" s="48">
        <v>0</v>
      </c>
      <c r="F114" s="61">
        <v>0</v>
      </c>
      <c r="G114" s="61">
        <f t="shared" si="10"/>
        <v>0</v>
      </c>
      <c r="H114" s="85">
        <f t="shared" si="11"/>
        <v>0</v>
      </c>
      <c r="I114" s="86" t="e">
        <f t="shared" si="12"/>
        <v>#DIV/0!</v>
      </c>
      <c r="J114" s="87"/>
    </row>
    <row r="115" spans="2:10" ht="15" x14ac:dyDescent="0.25">
      <c r="B115" s="46"/>
      <c r="C115" s="47" t="s">
        <v>61</v>
      </c>
      <c r="D115" s="85">
        <v>0</v>
      </c>
      <c r="E115" s="48">
        <v>0</v>
      </c>
      <c r="F115" s="61">
        <v>0</v>
      </c>
      <c r="G115" s="61">
        <f t="shared" si="10"/>
        <v>0</v>
      </c>
      <c r="H115" s="85">
        <f t="shared" si="11"/>
        <v>0</v>
      </c>
      <c r="I115" s="86" t="e">
        <f t="shared" si="12"/>
        <v>#DIV/0!</v>
      </c>
      <c r="J115" s="87"/>
    </row>
    <row r="116" spans="2:10" ht="15" x14ac:dyDescent="0.25">
      <c r="B116" s="46"/>
      <c r="C116" s="47" t="s">
        <v>62</v>
      </c>
      <c r="D116" s="85">
        <v>0</v>
      </c>
      <c r="E116" s="48">
        <v>0</v>
      </c>
      <c r="F116" s="61">
        <v>0</v>
      </c>
      <c r="G116" s="61">
        <f t="shared" si="10"/>
        <v>0</v>
      </c>
      <c r="H116" s="85">
        <f t="shared" si="11"/>
        <v>0</v>
      </c>
      <c r="I116" s="86" t="e">
        <f t="shared" si="12"/>
        <v>#DIV/0!</v>
      </c>
      <c r="J116" s="87"/>
    </row>
    <row r="117" spans="2:10" ht="15" x14ac:dyDescent="0.25">
      <c r="B117" s="46"/>
      <c r="C117" s="47" t="s">
        <v>63</v>
      </c>
      <c r="D117" s="85">
        <v>0</v>
      </c>
      <c r="E117" s="48">
        <v>0</v>
      </c>
      <c r="F117" s="61">
        <v>0</v>
      </c>
      <c r="G117" s="61">
        <f t="shared" si="10"/>
        <v>0</v>
      </c>
      <c r="H117" s="85">
        <f t="shared" si="11"/>
        <v>0</v>
      </c>
      <c r="I117" s="86" t="e">
        <f t="shared" si="12"/>
        <v>#DIV/0!</v>
      </c>
      <c r="J117" s="87"/>
    </row>
    <row r="118" spans="2:10" ht="15" x14ac:dyDescent="0.25">
      <c r="B118" s="46"/>
      <c r="C118" s="47" t="s">
        <v>64</v>
      </c>
      <c r="D118" s="85">
        <v>0</v>
      </c>
      <c r="E118" s="48">
        <v>0</v>
      </c>
      <c r="F118" s="61">
        <v>0</v>
      </c>
      <c r="G118" s="61">
        <f t="shared" si="10"/>
        <v>0</v>
      </c>
      <c r="H118" s="85">
        <f t="shared" si="11"/>
        <v>0</v>
      </c>
      <c r="I118" s="86" t="e">
        <f t="shared" si="12"/>
        <v>#DIV/0!</v>
      </c>
      <c r="J118" s="87"/>
    </row>
    <row r="119" spans="2:10" ht="15" x14ac:dyDescent="0.25">
      <c r="B119" s="46"/>
      <c r="C119" s="47" t="s">
        <v>65</v>
      </c>
      <c r="D119" s="85">
        <v>0</v>
      </c>
      <c r="E119" s="48">
        <v>0</v>
      </c>
      <c r="F119" s="61">
        <v>0</v>
      </c>
      <c r="G119" s="61">
        <f t="shared" si="10"/>
        <v>0</v>
      </c>
      <c r="H119" s="85">
        <f t="shared" si="11"/>
        <v>0</v>
      </c>
      <c r="I119" s="86" t="e">
        <f t="shared" si="12"/>
        <v>#DIV/0!</v>
      </c>
      <c r="J119" s="87"/>
    </row>
    <row r="120" spans="2:10" ht="15" x14ac:dyDescent="0.25">
      <c r="B120" s="46"/>
      <c r="C120" s="47" t="s">
        <v>66</v>
      </c>
      <c r="D120" s="85">
        <v>0</v>
      </c>
      <c r="E120" s="48">
        <v>0</v>
      </c>
      <c r="F120" s="61">
        <v>0</v>
      </c>
      <c r="G120" s="61">
        <f t="shared" si="10"/>
        <v>0</v>
      </c>
      <c r="H120" s="85">
        <f t="shared" si="11"/>
        <v>0</v>
      </c>
      <c r="I120" s="86" t="e">
        <f t="shared" si="12"/>
        <v>#DIV/0!</v>
      </c>
      <c r="J120" s="87"/>
    </row>
    <row r="121" spans="2:10" ht="15" x14ac:dyDescent="0.25">
      <c r="B121" s="46"/>
      <c r="C121" s="47" t="s">
        <v>67</v>
      </c>
      <c r="D121" s="85">
        <v>0</v>
      </c>
      <c r="E121" s="48">
        <v>0</v>
      </c>
      <c r="F121" s="61">
        <v>0</v>
      </c>
      <c r="G121" s="61">
        <f t="shared" si="10"/>
        <v>0</v>
      </c>
      <c r="H121" s="85">
        <f t="shared" si="11"/>
        <v>0</v>
      </c>
      <c r="I121" s="86" t="e">
        <f t="shared" si="12"/>
        <v>#DIV/0!</v>
      </c>
      <c r="J121" s="87"/>
    </row>
    <row r="122" spans="2:10" ht="15" x14ac:dyDescent="0.25">
      <c r="B122" s="46"/>
      <c r="C122" s="47" t="s">
        <v>68</v>
      </c>
      <c r="D122" s="85">
        <v>0</v>
      </c>
      <c r="E122" s="48">
        <v>0</v>
      </c>
      <c r="F122" s="61">
        <v>0</v>
      </c>
      <c r="G122" s="61">
        <f t="shared" si="10"/>
        <v>0</v>
      </c>
      <c r="H122" s="85">
        <f t="shared" si="11"/>
        <v>0</v>
      </c>
      <c r="I122" s="86" t="e">
        <f t="shared" si="12"/>
        <v>#DIV/0!</v>
      </c>
      <c r="J122" s="87"/>
    </row>
    <row r="123" spans="2:10" ht="15" x14ac:dyDescent="0.25">
      <c r="B123" s="46"/>
      <c r="C123" s="47" t="s">
        <v>69</v>
      </c>
      <c r="D123" s="85">
        <v>0</v>
      </c>
      <c r="E123" s="48">
        <v>70000</v>
      </c>
      <c r="F123" s="61">
        <v>0</v>
      </c>
      <c r="G123" s="61">
        <f t="shared" si="10"/>
        <v>70000</v>
      </c>
      <c r="H123" s="85">
        <f t="shared" si="11"/>
        <v>70000</v>
      </c>
      <c r="I123" s="86"/>
      <c r="J123" s="87"/>
    </row>
    <row r="124" spans="2:10" ht="15" x14ac:dyDescent="0.25">
      <c r="B124" s="46"/>
      <c r="C124" s="47"/>
      <c r="D124" s="47"/>
      <c r="E124" s="61"/>
      <c r="F124" s="61"/>
      <c r="G124" s="61"/>
      <c r="H124" s="85"/>
      <c r="I124" s="86"/>
      <c r="J124" s="87"/>
    </row>
    <row r="125" spans="2:10" ht="15" x14ac:dyDescent="0.25">
      <c r="B125" s="46"/>
      <c r="C125" s="60" t="s">
        <v>14</v>
      </c>
      <c r="D125" s="135">
        <f>D103</f>
        <v>13500000</v>
      </c>
      <c r="E125" s="89">
        <f>SUM(E104:E123)</f>
        <v>9772500</v>
      </c>
      <c r="F125" s="89">
        <f>SUM(F104:F123)</f>
        <v>678000</v>
      </c>
      <c r="G125" s="89">
        <f>SUM(G104:G123)</f>
        <v>10450500</v>
      </c>
      <c r="H125" s="90">
        <f>SUM(H104:H117)</f>
        <v>10380500</v>
      </c>
      <c r="I125" s="91">
        <f>G125/D125%</f>
        <v>77.411111111111111</v>
      </c>
      <c r="J125" s="87"/>
    </row>
    <row r="126" spans="2:10" ht="15" x14ac:dyDescent="0.25">
      <c r="B126" s="46"/>
      <c r="C126" s="47"/>
      <c r="D126" s="47"/>
      <c r="E126" s="61"/>
      <c r="F126" s="62"/>
      <c r="G126" s="61"/>
      <c r="H126" s="85"/>
      <c r="I126" s="85"/>
      <c r="J126" s="87"/>
    </row>
    <row r="127" spans="2:10" ht="15" x14ac:dyDescent="0.25">
      <c r="B127" s="46" t="s">
        <v>15</v>
      </c>
      <c r="C127" s="60" t="s">
        <v>16</v>
      </c>
      <c r="D127" s="134">
        <v>4500000</v>
      </c>
      <c r="E127" s="61"/>
      <c r="F127" s="62"/>
      <c r="G127" s="61"/>
      <c r="H127" s="85"/>
      <c r="I127" s="85"/>
      <c r="J127" s="87"/>
    </row>
    <row r="128" spans="2:10" ht="15" x14ac:dyDescent="0.25">
      <c r="B128" s="46"/>
      <c r="C128" s="47" t="s">
        <v>38</v>
      </c>
      <c r="D128" s="85">
        <v>0</v>
      </c>
      <c r="E128" s="48">
        <v>0</v>
      </c>
      <c r="F128" s="61">
        <v>0</v>
      </c>
      <c r="G128" s="61">
        <f t="shared" ref="G128:G144" si="13">E128+F128</f>
        <v>0</v>
      </c>
      <c r="H128" s="85">
        <f t="shared" ref="H128:H144" si="14">G128-D128</f>
        <v>0</v>
      </c>
      <c r="I128" s="86" t="e">
        <f t="shared" ref="I128:I144" si="15">G128/D128%</f>
        <v>#DIV/0!</v>
      </c>
      <c r="J128" s="87"/>
    </row>
    <row r="129" spans="2:10" ht="15" x14ac:dyDescent="0.25">
      <c r="B129" s="46"/>
      <c r="C129" s="47" t="s">
        <v>39</v>
      </c>
      <c r="D129" s="85">
        <v>0</v>
      </c>
      <c r="E129" s="48">
        <v>177000</v>
      </c>
      <c r="F129" s="61">
        <v>0</v>
      </c>
      <c r="G129" s="61">
        <f t="shared" si="13"/>
        <v>177000</v>
      </c>
      <c r="H129" s="85">
        <f t="shared" si="14"/>
        <v>177000</v>
      </c>
      <c r="I129" s="86" t="e">
        <f t="shared" si="15"/>
        <v>#DIV/0!</v>
      </c>
      <c r="J129" s="87"/>
    </row>
    <row r="130" spans="2:10" ht="15" x14ac:dyDescent="0.25">
      <c r="B130" s="46"/>
      <c r="C130" s="47" t="s">
        <v>40</v>
      </c>
      <c r="D130" s="85">
        <v>0</v>
      </c>
      <c r="E130" s="48">
        <v>50000</v>
      </c>
      <c r="F130" s="61">
        <f>20000</f>
        <v>20000</v>
      </c>
      <c r="G130" s="61">
        <f t="shared" si="13"/>
        <v>70000</v>
      </c>
      <c r="H130" s="85">
        <f t="shared" si="14"/>
        <v>70000</v>
      </c>
      <c r="I130" s="86" t="e">
        <f t="shared" si="15"/>
        <v>#DIV/0!</v>
      </c>
      <c r="J130" s="87"/>
    </row>
    <row r="131" spans="2:10" ht="15" x14ac:dyDescent="0.25">
      <c r="B131" s="46"/>
      <c r="C131" s="47" t="s">
        <v>41</v>
      </c>
      <c r="D131" s="85">
        <v>0</v>
      </c>
      <c r="E131" s="48">
        <v>0</v>
      </c>
      <c r="F131" s="61">
        <v>0</v>
      </c>
      <c r="G131" s="61">
        <f t="shared" si="13"/>
        <v>0</v>
      </c>
      <c r="H131" s="85">
        <f t="shared" si="14"/>
        <v>0</v>
      </c>
      <c r="I131" s="86" t="e">
        <f t="shared" si="15"/>
        <v>#DIV/0!</v>
      </c>
      <c r="J131" s="87"/>
    </row>
    <row r="132" spans="2:10" ht="15" x14ac:dyDescent="0.25">
      <c r="B132" s="46"/>
      <c r="C132" s="47" t="s">
        <v>50</v>
      </c>
      <c r="D132" s="85">
        <v>0</v>
      </c>
      <c r="E132" s="48">
        <v>0</v>
      </c>
      <c r="F132" s="61">
        <v>0</v>
      </c>
      <c r="G132" s="61">
        <f t="shared" si="13"/>
        <v>0</v>
      </c>
      <c r="H132" s="85">
        <f t="shared" si="14"/>
        <v>0</v>
      </c>
      <c r="I132" s="86" t="e">
        <f t="shared" si="15"/>
        <v>#DIV/0!</v>
      </c>
      <c r="J132" s="87"/>
    </row>
    <row r="133" spans="2:10" ht="15" x14ac:dyDescent="0.25">
      <c r="B133" s="46"/>
      <c r="C133" s="47" t="s">
        <v>51</v>
      </c>
      <c r="D133" s="85">
        <v>0</v>
      </c>
      <c r="E133" s="48">
        <v>0</v>
      </c>
      <c r="F133" s="61">
        <v>0</v>
      </c>
      <c r="G133" s="61">
        <f t="shared" si="13"/>
        <v>0</v>
      </c>
      <c r="H133" s="85">
        <f t="shared" si="14"/>
        <v>0</v>
      </c>
      <c r="I133" s="86" t="e">
        <f t="shared" si="15"/>
        <v>#DIV/0!</v>
      </c>
      <c r="J133" s="87"/>
    </row>
    <row r="134" spans="2:10" ht="15" x14ac:dyDescent="0.25">
      <c r="B134" s="46"/>
      <c r="C134" s="47" t="s">
        <v>49</v>
      </c>
      <c r="D134" s="85">
        <v>0</v>
      </c>
      <c r="E134" s="48">
        <v>0</v>
      </c>
      <c r="F134" s="61">
        <v>0</v>
      </c>
      <c r="G134" s="61">
        <f t="shared" si="13"/>
        <v>0</v>
      </c>
      <c r="H134" s="85">
        <f t="shared" si="14"/>
        <v>0</v>
      </c>
      <c r="I134" s="86" t="e">
        <f t="shared" si="15"/>
        <v>#DIV/0!</v>
      </c>
      <c r="J134" s="87"/>
    </row>
    <row r="135" spans="2:10" ht="15" x14ac:dyDescent="0.25">
      <c r="B135" s="46"/>
      <c r="C135" s="47" t="s">
        <v>79</v>
      </c>
      <c r="D135" s="85">
        <v>0</v>
      </c>
      <c r="E135" s="48">
        <v>0</v>
      </c>
      <c r="F135" s="61">
        <v>0</v>
      </c>
      <c r="G135" s="61">
        <f t="shared" si="13"/>
        <v>0</v>
      </c>
      <c r="H135" s="85">
        <f t="shared" si="14"/>
        <v>0</v>
      </c>
      <c r="I135" s="86" t="e">
        <f t="shared" si="15"/>
        <v>#DIV/0!</v>
      </c>
      <c r="J135" s="87"/>
    </row>
    <row r="136" spans="2:10" ht="15" x14ac:dyDescent="0.25">
      <c r="B136" s="46"/>
      <c r="C136" s="47" t="s">
        <v>71</v>
      </c>
      <c r="D136" s="85">
        <v>0</v>
      </c>
      <c r="E136" s="48">
        <v>250000</v>
      </c>
      <c r="F136" s="61">
        <v>0</v>
      </c>
      <c r="G136" s="61">
        <f t="shared" si="13"/>
        <v>250000</v>
      </c>
      <c r="H136" s="85">
        <f t="shared" si="14"/>
        <v>250000</v>
      </c>
      <c r="I136" s="86" t="e">
        <f t="shared" si="15"/>
        <v>#DIV/0!</v>
      </c>
      <c r="J136" s="87"/>
    </row>
    <row r="137" spans="2:10" ht="15" x14ac:dyDescent="0.25">
      <c r="B137" s="46"/>
      <c r="C137" s="47" t="s">
        <v>72</v>
      </c>
      <c r="D137" s="85">
        <v>0</v>
      </c>
      <c r="E137" s="48">
        <v>40000</v>
      </c>
      <c r="F137" s="61">
        <v>0</v>
      </c>
      <c r="G137" s="61">
        <f t="shared" si="13"/>
        <v>40000</v>
      </c>
      <c r="H137" s="85">
        <f t="shared" si="14"/>
        <v>40000</v>
      </c>
      <c r="I137" s="86" t="e">
        <f t="shared" si="15"/>
        <v>#DIV/0!</v>
      </c>
      <c r="J137" s="87"/>
    </row>
    <row r="138" spans="2:10" ht="15" x14ac:dyDescent="0.25">
      <c r="B138" s="46"/>
      <c r="C138" s="47" t="s">
        <v>70</v>
      </c>
      <c r="D138" s="85">
        <v>0</v>
      </c>
      <c r="E138" s="48">
        <v>0</v>
      </c>
      <c r="F138" s="61">
        <v>0</v>
      </c>
      <c r="G138" s="61">
        <f>E138+F138</f>
        <v>0</v>
      </c>
      <c r="H138" s="85">
        <f t="shared" si="14"/>
        <v>0</v>
      </c>
      <c r="I138" s="86" t="e">
        <f t="shared" si="15"/>
        <v>#DIV/0!</v>
      </c>
      <c r="J138" s="87"/>
    </row>
    <row r="139" spans="2:10" ht="15" x14ac:dyDescent="0.25">
      <c r="B139" s="46"/>
      <c r="C139" s="47" t="s">
        <v>73</v>
      </c>
      <c r="D139" s="85">
        <v>0</v>
      </c>
      <c r="E139" s="48">
        <v>0</v>
      </c>
      <c r="F139" s="61">
        <v>0</v>
      </c>
      <c r="G139" s="61">
        <f t="shared" si="13"/>
        <v>0</v>
      </c>
      <c r="H139" s="85">
        <f t="shared" si="14"/>
        <v>0</v>
      </c>
      <c r="I139" s="86" t="e">
        <f t="shared" si="15"/>
        <v>#DIV/0!</v>
      </c>
      <c r="J139" s="87"/>
    </row>
    <row r="140" spans="2:10" ht="15" x14ac:dyDescent="0.25">
      <c r="B140" s="46"/>
      <c r="C140" s="47" t="s">
        <v>74</v>
      </c>
      <c r="D140" s="85">
        <v>0</v>
      </c>
      <c r="E140" s="48">
        <v>0</v>
      </c>
      <c r="F140" s="61"/>
      <c r="G140" s="61">
        <f t="shared" si="13"/>
        <v>0</v>
      </c>
      <c r="H140" s="85">
        <f t="shared" si="14"/>
        <v>0</v>
      </c>
      <c r="I140" s="86" t="e">
        <f t="shared" si="15"/>
        <v>#DIV/0!</v>
      </c>
      <c r="J140" s="87"/>
    </row>
    <row r="141" spans="2:10" ht="15" x14ac:dyDescent="0.25">
      <c r="B141" s="46"/>
      <c r="C141" s="47" t="s">
        <v>75</v>
      </c>
      <c r="D141" s="85">
        <v>0</v>
      </c>
      <c r="E141" s="48">
        <v>0</v>
      </c>
      <c r="F141" s="61">
        <v>0</v>
      </c>
      <c r="G141" s="61">
        <f t="shared" si="13"/>
        <v>0</v>
      </c>
      <c r="H141" s="85">
        <f t="shared" si="14"/>
        <v>0</v>
      </c>
      <c r="I141" s="86" t="e">
        <f t="shared" si="15"/>
        <v>#DIV/0!</v>
      </c>
      <c r="J141" s="87"/>
    </row>
    <row r="142" spans="2:10" ht="15" x14ac:dyDescent="0.25">
      <c r="B142" s="46"/>
      <c r="C142" s="47" t="s">
        <v>76</v>
      </c>
      <c r="D142" s="85">
        <v>0</v>
      </c>
      <c r="E142" s="48">
        <v>0</v>
      </c>
      <c r="F142" s="61">
        <v>0</v>
      </c>
      <c r="G142" s="61">
        <f t="shared" si="13"/>
        <v>0</v>
      </c>
      <c r="H142" s="85">
        <f t="shared" si="14"/>
        <v>0</v>
      </c>
      <c r="I142" s="86" t="e">
        <f t="shared" si="15"/>
        <v>#DIV/0!</v>
      </c>
      <c r="J142" s="87"/>
    </row>
    <row r="143" spans="2:10" ht="15" x14ac:dyDescent="0.25">
      <c r="B143" s="46"/>
      <c r="C143" s="47" t="s">
        <v>77</v>
      </c>
      <c r="D143" s="85">
        <v>0</v>
      </c>
      <c r="E143" s="48">
        <v>0</v>
      </c>
      <c r="F143" s="61">
        <v>0</v>
      </c>
      <c r="G143" s="61">
        <f t="shared" si="13"/>
        <v>0</v>
      </c>
      <c r="H143" s="85">
        <f t="shared" si="14"/>
        <v>0</v>
      </c>
      <c r="I143" s="86" t="e">
        <f t="shared" si="15"/>
        <v>#DIV/0!</v>
      </c>
      <c r="J143" s="87"/>
    </row>
    <row r="144" spans="2:10" ht="15" x14ac:dyDescent="0.25">
      <c r="B144" s="46"/>
      <c r="C144" s="47" t="s">
        <v>78</v>
      </c>
      <c r="D144" s="85">
        <v>0</v>
      </c>
      <c r="E144" s="48">
        <v>2000</v>
      </c>
      <c r="F144" s="61">
        <v>0</v>
      </c>
      <c r="G144" s="61">
        <f t="shared" si="13"/>
        <v>2000</v>
      </c>
      <c r="H144" s="85">
        <f t="shared" si="14"/>
        <v>2000</v>
      </c>
      <c r="I144" s="86" t="e">
        <f t="shared" si="15"/>
        <v>#DIV/0!</v>
      </c>
      <c r="J144" s="87"/>
    </row>
    <row r="145" spans="2:10" ht="15" x14ac:dyDescent="0.25">
      <c r="B145" s="46"/>
      <c r="C145" s="47"/>
      <c r="D145" s="85"/>
      <c r="E145" s="61"/>
      <c r="F145" s="61"/>
      <c r="G145" s="61"/>
      <c r="H145" s="85"/>
      <c r="I145" s="85"/>
      <c r="J145" s="87"/>
    </row>
    <row r="146" spans="2:10" ht="15" x14ac:dyDescent="0.25">
      <c r="B146" s="46"/>
      <c r="C146" s="60" t="s">
        <v>17</v>
      </c>
      <c r="D146" s="136">
        <f>D127</f>
        <v>4500000</v>
      </c>
      <c r="E146" s="89">
        <f>SUM(E128:E144)</f>
        <v>519000</v>
      </c>
      <c r="F146" s="89">
        <f>SUM(F128:F144)</f>
        <v>20000</v>
      </c>
      <c r="G146" s="89">
        <f>SUM(G128:G144)</f>
        <v>539000</v>
      </c>
      <c r="H146" s="90">
        <f>SUM(H128:H144)</f>
        <v>539000</v>
      </c>
      <c r="I146" s="91">
        <f>G146/D146%</f>
        <v>11.977777777777778</v>
      </c>
      <c r="J146" s="87"/>
    </row>
    <row r="147" spans="2:10" ht="15" x14ac:dyDescent="0.25">
      <c r="B147" s="46"/>
      <c r="C147" s="47"/>
      <c r="D147" s="47"/>
      <c r="E147" s="61"/>
      <c r="F147" s="62"/>
      <c r="G147" s="61"/>
      <c r="H147" s="85"/>
      <c r="I147" s="85"/>
      <c r="J147" s="87"/>
    </row>
    <row r="148" spans="2:10" ht="15" x14ac:dyDescent="0.25">
      <c r="B148" s="46" t="s">
        <v>18</v>
      </c>
      <c r="C148" s="60" t="s">
        <v>19</v>
      </c>
      <c r="D148" s="134">
        <v>0</v>
      </c>
      <c r="E148" s="61"/>
      <c r="F148" s="62"/>
      <c r="G148" s="61"/>
      <c r="H148" s="85"/>
      <c r="I148" s="85"/>
      <c r="J148" s="87"/>
    </row>
    <row r="149" spans="2:10" ht="15" x14ac:dyDescent="0.25">
      <c r="B149" s="46"/>
      <c r="C149" s="47" t="s">
        <v>42</v>
      </c>
      <c r="D149" s="85">
        <v>0</v>
      </c>
      <c r="E149" s="48">
        <v>0</v>
      </c>
      <c r="F149" s="61">
        <v>0</v>
      </c>
      <c r="G149" s="61">
        <f>E149+F149</f>
        <v>0</v>
      </c>
      <c r="H149" s="85">
        <f t="shared" ref="H149:H162" si="16">G149-D149</f>
        <v>0</v>
      </c>
      <c r="I149" s="86" t="e">
        <f t="shared" ref="I149:I162" si="17">G149/D149%</f>
        <v>#DIV/0!</v>
      </c>
      <c r="J149" s="87"/>
    </row>
    <row r="150" spans="2:10" ht="15" x14ac:dyDescent="0.25">
      <c r="B150" s="46"/>
      <c r="C150" s="47" t="s">
        <v>43</v>
      </c>
      <c r="D150" s="85">
        <v>0</v>
      </c>
      <c r="E150" s="48">
        <v>0</v>
      </c>
      <c r="F150" s="61">
        <v>0</v>
      </c>
      <c r="G150" s="61">
        <f t="shared" ref="G150:G162" si="18">E150+F150</f>
        <v>0</v>
      </c>
      <c r="H150" s="85">
        <f t="shared" si="16"/>
        <v>0</v>
      </c>
      <c r="I150" s="86" t="e">
        <f t="shared" si="17"/>
        <v>#DIV/0!</v>
      </c>
      <c r="J150" s="87"/>
    </row>
    <row r="151" spans="2:10" ht="15" x14ac:dyDescent="0.25">
      <c r="B151" s="46"/>
      <c r="C151" s="47" t="s">
        <v>44</v>
      </c>
      <c r="D151" s="85">
        <v>0</v>
      </c>
      <c r="E151" s="48">
        <v>0</v>
      </c>
      <c r="F151" s="61">
        <v>0</v>
      </c>
      <c r="G151" s="61">
        <f t="shared" si="18"/>
        <v>0</v>
      </c>
      <c r="H151" s="85">
        <f t="shared" si="16"/>
        <v>0</v>
      </c>
      <c r="I151" s="86" t="e">
        <f t="shared" si="17"/>
        <v>#DIV/0!</v>
      </c>
      <c r="J151" s="87"/>
    </row>
    <row r="152" spans="2:10" ht="15" x14ac:dyDescent="0.25">
      <c r="B152" s="46"/>
      <c r="C152" s="47" t="s">
        <v>45</v>
      </c>
      <c r="D152" s="85">
        <v>0</v>
      </c>
      <c r="E152" s="48">
        <v>0</v>
      </c>
      <c r="F152" s="61">
        <v>0</v>
      </c>
      <c r="G152" s="61">
        <f t="shared" si="18"/>
        <v>0</v>
      </c>
      <c r="H152" s="85">
        <f t="shared" si="16"/>
        <v>0</v>
      </c>
      <c r="I152" s="86" t="e">
        <f t="shared" si="17"/>
        <v>#DIV/0!</v>
      </c>
      <c r="J152" s="87"/>
    </row>
    <row r="153" spans="2:10" ht="15" x14ac:dyDescent="0.25">
      <c r="B153" s="46"/>
      <c r="C153" s="47" t="s">
        <v>46</v>
      </c>
      <c r="D153" s="85">
        <v>0</v>
      </c>
      <c r="E153" s="48">
        <v>0</v>
      </c>
      <c r="F153" s="92">
        <v>0</v>
      </c>
      <c r="G153" s="61">
        <f t="shared" si="18"/>
        <v>0</v>
      </c>
      <c r="H153" s="85">
        <f t="shared" si="16"/>
        <v>0</v>
      </c>
      <c r="I153" s="86" t="e">
        <f t="shared" si="17"/>
        <v>#DIV/0!</v>
      </c>
      <c r="J153" s="87"/>
    </row>
    <row r="154" spans="2:10" ht="15" x14ac:dyDescent="0.25">
      <c r="B154" s="46"/>
      <c r="C154" s="47" t="s">
        <v>88</v>
      </c>
      <c r="D154" s="85">
        <v>0</v>
      </c>
      <c r="E154" s="48">
        <v>0</v>
      </c>
      <c r="F154" s="61">
        <v>0</v>
      </c>
      <c r="G154" s="61">
        <f t="shared" si="18"/>
        <v>0</v>
      </c>
      <c r="H154" s="85">
        <f t="shared" si="16"/>
        <v>0</v>
      </c>
      <c r="I154" s="86" t="e">
        <f t="shared" si="17"/>
        <v>#DIV/0!</v>
      </c>
      <c r="J154" s="87"/>
    </row>
    <row r="155" spans="2:10" ht="15" x14ac:dyDescent="0.25">
      <c r="B155" s="46"/>
      <c r="C155" s="47" t="s">
        <v>80</v>
      </c>
      <c r="D155" s="85">
        <v>0</v>
      </c>
      <c r="E155" s="48">
        <v>0</v>
      </c>
      <c r="F155" s="61">
        <v>0</v>
      </c>
      <c r="G155" s="61">
        <f t="shared" si="18"/>
        <v>0</v>
      </c>
      <c r="H155" s="85">
        <f t="shared" si="16"/>
        <v>0</v>
      </c>
      <c r="I155" s="86" t="e">
        <f t="shared" si="17"/>
        <v>#DIV/0!</v>
      </c>
      <c r="J155" s="87"/>
    </row>
    <row r="156" spans="2:10" ht="15" x14ac:dyDescent="0.25">
      <c r="B156" s="46"/>
      <c r="C156" s="47" t="s">
        <v>86</v>
      </c>
      <c r="D156" s="85">
        <v>0</v>
      </c>
      <c r="E156" s="48">
        <v>0</v>
      </c>
      <c r="F156" s="61">
        <v>0</v>
      </c>
      <c r="G156" s="61">
        <f t="shared" si="18"/>
        <v>0</v>
      </c>
      <c r="H156" s="85">
        <f t="shared" si="16"/>
        <v>0</v>
      </c>
      <c r="I156" s="86" t="e">
        <f t="shared" si="17"/>
        <v>#DIV/0!</v>
      </c>
      <c r="J156" s="87"/>
    </row>
    <row r="157" spans="2:10" ht="15" x14ac:dyDescent="0.25">
      <c r="B157" s="46"/>
      <c r="C157" s="47" t="s">
        <v>87</v>
      </c>
      <c r="D157" s="85">
        <v>0</v>
      </c>
      <c r="E157" s="48">
        <v>120000</v>
      </c>
      <c r="F157" s="61">
        <v>0</v>
      </c>
      <c r="G157" s="61">
        <f t="shared" si="18"/>
        <v>120000</v>
      </c>
      <c r="H157" s="85">
        <f t="shared" si="16"/>
        <v>120000</v>
      </c>
      <c r="I157" s="86" t="e">
        <f t="shared" si="17"/>
        <v>#DIV/0!</v>
      </c>
      <c r="J157" s="87"/>
    </row>
    <row r="158" spans="2:10" ht="15" x14ac:dyDescent="0.25">
      <c r="B158" s="46"/>
      <c r="C158" s="47" t="s">
        <v>81</v>
      </c>
      <c r="D158" s="85">
        <v>0</v>
      </c>
      <c r="E158" s="48">
        <v>0</v>
      </c>
      <c r="F158" s="61">
        <v>0</v>
      </c>
      <c r="G158" s="61">
        <f t="shared" si="18"/>
        <v>0</v>
      </c>
      <c r="H158" s="85">
        <f t="shared" si="16"/>
        <v>0</v>
      </c>
      <c r="I158" s="86" t="e">
        <f t="shared" si="17"/>
        <v>#DIV/0!</v>
      </c>
      <c r="J158" s="87"/>
    </row>
    <row r="159" spans="2:10" ht="15" x14ac:dyDescent="0.25">
      <c r="B159" s="46"/>
      <c r="C159" s="47" t="s">
        <v>82</v>
      </c>
      <c r="D159" s="85">
        <v>0</v>
      </c>
      <c r="E159" s="48">
        <v>0</v>
      </c>
      <c r="F159" s="61">
        <v>0</v>
      </c>
      <c r="G159" s="61">
        <f t="shared" si="18"/>
        <v>0</v>
      </c>
      <c r="H159" s="85">
        <f t="shared" si="16"/>
        <v>0</v>
      </c>
      <c r="I159" s="86" t="e">
        <f t="shared" si="17"/>
        <v>#DIV/0!</v>
      </c>
      <c r="J159" s="87"/>
    </row>
    <row r="160" spans="2:10" ht="15" x14ac:dyDescent="0.25">
      <c r="B160" s="46"/>
      <c r="C160" s="47" t="s">
        <v>83</v>
      </c>
      <c r="D160" s="85">
        <v>0</v>
      </c>
      <c r="E160" s="48">
        <v>0</v>
      </c>
      <c r="F160" s="61">
        <v>0</v>
      </c>
      <c r="G160" s="61">
        <f t="shared" si="18"/>
        <v>0</v>
      </c>
      <c r="H160" s="85">
        <f t="shared" si="16"/>
        <v>0</v>
      </c>
      <c r="I160" s="86" t="e">
        <f t="shared" si="17"/>
        <v>#DIV/0!</v>
      </c>
      <c r="J160" s="87"/>
    </row>
    <row r="161" spans="2:10" ht="15" x14ac:dyDescent="0.25">
      <c r="B161" s="46"/>
      <c r="C161" s="47" t="s">
        <v>84</v>
      </c>
      <c r="D161" s="85">
        <v>0</v>
      </c>
      <c r="E161" s="48">
        <v>0</v>
      </c>
      <c r="F161" s="61">
        <v>0</v>
      </c>
      <c r="G161" s="61">
        <f t="shared" si="18"/>
        <v>0</v>
      </c>
      <c r="H161" s="85">
        <f t="shared" si="16"/>
        <v>0</v>
      </c>
      <c r="I161" s="86" t="e">
        <f t="shared" si="17"/>
        <v>#DIV/0!</v>
      </c>
      <c r="J161" s="87"/>
    </row>
    <row r="162" spans="2:10" ht="15" x14ac:dyDescent="0.25">
      <c r="B162" s="46"/>
      <c r="C162" s="47" t="s">
        <v>85</v>
      </c>
      <c r="D162" s="85">
        <v>0</v>
      </c>
      <c r="E162" s="48">
        <v>0</v>
      </c>
      <c r="F162" s="61">
        <v>0</v>
      </c>
      <c r="G162" s="61">
        <f t="shared" si="18"/>
        <v>0</v>
      </c>
      <c r="H162" s="85">
        <f t="shared" si="16"/>
        <v>0</v>
      </c>
      <c r="I162" s="86" t="e">
        <f t="shared" si="17"/>
        <v>#DIV/0!</v>
      </c>
      <c r="J162" s="87"/>
    </row>
    <row r="163" spans="2:10" ht="15" x14ac:dyDescent="0.25">
      <c r="B163" s="46"/>
      <c r="C163" s="47"/>
      <c r="D163" s="85"/>
      <c r="E163" s="61"/>
      <c r="F163" s="61"/>
      <c r="G163" s="61"/>
      <c r="H163" s="85"/>
      <c r="I163" s="85"/>
      <c r="J163" s="87"/>
    </row>
    <row r="164" spans="2:10" ht="15" x14ac:dyDescent="0.25">
      <c r="B164" s="46"/>
      <c r="C164" s="60" t="s">
        <v>20</v>
      </c>
      <c r="D164" s="136">
        <f>D148</f>
        <v>0</v>
      </c>
      <c r="E164" s="89">
        <f>SUM(E149:E162)</f>
        <v>120000</v>
      </c>
      <c r="F164" s="89">
        <f>SUM(F149:F162)</f>
        <v>0</v>
      </c>
      <c r="G164" s="89">
        <f>SUM(G149:G162)</f>
        <v>120000</v>
      </c>
      <c r="H164" s="90">
        <f>SUM(H149:H158)</f>
        <v>120000</v>
      </c>
      <c r="I164" s="91" t="e">
        <f>G164/D164%</f>
        <v>#DIV/0!</v>
      </c>
      <c r="J164" s="87"/>
    </row>
    <row r="165" spans="2:10" ht="15" x14ac:dyDescent="0.25">
      <c r="B165" s="46"/>
      <c r="C165" s="47"/>
      <c r="D165" s="47"/>
      <c r="E165" s="61"/>
      <c r="F165" s="62"/>
      <c r="G165" s="61"/>
      <c r="H165" s="85"/>
      <c r="I165" s="85"/>
      <c r="J165" s="87"/>
    </row>
    <row r="166" spans="2:10" ht="15.75" thickBot="1" x14ac:dyDescent="0.3">
      <c r="B166" s="114"/>
      <c r="C166" s="115" t="s">
        <v>21</v>
      </c>
      <c r="D166" s="137">
        <f>D125+D146+D164</f>
        <v>18000000</v>
      </c>
      <c r="E166" s="138">
        <f>E125+E146+E164</f>
        <v>10411500</v>
      </c>
      <c r="F166" s="139">
        <f>F125+F146+F164</f>
        <v>698000</v>
      </c>
      <c r="G166" s="138">
        <f>G125+G146+G164</f>
        <v>11109500</v>
      </c>
      <c r="H166" s="140">
        <f>H125+H146+H164</f>
        <v>11039500</v>
      </c>
      <c r="I166" s="141">
        <f>G166/D166%</f>
        <v>61.719444444444441</v>
      </c>
      <c r="J166" s="142"/>
    </row>
    <row r="167" spans="2:10" x14ac:dyDescent="0.2">
      <c r="B167" s="75"/>
      <c r="C167" s="75"/>
      <c r="D167" s="75"/>
      <c r="E167" s="75"/>
      <c r="F167" s="75"/>
      <c r="G167" s="76"/>
      <c r="H167" s="75"/>
      <c r="I167" s="75"/>
      <c r="J167" s="75"/>
    </row>
    <row r="168" spans="2:10" x14ac:dyDescent="0.2">
      <c r="B168" s="75"/>
      <c r="C168" s="75"/>
      <c r="D168" s="75"/>
      <c r="E168" s="75"/>
      <c r="F168" s="75"/>
      <c r="G168" s="76"/>
      <c r="H168" s="75"/>
      <c r="I168" s="75"/>
      <c r="J168" s="75"/>
    </row>
    <row r="169" spans="2:10" ht="15" x14ac:dyDescent="0.25">
      <c r="B169" s="75"/>
      <c r="C169" s="75"/>
      <c r="D169" s="75"/>
      <c r="E169" s="122" t="s">
        <v>25</v>
      </c>
      <c r="F169" s="123" t="s">
        <v>26</v>
      </c>
      <c r="G169" s="124" t="e">
        <f>#REF!</f>
        <v>#REF!</v>
      </c>
      <c r="H169" s="75"/>
      <c r="I169" s="75"/>
      <c r="J169" s="75"/>
    </row>
    <row r="170" spans="2:10" ht="19.5" x14ac:dyDescent="0.55000000000000004">
      <c r="B170" s="75"/>
      <c r="C170" s="75"/>
      <c r="D170" s="75"/>
      <c r="E170" s="122" t="s">
        <v>29</v>
      </c>
      <c r="F170" s="123" t="s">
        <v>26</v>
      </c>
      <c r="G170" s="126">
        <v>0</v>
      </c>
      <c r="H170" s="75" t="s">
        <v>28</v>
      </c>
      <c r="I170" s="75"/>
      <c r="J170" s="75"/>
    </row>
    <row r="171" spans="2:10" ht="15.75" thickBot="1" x14ac:dyDescent="0.3">
      <c r="B171" s="75"/>
      <c r="C171" s="75"/>
      <c r="D171" s="75"/>
      <c r="E171" s="122" t="s">
        <v>30</v>
      </c>
      <c r="F171" s="123"/>
      <c r="G171" s="127" t="e">
        <f>SUM(G169:G170)</f>
        <v>#REF!</v>
      </c>
      <c r="H171" s="160" t="s">
        <v>126</v>
      </c>
      <c r="J171" s="75"/>
    </row>
    <row r="172" spans="2:10" ht="15" thickTop="1" x14ac:dyDescent="0.2">
      <c r="H172" s="403" t="str">
        <f>H90</f>
        <v>Jalang'E, 01 Februari 2019</v>
      </c>
      <c r="I172" s="403"/>
    </row>
    <row r="174" spans="2:10" ht="15" x14ac:dyDescent="0.25">
      <c r="G174" s="181" t="e">
        <f>G166-G171</f>
        <v>#REF!</v>
      </c>
    </row>
  </sheetData>
  <mergeCells count="19">
    <mergeCell ref="H172:I172"/>
    <mergeCell ref="J5:J6"/>
    <mergeCell ref="H90:I90"/>
    <mergeCell ref="B98:I98"/>
    <mergeCell ref="B99:I99"/>
    <mergeCell ref="B100:B101"/>
    <mergeCell ref="C100:C101"/>
    <mergeCell ref="D100:D101"/>
    <mergeCell ref="E100:G100"/>
    <mergeCell ref="H100:I100"/>
    <mergeCell ref="J100:J101"/>
    <mergeCell ref="B2:I2"/>
    <mergeCell ref="B3:I3"/>
    <mergeCell ref="B4:I4"/>
    <mergeCell ref="B5:B6"/>
    <mergeCell ref="C5:C6"/>
    <mergeCell ref="D5:D6"/>
    <mergeCell ref="E5:G5"/>
    <mergeCell ref="H5:I5"/>
  </mergeCells>
  <pageMargins left="0.91" right="0.12" top="0.32" bottom="0.19" header="0.3" footer="0.15"/>
  <pageSetup paperSize="9" scale="63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2:N176"/>
  <sheetViews>
    <sheetView topLeftCell="A2" zoomScale="90" zoomScaleNormal="90" workbookViewId="0">
      <pane ySplit="5" topLeftCell="A70" activePane="bottomLeft" state="frozen"/>
      <selection activeCell="A2" sqref="A2"/>
      <selection pane="bottomLeft" activeCell="B2" sqref="B2:I90"/>
    </sheetView>
  </sheetViews>
  <sheetFormatPr defaultRowHeight="15" x14ac:dyDescent="0.25"/>
  <cols>
    <col min="2" max="2" width="4.42578125" customWidth="1"/>
    <col min="3" max="3" width="27.42578125" customWidth="1"/>
    <col min="4" max="4" width="18" customWidth="1"/>
    <col min="5" max="5" width="18.5703125" customWidth="1"/>
    <col min="6" max="6" width="18.28515625" customWidth="1"/>
    <col min="7" max="7" width="18" customWidth="1"/>
    <col min="8" max="8" width="17.85546875" customWidth="1"/>
    <col min="9" max="9" width="18.7109375" customWidth="1"/>
    <col min="10" max="10" width="16.42578125" customWidth="1"/>
  </cols>
  <sheetData>
    <row r="2" spans="2:14" x14ac:dyDescent="0.25">
      <c r="B2" s="392" t="s">
        <v>253</v>
      </c>
      <c r="C2" s="392"/>
      <c r="D2" s="392"/>
      <c r="E2" s="392"/>
      <c r="F2" s="392"/>
      <c r="G2" s="392"/>
      <c r="H2" s="392"/>
      <c r="I2" s="392"/>
      <c r="J2" s="75"/>
      <c r="K2" s="27"/>
      <c r="L2" s="27"/>
      <c r="M2" s="27"/>
      <c r="N2" s="27"/>
    </row>
    <row r="3" spans="2:14" x14ac:dyDescent="0.25">
      <c r="B3" s="392" t="s">
        <v>307</v>
      </c>
      <c r="C3" s="392"/>
      <c r="D3" s="392"/>
      <c r="E3" s="392"/>
      <c r="F3" s="392"/>
      <c r="G3" s="392"/>
      <c r="H3" s="392"/>
      <c r="I3" s="392"/>
      <c r="J3" s="75"/>
      <c r="K3" s="27"/>
      <c r="L3" s="27"/>
      <c r="M3" s="27"/>
      <c r="N3" s="27"/>
    </row>
    <row r="4" spans="2:14" ht="15.75" thickBot="1" x14ac:dyDescent="0.3">
      <c r="B4" s="393" t="s">
        <v>1</v>
      </c>
      <c r="C4" s="393"/>
      <c r="D4" s="393"/>
      <c r="E4" s="393"/>
      <c r="F4" s="393"/>
      <c r="G4" s="393"/>
      <c r="H4" s="393"/>
      <c r="I4" s="393"/>
      <c r="J4" s="78"/>
      <c r="K4" s="27"/>
      <c r="L4" s="27"/>
      <c r="M4" s="27"/>
      <c r="N4" s="27"/>
    </row>
    <row r="5" spans="2:14" x14ac:dyDescent="0.25">
      <c r="B5" s="394" t="s">
        <v>2</v>
      </c>
      <c r="C5" s="396" t="s">
        <v>3</v>
      </c>
      <c r="D5" s="398" t="s">
        <v>4</v>
      </c>
      <c r="E5" s="400" t="s">
        <v>5</v>
      </c>
      <c r="F5" s="401"/>
      <c r="G5" s="402"/>
      <c r="H5" s="401" t="s">
        <v>6</v>
      </c>
      <c r="I5" s="402"/>
      <c r="J5" s="404" t="s">
        <v>0</v>
      </c>
      <c r="K5" s="27"/>
      <c r="L5" s="27"/>
      <c r="M5" s="27"/>
      <c r="N5" s="27"/>
    </row>
    <row r="6" spans="2:14" ht="15.75" thickBot="1" x14ac:dyDescent="0.3">
      <c r="B6" s="395"/>
      <c r="C6" s="397"/>
      <c r="D6" s="399"/>
      <c r="E6" s="147" t="s">
        <v>308</v>
      </c>
      <c r="F6" s="148" t="s">
        <v>309</v>
      </c>
      <c r="G6" s="79" t="s">
        <v>7</v>
      </c>
      <c r="H6" s="80" t="s">
        <v>8</v>
      </c>
      <c r="I6" s="81" t="s">
        <v>9</v>
      </c>
      <c r="J6" s="405"/>
      <c r="K6" s="27"/>
      <c r="L6" s="27"/>
      <c r="M6" s="27"/>
      <c r="N6" s="27"/>
    </row>
    <row r="7" spans="2:14" x14ac:dyDescent="0.25">
      <c r="B7" s="40"/>
      <c r="C7" s="41" t="s">
        <v>10</v>
      </c>
      <c r="D7" s="82"/>
      <c r="E7" s="42"/>
      <c r="F7" s="42"/>
      <c r="G7" s="41"/>
      <c r="H7" s="42"/>
      <c r="I7" s="42"/>
      <c r="J7" s="83"/>
      <c r="K7" s="27" t="s">
        <v>263</v>
      </c>
      <c r="L7" s="27"/>
      <c r="M7" s="27"/>
      <c r="N7" s="27"/>
    </row>
    <row r="8" spans="2:14" x14ac:dyDescent="0.25">
      <c r="B8" s="43" t="s">
        <v>12</v>
      </c>
      <c r="C8" s="44" t="s">
        <v>13</v>
      </c>
      <c r="D8" s="45"/>
      <c r="E8" s="45"/>
      <c r="F8" s="45"/>
      <c r="G8" s="59"/>
      <c r="H8" s="45"/>
      <c r="I8" s="45"/>
      <c r="J8" s="84"/>
      <c r="K8" s="27"/>
      <c r="L8" s="27"/>
      <c r="M8" s="27"/>
      <c r="N8" s="27"/>
    </row>
    <row r="9" spans="2:14" x14ac:dyDescent="0.25">
      <c r="B9" s="46"/>
      <c r="C9" s="47" t="s">
        <v>36</v>
      </c>
      <c r="D9" s="85">
        <v>8678000</v>
      </c>
      <c r="E9" s="48">
        <v>4985000</v>
      </c>
      <c r="F9" s="61">
        <f>45000</f>
        <v>45000</v>
      </c>
      <c r="G9" s="61">
        <f>E9+F9</f>
        <v>5030000</v>
      </c>
      <c r="H9" s="85">
        <f t="shared" ref="H9:H28" si="0">G9-D9</f>
        <v>-3648000</v>
      </c>
      <c r="I9" s="86">
        <f t="shared" ref="I9:I22" si="1">G9/D9%</f>
        <v>57.962664208342936</v>
      </c>
      <c r="J9" s="87"/>
      <c r="K9" s="27"/>
      <c r="L9" s="27"/>
      <c r="M9" s="27"/>
      <c r="N9" s="27"/>
    </row>
    <row r="10" spans="2:14" x14ac:dyDescent="0.25">
      <c r="B10" s="46"/>
      <c r="C10" s="47" t="s">
        <v>37</v>
      </c>
      <c r="D10" s="85">
        <v>7848000</v>
      </c>
      <c r="E10" s="48">
        <v>7039000</v>
      </c>
      <c r="F10" s="61">
        <f>100000</f>
        <v>100000</v>
      </c>
      <c r="G10" s="61">
        <f t="shared" ref="G10:G19" si="2">E10+F10</f>
        <v>7139000</v>
      </c>
      <c r="H10" s="85">
        <f t="shared" si="0"/>
        <v>-709000</v>
      </c>
      <c r="I10" s="86">
        <f t="shared" si="1"/>
        <v>90.96585117227319</v>
      </c>
      <c r="J10" s="87"/>
      <c r="K10" s="27"/>
      <c r="L10" s="27"/>
      <c r="M10" s="27"/>
      <c r="N10" s="27"/>
    </row>
    <row r="11" spans="2:14" x14ac:dyDescent="0.25">
      <c r="B11" s="46"/>
      <c r="C11" s="47" t="s">
        <v>52</v>
      </c>
      <c r="D11" s="85">
        <v>106000</v>
      </c>
      <c r="E11" s="48">
        <v>130000</v>
      </c>
      <c r="F11" s="61">
        <v>0</v>
      </c>
      <c r="G11" s="61">
        <f t="shared" si="2"/>
        <v>130000</v>
      </c>
      <c r="H11" s="85"/>
      <c r="I11" s="86"/>
      <c r="J11" s="87"/>
      <c r="K11" s="27"/>
      <c r="L11" s="27"/>
      <c r="M11" s="27"/>
      <c r="N11" s="27"/>
    </row>
    <row r="12" spans="2:14" x14ac:dyDescent="0.25">
      <c r="B12" s="46"/>
      <c r="C12" s="47" t="s">
        <v>53</v>
      </c>
      <c r="D12" s="85">
        <v>14864000</v>
      </c>
      <c r="E12" s="48">
        <v>13064443</v>
      </c>
      <c r="F12" s="61">
        <v>0</v>
      </c>
      <c r="G12" s="61">
        <f t="shared" si="2"/>
        <v>13064443</v>
      </c>
      <c r="H12" s="85">
        <f t="shared" si="0"/>
        <v>-1799557</v>
      </c>
      <c r="I12" s="86">
        <f t="shared" si="1"/>
        <v>87.893184876210981</v>
      </c>
      <c r="J12" s="87"/>
      <c r="K12" s="27"/>
      <c r="L12" s="27"/>
      <c r="M12" s="27"/>
      <c r="N12" s="27"/>
    </row>
    <row r="13" spans="2:14" x14ac:dyDescent="0.25">
      <c r="B13" s="46"/>
      <c r="C13" s="47" t="s">
        <v>54</v>
      </c>
      <c r="D13" s="85">
        <v>5379000</v>
      </c>
      <c r="E13" s="48">
        <v>5695611</v>
      </c>
      <c r="F13" s="61">
        <v>0</v>
      </c>
      <c r="G13" s="61">
        <f t="shared" si="2"/>
        <v>5695611</v>
      </c>
      <c r="H13" s="85">
        <f t="shared" si="0"/>
        <v>316611</v>
      </c>
      <c r="I13" s="86">
        <f t="shared" si="1"/>
        <v>105.88605688789738</v>
      </c>
      <c r="J13" s="88"/>
      <c r="K13" s="27"/>
      <c r="L13" s="27"/>
      <c r="M13" s="27"/>
      <c r="N13" s="27"/>
    </row>
    <row r="14" spans="2:14" x14ac:dyDescent="0.25">
      <c r="B14" s="46"/>
      <c r="C14" s="47" t="s">
        <v>55</v>
      </c>
      <c r="D14" s="85">
        <v>7941000</v>
      </c>
      <c r="E14" s="48">
        <v>5361000</v>
      </c>
      <c r="F14" s="61">
        <f>100000</f>
        <v>100000</v>
      </c>
      <c r="G14" s="61">
        <f>E14+F14</f>
        <v>5461000</v>
      </c>
      <c r="H14" s="85">
        <f t="shared" si="0"/>
        <v>-2480000</v>
      </c>
      <c r="I14" s="86">
        <f t="shared" si="1"/>
        <v>68.769676363178448</v>
      </c>
      <c r="J14" s="88"/>
      <c r="K14" s="27"/>
      <c r="L14" s="27"/>
      <c r="M14" s="27"/>
      <c r="N14" s="27"/>
    </row>
    <row r="15" spans="2:14" x14ac:dyDescent="0.25">
      <c r="B15" s="46"/>
      <c r="C15" s="47" t="s">
        <v>56</v>
      </c>
      <c r="D15" s="85">
        <v>9832000</v>
      </c>
      <c r="E15" s="48">
        <v>7762000</v>
      </c>
      <c r="F15" s="61">
        <f>85000+100000</f>
        <v>185000</v>
      </c>
      <c r="G15" s="61">
        <f t="shared" si="2"/>
        <v>7947000</v>
      </c>
      <c r="H15" s="85">
        <f t="shared" si="0"/>
        <v>-1885000</v>
      </c>
      <c r="I15" s="86">
        <f t="shared" si="1"/>
        <v>80.827908868999188</v>
      </c>
      <c r="J15" s="87"/>
      <c r="K15" s="27"/>
      <c r="L15" s="27"/>
      <c r="M15" s="27"/>
      <c r="N15" s="27"/>
    </row>
    <row r="16" spans="2:14" x14ac:dyDescent="0.25">
      <c r="B16" s="46"/>
      <c r="C16" s="47" t="s">
        <v>57</v>
      </c>
      <c r="D16" s="85">
        <v>39418000</v>
      </c>
      <c r="E16" s="48">
        <v>14646907</v>
      </c>
      <c r="F16" s="61">
        <f>117777+50000+100000+150000+100000+95000</f>
        <v>612777</v>
      </c>
      <c r="G16" s="168">
        <f>E16+F16</f>
        <v>15259684</v>
      </c>
      <c r="H16" s="85">
        <f t="shared" si="0"/>
        <v>-24158316</v>
      </c>
      <c r="I16" s="86">
        <f t="shared" si="1"/>
        <v>38.712476533563347</v>
      </c>
      <c r="J16" s="87"/>
      <c r="K16" s="27"/>
      <c r="L16" s="27"/>
      <c r="M16" s="27"/>
      <c r="N16" s="27"/>
    </row>
    <row r="17" spans="2:14" x14ac:dyDescent="0.25">
      <c r="B17" s="46"/>
      <c r="C17" s="47" t="s">
        <v>58</v>
      </c>
      <c r="D17" s="85">
        <v>1588000</v>
      </c>
      <c r="E17" s="48">
        <v>1116147</v>
      </c>
      <c r="F17" s="61">
        <v>0</v>
      </c>
      <c r="G17" s="61">
        <f>E17+F17</f>
        <v>1116147</v>
      </c>
      <c r="H17" s="85">
        <f t="shared" si="0"/>
        <v>-471853</v>
      </c>
      <c r="I17" s="86">
        <f t="shared" si="1"/>
        <v>70.286335012594463</v>
      </c>
      <c r="J17" s="87"/>
      <c r="K17" s="27"/>
      <c r="L17" s="27"/>
      <c r="M17" s="27"/>
      <c r="N17" s="27"/>
    </row>
    <row r="18" spans="2:14" x14ac:dyDescent="0.25">
      <c r="B18" s="46"/>
      <c r="C18" s="47" t="s">
        <v>59</v>
      </c>
      <c r="D18" s="85">
        <v>2828000</v>
      </c>
      <c r="E18" s="48">
        <v>3100000</v>
      </c>
      <c r="F18" s="61">
        <v>0</v>
      </c>
      <c r="G18" s="61">
        <f t="shared" si="2"/>
        <v>3100000</v>
      </c>
      <c r="H18" s="85">
        <f t="shared" si="0"/>
        <v>272000</v>
      </c>
      <c r="I18" s="86">
        <f t="shared" si="1"/>
        <v>109.61810466760961</v>
      </c>
      <c r="J18" s="87"/>
      <c r="K18" s="27"/>
      <c r="L18" s="27"/>
      <c r="M18" s="27"/>
      <c r="N18" s="27"/>
    </row>
    <row r="19" spans="2:14" x14ac:dyDescent="0.25">
      <c r="B19" s="46"/>
      <c r="C19" s="47" t="s">
        <v>60</v>
      </c>
      <c r="D19" s="85">
        <v>24159000</v>
      </c>
      <c r="E19" s="48">
        <v>25846217</v>
      </c>
      <c r="F19" s="61">
        <f>125000+300000</f>
        <v>425000</v>
      </c>
      <c r="G19" s="61">
        <f t="shared" si="2"/>
        <v>26271217</v>
      </c>
      <c r="H19" s="85">
        <f t="shared" si="0"/>
        <v>2112217</v>
      </c>
      <c r="I19" s="86">
        <f t="shared" si="1"/>
        <v>108.74298191150297</v>
      </c>
      <c r="J19" s="87"/>
      <c r="K19" s="27"/>
      <c r="L19" s="27"/>
      <c r="M19" s="27"/>
      <c r="N19" s="27"/>
    </row>
    <row r="20" spans="2:14" x14ac:dyDescent="0.25">
      <c r="B20" s="46"/>
      <c r="C20" s="47" t="s">
        <v>61</v>
      </c>
      <c r="D20" s="85">
        <v>58403000</v>
      </c>
      <c r="E20" s="48">
        <v>37401500</v>
      </c>
      <c r="F20" s="61">
        <v>0</v>
      </c>
      <c r="G20" s="61">
        <f>E20+F20</f>
        <v>37401500</v>
      </c>
      <c r="H20" s="85">
        <f t="shared" si="0"/>
        <v>-21001500</v>
      </c>
      <c r="I20" s="86">
        <f t="shared" si="1"/>
        <v>64.040374638289123</v>
      </c>
      <c r="J20" s="87"/>
      <c r="K20" s="27"/>
      <c r="L20" s="27"/>
      <c r="M20" s="27"/>
      <c r="N20" s="27"/>
    </row>
    <row r="21" spans="2:14" x14ac:dyDescent="0.25">
      <c r="B21" s="46"/>
      <c r="C21" s="47" t="s">
        <v>62</v>
      </c>
      <c r="D21" s="85">
        <v>0</v>
      </c>
      <c r="E21" s="48">
        <v>7260000</v>
      </c>
      <c r="F21" s="61">
        <v>0</v>
      </c>
      <c r="G21" s="61">
        <f t="shared" ref="G21:G27" si="3">E21+F21</f>
        <v>7260000</v>
      </c>
      <c r="H21" s="85">
        <f>G21-D21</f>
        <v>7260000</v>
      </c>
      <c r="I21" s="86" t="e">
        <f>G21/D21%</f>
        <v>#DIV/0!</v>
      </c>
      <c r="J21" s="87"/>
      <c r="K21" s="27"/>
      <c r="L21" s="27"/>
      <c r="M21" s="27"/>
      <c r="N21" s="27"/>
    </row>
    <row r="22" spans="2:14" x14ac:dyDescent="0.25">
      <c r="B22" s="46"/>
      <c r="C22" s="47" t="s">
        <v>63</v>
      </c>
      <c r="D22" s="85">
        <v>318000</v>
      </c>
      <c r="E22" s="48">
        <v>0</v>
      </c>
      <c r="F22" s="61">
        <v>0</v>
      </c>
      <c r="G22" s="61">
        <f t="shared" si="3"/>
        <v>0</v>
      </c>
      <c r="H22" s="85">
        <f t="shared" si="0"/>
        <v>-318000</v>
      </c>
      <c r="I22" s="86">
        <f t="shared" si="1"/>
        <v>0</v>
      </c>
      <c r="J22" s="87"/>
      <c r="K22" s="27"/>
      <c r="L22" s="27"/>
      <c r="M22" s="27"/>
      <c r="N22" s="27"/>
    </row>
    <row r="23" spans="2:14" x14ac:dyDescent="0.25">
      <c r="B23" s="46"/>
      <c r="C23" s="47" t="s">
        <v>64</v>
      </c>
      <c r="D23" s="85">
        <v>5687000</v>
      </c>
      <c r="E23" s="48">
        <v>2342857</v>
      </c>
      <c r="F23" s="61">
        <v>0</v>
      </c>
      <c r="G23" s="61">
        <f t="shared" si="3"/>
        <v>2342857</v>
      </c>
      <c r="H23" s="85">
        <f>G23-D23</f>
        <v>-3344143</v>
      </c>
      <c r="I23" s="86">
        <f>G23/D23%</f>
        <v>41.196711798839459</v>
      </c>
      <c r="J23" s="87"/>
      <c r="K23" s="27"/>
      <c r="L23" s="27"/>
      <c r="M23" s="27"/>
      <c r="N23" s="27"/>
    </row>
    <row r="24" spans="2:14" x14ac:dyDescent="0.25">
      <c r="B24" s="46"/>
      <c r="C24" s="47" t="s">
        <v>65</v>
      </c>
      <c r="D24" s="85">
        <v>0</v>
      </c>
      <c r="E24" s="48">
        <v>3955000</v>
      </c>
      <c r="F24" s="61">
        <v>0</v>
      </c>
      <c r="G24" s="61">
        <f t="shared" si="3"/>
        <v>3955000</v>
      </c>
      <c r="H24" s="85">
        <f>G24-D24</f>
        <v>3955000</v>
      </c>
      <c r="I24" s="86" t="e">
        <f>G24/D24%</f>
        <v>#DIV/0!</v>
      </c>
      <c r="J24" s="87"/>
      <c r="K24" s="27"/>
      <c r="L24" s="27"/>
      <c r="M24" s="27"/>
      <c r="N24" s="27"/>
    </row>
    <row r="25" spans="2:14" x14ac:dyDescent="0.25">
      <c r="B25" s="46"/>
      <c r="C25" s="47" t="s">
        <v>66</v>
      </c>
      <c r="D25" s="85">
        <v>11647000</v>
      </c>
      <c r="E25" s="48">
        <v>20039543</v>
      </c>
      <c r="F25" s="61">
        <v>0</v>
      </c>
      <c r="G25" s="61">
        <f t="shared" si="3"/>
        <v>20039543</v>
      </c>
      <c r="H25" s="85">
        <f>G25-D25</f>
        <v>8392543</v>
      </c>
      <c r="I25" s="86">
        <f>G25/D25%</f>
        <v>172.05755130076415</v>
      </c>
      <c r="J25" s="87"/>
      <c r="K25" s="27"/>
      <c r="L25" s="27"/>
      <c r="M25" s="27"/>
      <c r="N25" s="27"/>
    </row>
    <row r="26" spans="2:14" x14ac:dyDescent="0.25">
      <c r="B26" s="46"/>
      <c r="C26" s="47" t="s">
        <v>67</v>
      </c>
      <c r="D26" s="85">
        <v>0</v>
      </c>
      <c r="E26" s="48">
        <v>775000</v>
      </c>
      <c r="F26" s="61">
        <v>0</v>
      </c>
      <c r="G26" s="61">
        <f t="shared" si="3"/>
        <v>775000</v>
      </c>
      <c r="H26" s="85">
        <f>G26-D26</f>
        <v>775000</v>
      </c>
      <c r="I26" s="86" t="e">
        <f>G26/D26%</f>
        <v>#DIV/0!</v>
      </c>
      <c r="J26" s="87"/>
      <c r="K26" s="27"/>
      <c r="L26" s="27"/>
      <c r="M26" s="27"/>
      <c r="N26" s="27"/>
    </row>
    <row r="27" spans="2:14" x14ac:dyDescent="0.25">
      <c r="B27" s="46"/>
      <c r="C27" s="47" t="s">
        <v>68</v>
      </c>
      <c r="D27" s="85">
        <v>0</v>
      </c>
      <c r="E27" s="48">
        <v>150000</v>
      </c>
      <c r="F27" s="61">
        <v>0</v>
      </c>
      <c r="G27" s="61">
        <f t="shared" si="3"/>
        <v>150000</v>
      </c>
      <c r="H27" s="85">
        <f>G27-D27</f>
        <v>150000</v>
      </c>
      <c r="I27" s="86" t="e">
        <f>G27/D27%</f>
        <v>#DIV/0!</v>
      </c>
      <c r="J27" s="87"/>
      <c r="K27" s="27"/>
      <c r="L27" s="27"/>
      <c r="M27" s="27"/>
      <c r="N27" s="27"/>
    </row>
    <row r="28" spans="2:14" x14ac:dyDescent="0.25">
      <c r="B28" s="46"/>
      <c r="C28" s="47" t="s">
        <v>69</v>
      </c>
      <c r="D28" s="85">
        <v>16213000</v>
      </c>
      <c r="E28" s="48">
        <v>14308581</v>
      </c>
      <c r="F28" s="61">
        <v>0</v>
      </c>
      <c r="G28" s="61">
        <f>E28+F28</f>
        <v>14308581</v>
      </c>
      <c r="H28" s="85">
        <f t="shared" si="0"/>
        <v>-1904419</v>
      </c>
      <c r="I28" s="86"/>
      <c r="J28" s="87"/>
      <c r="K28" s="27"/>
      <c r="L28" s="27"/>
      <c r="M28" s="27"/>
      <c r="N28" s="27"/>
    </row>
    <row r="29" spans="2:14" x14ac:dyDescent="0.25">
      <c r="B29" s="46"/>
      <c r="C29" s="47"/>
      <c r="D29" s="47"/>
      <c r="E29" s="61"/>
      <c r="F29" s="61"/>
      <c r="G29" s="61"/>
      <c r="H29" s="85"/>
      <c r="I29" s="86"/>
      <c r="J29" s="87"/>
      <c r="K29" s="27"/>
      <c r="L29" s="27"/>
      <c r="M29" s="27"/>
      <c r="N29" s="27"/>
    </row>
    <row r="30" spans="2:14" x14ac:dyDescent="0.25">
      <c r="B30" s="169"/>
      <c r="C30" s="170" t="s">
        <v>14</v>
      </c>
      <c r="D30" s="135">
        <f>SUM(D9:D28)</f>
        <v>214909000</v>
      </c>
      <c r="E30" s="89">
        <f>SUM(E9:E28)</f>
        <v>174978806</v>
      </c>
      <c r="F30" s="89">
        <f>SUM(F9:F28)</f>
        <v>1467777</v>
      </c>
      <c r="G30" s="89">
        <f>SUM(G9:G28)</f>
        <v>176446583</v>
      </c>
      <c r="H30" s="136">
        <f>SUM(H9:H22)</f>
        <v>-46510398</v>
      </c>
      <c r="I30" s="91">
        <f>G30/D30%</f>
        <v>82.102928681441909</v>
      </c>
      <c r="J30" s="171"/>
      <c r="K30" s="149"/>
      <c r="L30" s="149"/>
      <c r="M30" s="149"/>
      <c r="N30" s="27"/>
    </row>
    <row r="31" spans="2:14" x14ac:dyDescent="0.25">
      <c r="B31" s="46"/>
      <c r="C31" s="47"/>
      <c r="D31" s="47"/>
      <c r="E31" s="61"/>
      <c r="F31" s="62"/>
      <c r="G31" s="61"/>
      <c r="H31" s="85"/>
      <c r="I31" s="85"/>
      <c r="J31" s="87"/>
      <c r="K31" s="27"/>
      <c r="L31" s="27"/>
      <c r="M31" s="27"/>
      <c r="N31" s="27"/>
    </row>
    <row r="32" spans="2:14" x14ac:dyDescent="0.25">
      <c r="B32" s="46" t="s">
        <v>15</v>
      </c>
      <c r="C32" s="60" t="s">
        <v>16</v>
      </c>
      <c r="D32" s="47"/>
      <c r="E32" s="61"/>
      <c r="F32" s="62"/>
      <c r="G32" s="61"/>
      <c r="H32" s="85"/>
      <c r="I32" s="85"/>
      <c r="J32" s="87"/>
      <c r="K32" s="27"/>
      <c r="L32" s="27"/>
      <c r="M32" s="27"/>
      <c r="N32" s="27"/>
    </row>
    <row r="33" spans="2:14" x14ac:dyDescent="0.25">
      <c r="B33" s="46"/>
      <c r="C33" s="47" t="s">
        <v>38</v>
      </c>
      <c r="D33" s="85">
        <v>597000</v>
      </c>
      <c r="E33" s="48">
        <v>815000</v>
      </c>
      <c r="F33" s="61">
        <v>0</v>
      </c>
      <c r="G33" s="61">
        <f>E33+F33</f>
        <v>815000</v>
      </c>
      <c r="H33" s="85">
        <f t="shared" ref="H33:H49" si="4">G33-D33</f>
        <v>218000</v>
      </c>
      <c r="I33" s="86">
        <f t="shared" ref="I33:I49" si="5">G33/D33%</f>
        <v>136.51591289782243</v>
      </c>
      <c r="J33" s="87"/>
      <c r="K33" s="27"/>
      <c r="L33" s="27"/>
      <c r="M33" s="27"/>
      <c r="N33" s="27"/>
    </row>
    <row r="34" spans="2:14" x14ac:dyDescent="0.25">
      <c r="B34" s="172"/>
      <c r="C34" s="173" t="s">
        <v>39</v>
      </c>
      <c r="D34" s="174">
        <v>28513000</v>
      </c>
      <c r="E34" s="175">
        <v>18219000</v>
      </c>
      <c r="F34" s="168">
        <f>50000+40000+50000+45000+200000+15000+45000+450000</f>
        <v>895000</v>
      </c>
      <c r="G34" s="168">
        <f t="shared" ref="G34:G49" si="6">E34+F34</f>
        <v>19114000</v>
      </c>
      <c r="H34" s="174">
        <f t="shared" si="4"/>
        <v>-9399000</v>
      </c>
      <c r="I34" s="176">
        <f t="shared" si="5"/>
        <v>67.036088801599277</v>
      </c>
      <c r="J34" s="179"/>
      <c r="K34" s="177"/>
      <c r="L34" s="177"/>
      <c r="M34" s="177"/>
      <c r="N34" s="27"/>
    </row>
    <row r="35" spans="2:14" x14ac:dyDescent="0.25">
      <c r="B35" s="46"/>
      <c r="C35" s="47" t="s">
        <v>40</v>
      </c>
      <c r="D35" s="85">
        <v>7126000</v>
      </c>
      <c r="E35" s="48">
        <v>10152000</v>
      </c>
      <c r="F35" s="61">
        <v>0</v>
      </c>
      <c r="G35" s="61">
        <f>E35+F35</f>
        <v>10152000</v>
      </c>
      <c r="H35" s="85">
        <f t="shared" si="4"/>
        <v>3026000</v>
      </c>
      <c r="I35" s="86">
        <f>G35/D35%</f>
        <v>142.46421554869491</v>
      </c>
      <c r="J35" s="180"/>
      <c r="K35" s="27"/>
      <c r="L35" s="27"/>
      <c r="M35" s="27"/>
      <c r="N35" s="27"/>
    </row>
    <row r="36" spans="2:14" x14ac:dyDescent="0.25">
      <c r="B36" s="46"/>
      <c r="C36" s="47" t="s">
        <v>41</v>
      </c>
      <c r="D36" s="85">
        <v>1851000</v>
      </c>
      <c r="E36" s="48">
        <v>1849000</v>
      </c>
      <c r="F36" s="61">
        <v>0</v>
      </c>
      <c r="G36" s="61">
        <f t="shared" si="6"/>
        <v>1849000</v>
      </c>
      <c r="H36" s="85">
        <f t="shared" si="4"/>
        <v>-2000</v>
      </c>
      <c r="I36" s="86">
        <f t="shared" si="5"/>
        <v>99.891950297136688</v>
      </c>
      <c r="J36" s="87"/>
      <c r="K36" s="27"/>
      <c r="L36" s="27"/>
      <c r="M36" s="27"/>
      <c r="N36" s="27"/>
    </row>
    <row r="37" spans="2:14" x14ac:dyDescent="0.25">
      <c r="B37" s="46"/>
      <c r="C37" s="47" t="s">
        <v>50</v>
      </c>
      <c r="D37" s="85">
        <v>0</v>
      </c>
      <c r="E37" s="48">
        <v>0</v>
      </c>
      <c r="F37" s="61">
        <v>0</v>
      </c>
      <c r="G37" s="61">
        <f t="shared" si="6"/>
        <v>0</v>
      </c>
      <c r="H37" s="85">
        <f>G37-D37</f>
        <v>0</v>
      </c>
      <c r="I37" s="86" t="e">
        <f>G37/D37%</f>
        <v>#DIV/0!</v>
      </c>
      <c r="J37" s="87"/>
      <c r="K37" s="27"/>
      <c r="L37" s="27"/>
      <c r="M37" s="27"/>
      <c r="N37" s="27"/>
    </row>
    <row r="38" spans="2:14" x14ac:dyDescent="0.25">
      <c r="B38" s="46"/>
      <c r="C38" s="47" t="s">
        <v>51</v>
      </c>
      <c r="D38" s="85">
        <v>0</v>
      </c>
      <c r="E38" s="48">
        <v>0</v>
      </c>
      <c r="F38" s="61">
        <v>0</v>
      </c>
      <c r="G38" s="61">
        <f>E38+F38</f>
        <v>0</v>
      </c>
      <c r="H38" s="85">
        <f>G38-D38</f>
        <v>0</v>
      </c>
      <c r="I38" s="86" t="e">
        <f>G38/D38%</f>
        <v>#DIV/0!</v>
      </c>
      <c r="J38" s="87"/>
      <c r="K38" s="27"/>
      <c r="L38" s="27"/>
      <c r="M38" s="27"/>
      <c r="N38" s="27"/>
    </row>
    <row r="39" spans="2:14" x14ac:dyDescent="0.25">
      <c r="B39" s="46"/>
      <c r="C39" s="47" t="s">
        <v>49</v>
      </c>
      <c r="D39" s="85">
        <v>0</v>
      </c>
      <c r="E39" s="48">
        <v>100000</v>
      </c>
      <c r="F39" s="61">
        <v>0</v>
      </c>
      <c r="G39" s="61">
        <f t="shared" si="6"/>
        <v>100000</v>
      </c>
      <c r="H39" s="85">
        <f>G39-D38</f>
        <v>100000</v>
      </c>
      <c r="I39" s="86" t="e">
        <f>G39/D38%</f>
        <v>#DIV/0!</v>
      </c>
      <c r="J39" s="87"/>
      <c r="K39" s="27"/>
      <c r="L39" s="27"/>
      <c r="M39" s="27"/>
      <c r="N39" s="27"/>
    </row>
    <row r="40" spans="2:14" x14ac:dyDescent="0.25">
      <c r="B40" s="46"/>
      <c r="C40" s="47" t="s">
        <v>79</v>
      </c>
      <c r="D40" s="85">
        <v>1404000</v>
      </c>
      <c r="E40" s="48">
        <v>1255000</v>
      </c>
      <c r="F40" s="61">
        <v>0</v>
      </c>
      <c r="G40" s="61">
        <f t="shared" si="6"/>
        <v>1255000</v>
      </c>
      <c r="H40" s="85">
        <f>G40-D39</f>
        <v>1255000</v>
      </c>
      <c r="I40" s="86" t="e">
        <f>G40/D39%</f>
        <v>#DIV/0!</v>
      </c>
      <c r="J40" s="87"/>
      <c r="K40" s="27"/>
      <c r="L40" s="27"/>
      <c r="M40" s="27"/>
      <c r="N40" s="27"/>
    </row>
    <row r="41" spans="2:14" x14ac:dyDescent="0.25">
      <c r="B41" s="46"/>
      <c r="C41" s="47" t="s">
        <v>71</v>
      </c>
      <c r="D41" s="85">
        <v>1902000</v>
      </c>
      <c r="E41" s="48">
        <v>3885000</v>
      </c>
      <c r="F41" s="61">
        <v>0</v>
      </c>
      <c r="G41" s="61">
        <f t="shared" si="6"/>
        <v>3885000</v>
      </c>
      <c r="H41" s="85">
        <f>G41-D40</f>
        <v>2481000</v>
      </c>
      <c r="I41" s="86">
        <f>G41/D40%</f>
        <v>276.70940170940173</v>
      </c>
      <c r="J41" s="87"/>
      <c r="K41" s="27"/>
      <c r="L41" s="27"/>
      <c r="M41" s="27"/>
      <c r="N41" s="27"/>
    </row>
    <row r="42" spans="2:14" x14ac:dyDescent="0.25">
      <c r="B42" s="46"/>
      <c r="C42" s="47" t="s">
        <v>72</v>
      </c>
      <c r="D42" s="144">
        <v>2267000</v>
      </c>
      <c r="E42" s="48">
        <v>3370000</v>
      </c>
      <c r="F42" s="61">
        <f>450000</f>
        <v>450000</v>
      </c>
      <c r="G42" s="61">
        <f t="shared" si="6"/>
        <v>3820000</v>
      </c>
      <c r="H42" s="85">
        <f>G42-D41</f>
        <v>1918000</v>
      </c>
      <c r="I42" s="86">
        <f>G42/D41%</f>
        <v>200.84121976866456</v>
      </c>
      <c r="J42" s="87"/>
      <c r="K42" s="27"/>
      <c r="L42" s="27"/>
      <c r="M42" s="27"/>
      <c r="N42" s="27"/>
    </row>
    <row r="43" spans="2:14" x14ac:dyDescent="0.25">
      <c r="B43" s="46"/>
      <c r="C43" s="47" t="s">
        <v>70</v>
      </c>
      <c r="D43" s="85">
        <v>318000</v>
      </c>
      <c r="E43" s="48">
        <v>0</v>
      </c>
      <c r="F43" s="61">
        <v>0</v>
      </c>
      <c r="G43" s="61">
        <f t="shared" si="6"/>
        <v>0</v>
      </c>
      <c r="H43" s="85">
        <f t="shared" si="4"/>
        <v>-318000</v>
      </c>
      <c r="I43" s="86">
        <f t="shared" si="5"/>
        <v>0</v>
      </c>
      <c r="J43" s="87"/>
      <c r="K43" s="27"/>
      <c r="L43" s="27"/>
      <c r="M43" s="27"/>
      <c r="N43" s="27"/>
    </row>
    <row r="44" spans="2:14" x14ac:dyDescent="0.25">
      <c r="B44" s="46"/>
      <c r="C44" s="47" t="s">
        <v>73</v>
      </c>
      <c r="D44" s="85">
        <v>529000</v>
      </c>
      <c r="E44" s="48">
        <v>635000</v>
      </c>
      <c r="F44" s="61">
        <v>0</v>
      </c>
      <c r="G44" s="61">
        <f t="shared" si="6"/>
        <v>635000</v>
      </c>
      <c r="H44" s="85">
        <f t="shared" si="4"/>
        <v>106000</v>
      </c>
      <c r="I44" s="86">
        <f t="shared" si="5"/>
        <v>120.03780718336483</v>
      </c>
      <c r="J44" s="87"/>
      <c r="K44" s="27"/>
      <c r="L44" s="27"/>
      <c r="M44" s="27"/>
      <c r="N44" s="27"/>
    </row>
    <row r="45" spans="2:14" x14ac:dyDescent="0.25">
      <c r="B45" s="46"/>
      <c r="C45" s="47" t="s">
        <v>74</v>
      </c>
      <c r="D45" s="85">
        <v>0</v>
      </c>
      <c r="E45" s="48">
        <v>0</v>
      </c>
      <c r="F45" s="61">
        <v>0</v>
      </c>
      <c r="G45" s="61">
        <f t="shared" si="6"/>
        <v>0</v>
      </c>
      <c r="H45" s="85">
        <f t="shared" si="4"/>
        <v>0</v>
      </c>
      <c r="I45" s="86" t="e">
        <f t="shared" si="5"/>
        <v>#DIV/0!</v>
      </c>
      <c r="J45" s="87"/>
      <c r="K45" s="27"/>
      <c r="L45" s="27"/>
      <c r="M45" s="27"/>
      <c r="N45" s="27"/>
    </row>
    <row r="46" spans="2:14" x14ac:dyDescent="0.25">
      <c r="B46" s="46"/>
      <c r="C46" s="47" t="s">
        <v>75</v>
      </c>
      <c r="D46" s="85">
        <v>2753000</v>
      </c>
      <c r="E46" s="48">
        <v>4200000</v>
      </c>
      <c r="F46" s="61">
        <f>230000</f>
        <v>230000</v>
      </c>
      <c r="G46" s="61">
        <f t="shared" si="6"/>
        <v>4430000</v>
      </c>
      <c r="H46" s="85">
        <f t="shared" si="4"/>
        <v>1677000</v>
      </c>
      <c r="I46" s="86">
        <f t="shared" si="5"/>
        <v>160.91536505630222</v>
      </c>
      <c r="J46" s="87"/>
      <c r="K46" s="27"/>
      <c r="L46" s="27"/>
      <c r="M46" s="27"/>
      <c r="N46" s="27"/>
    </row>
    <row r="47" spans="2:14" x14ac:dyDescent="0.25">
      <c r="B47" s="46"/>
      <c r="C47" s="47" t="s">
        <v>76</v>
      </c>
      <c r="D47" s="85">
        <v>0</v>
      </c>
      <c r="E47" s="48">
        <v>0</v>
      </c>
      <c r="F47" s="61"/>
      <c r="G47" s="61">
        <f t="shared" si="6"/>
        <v>0</v>
      </c>
      <c r="H47" s="85">
        <f t="shared" si="4"/>
        <v>0</v>
      </c>
      <c r="I47" s="86" t="e">
        <f t="shared" si="5"/>
        <v>#DIV/0!</v>
      </c>
      <c r="J47" s="87"/>
      <c r="K47" s="27"/>
      <c r="L47" s="27"/>
      <c r="M47" s="27"/>
      <c r="N47" s="27"/>
    </row>
    <row r="48" spans="2:14" x14ac:dyDescent="0.25">
      <c r="B48" s="46"/>
      <c r="C48" s="47" t="s">
        <v>77</v>
      </c>
      <c r="D48" s="85">
        <v>0</v>
      </c>
      <c r="E48" s="48">
        <v>0</v>
      </c>
      <c r="F48" s="61">
        <v>0</v>
      </c>
      <c r="G48" s="61">
        <f t="shared" si="6"/>
        <v>0</v>
      </c>
      <c r="H48" s="85">
        <f t="shared" si="4"/>
        <v>0</v>
      </c>
      <c r="I48" s="86" t="e">
        <f t="shared" si="5"/>
        <v>#DIV/0!</v>
      </c>
      <c r="J48" s="87"/>
      <c r="K48" s="27"/>
      <c r="L48" s="27"/>
      <c r="M48" s="27"/>
      <c r="N48" s="27"/>
    </row>
    <row r="49" spans="2:14" x14ac:dyDescent="0.25">
      <c r="B49" s="46"/>
      <c r="C49" s="47" t="s">
        <v>78</v>
      </c>
      <c r="D49" s="85">
        <v>14720000</v>
      </c>
      <c r="E49" s="48">
        <v>5801000</v>
      </c>
      <c r="F49" s="61">
        <f>342000+1850000</f>
        <v>2192000</v>
      </c>
      <c r="G49" s="61">
        <f t="shared" si="6"/>
        <v>7993000</v>
      </c>
      <c r="H49" s="85">
        <f t="shared" si="4"/>
        <v>-6727000</v>
      </c>
      <c r="I49" s="86">
        <f t="shared" si="5"/>
        <v>54.300271739130437</v>
      </c>
      <c r="J49" s="87"/>
      <c r="K49" s="27"/>
      <c r="L49" s="27"/>
      <c r="M49" s="27"/>
      <c r="N49" s="27"/>
    </row>
    <row r="50" spans="2:14" x14ac:dyDescent="0.25">
      <c r="B50" s="46"/>
      <c r="C50" s="47"/>
      <c r="D50" s="85"/>
      <c r="E50" s="61"/>
      <c r="F50" s="61"/>
      <c r="G50" s="61"/>
      <c r="H50" s="85"/>
      <c r="I50" s="85"/>
      <c r="J50" s="87"/>
      <c r="K50" s="27"/>
      <c r="L50" s="27"/>
      <c r="M50" s="27"/>
      <c r="N50" s="27"/>
    </row>
    <row r="51" spans="2:14" x14ac:dyDescent="0.25">
      <c r="B51" s="169"/>
      <c r="C51" s="170" t="s">
        <v>17</v>
      </c>
      <c r="D51" s="136">
        <f>SUM(D33:D49)</f>
        <v>61980000</v>
      </c>
      <c r="E51" s="89">
        <f>SUM(E33:E49)</f>
        <v>50281000</v>
      </c>
      <c r="F51" s="89">
        <f>SUM(F33:F49)</f>
        <v>3767000</v>
      </c>
      <c r="G51" s="89">
        <f>SUM(G33:G49)</f>
        <v>54048000</v>
      </c>
      <c r="H51" s="136">
        <f>SUM(H33:H49)</f>
        <v>-5665000</v>
      </c>
      <c r="I51" s="91">
        <f>G51/D51%</f>
        <v>87.202323330106481</v>
      </c>
      <c r="J51" s="171"/>
      <c r="K51" s="149"/>
      <c r="L51" s="149"/>
      <c r="M51" s="149"/>
      <c r="N51" s="27"/>
    </row>
    <row r="52" spans="2:14" x14ac:dyDescent="0.25">
      <c r="B52" s="46"/>
      <c r="C52" s="47"/>
      <c r="D52" s="47"/>
      <c r="E52" s="61"/>
      <c r="F52" s="62"/>
      <c r="G52" s="61"/>
      <c r="H52" s="85"/>
      <c r="I52" s="85"/>
      <c r="J52" s="87"/>
      <c r="K52" s="27"/>
      <c r="L52" s="27"/>
      <c r="M52" s="27"/>
      <c r="N52" s="27"/>
    </row>
    <row r="53" spans="2:14" x14ac:dyDescent="0.25">
      <c r="B53" s="46" t="s">
        <v>18</v>
      </c>
      <c r="C53" s="60" t="s">
        <v>19</v>
      </c>
      <c r="D53" s="47"/>
      <c r="E53" s="61"/>
      <c r="F53" s="62"/>
      <c r="G53" s="61"/>
      <c r="H53" s="85"/>
      <c r="I53" s="85"/>
      <c r="J53" s="87"/>
      <c r="K53" s="27"/>
      <c r="L53" s="27"/>
      <c r="M53" s="27"/>
      <c r="N53" s="27"/>
    </row>
    <row r="54" spans="2:14" x14ac:dyDescent="0.25">
      <c r="B54" s="46"/>
      <c r="C54" s="47" t="s">
        <v>42</v>
      </c>
      <c r="D54" s="85">
        <v>0</v>
      </c>
      <c r="E54" s="48">
        <v>505172</v>
      </c>
      <c r="F54" s="61">
        <v>0</v>
      </c>
      <c r="G54" s="61">
        <f>E54+F54</f>
        <v>505172</v>
      </c>
      <c r="H54" s="85">
        <f t="shared" ref="H54:H67" si="7">G54-D54</f>
        <v>505172</v>
      </c>
      <c r="I54" s="86" t="e">
        <f t="shared" ref="I54:I67" si="8">G54/D54%</f>
        <v>#DIV/0!</v>
      </c>
      <c r="J54" s="87"/>
      <c r="K54" s="27"/>
      <c r="L54" s="27"/>
      <c r="M54" s="27"/>
      <c r="N54" s="27"/>
    </row>
    <row r="55" spans="2:14" x14ac:dyDescent="0.25">
      <c r="B55" s="46"/>
      <c r="C55" s="47" t="s">
        <v>43</v>
      </c>
      <c r="D55" s="85">
        <v>21176000</v>
      </c>
      <c r="E55" s="48">
        <v>28599500</v>
      </c>
      <c r="F55" s="61">
        <f>2140000+2500000+2394000+2290000+680000</f>
        <v>10004000</v>
      </c>
      <c r="G55" s="61">
        <f t="shared" ref="G55:G67" si="9">E55+F55</f>
        <v>38603500</v>
      </c>
      <c r="H55" s="85">
        <f t="shared" si="7"/>
        <v>17427500</v>
      </c>
      <c r="I55" s="86">
        <f t="shared" si="8"/>
        <v>182.29835663014734</v>
      </c>
      <c r="J55" s="87"/>
      <c r="K55" s="27"/>
      <c r="L55" s="27"/>
      <c r="M55" s="27"/>
      <c r="N55" s="27"/>
    </row>
    <row r="56" spans="2:14" x14ac:dyDescent="0.25">
      <c r="B56" s="46"/>
      <c r="C56" s="47" t="s">
        <v>44</v>
      </c>
      <c r="D56" s="85">
        <v>678000</v>
      </c>
      <c r="E56" s="48">
        <v>1850000</v>
      </c>
      <c r="F56" s="61">
        <v>0</v>
      </c>
      <c r="G56" s="61">
        <f t="shared" si="9"/>
        <v>1850000</v>
      </c>
      <c r="H56" s="85">
        <f t="shared" si="7"/>
        <v>1172000</v>
      </c>
      <c r="I56" s="86">
        <f t="shared" si="8"/>
        <v>272.8613569321534</v>
      </c>
      <c r="J56" s="87"/>
      <c r="K56" s="27"/>
      <c r="L56" s="27"/>
      <c r="M56" s="27"/>
      <c r="N56" s="27"/>
    </row>
    <row r="57" spans="2:14" x14ac:dyDescent="0.25">
      <c r="B57" s="46"/>
      <c r="C57" s="47" t="s">
        <v>45</v>
      </c>
      <c r="D57" s="85">
        <v>0</v>
      </c>
      <c r="E57" s="48">
        <v>0</v>
      </c>
      <c r="F57" s="61">
        <v>0</v>
      </c>
      <c r="G57" s="61">
        <f t="shared" si="9"/>
        <v>0</v>
      </c>
      <c r="H57" s="85">
        <f t="shared" si="7"/>
        <v>0</v>
      </c>
      <c r="I57" s="86" t="e">
        <f t="shared" si="8"/>
        <v>#DIV/0!</v>
      </c>
      <c r="J57" s="87"/>
      <c r="K57" s="27"/>
      <c r="L57" s="27"/>
      <c r="M57" s="27"/>
      <c r="N57" s="27"/>
    </row>
    <row r="58" spans="2:14" x14ac:dyDescent="0.25">
      <c r="B58" s="46"/>
      <c r="C58" s="47" t="s">
        <v>46</v>
      </c>
      <c r="D58" s="85">
        <v>0</v>
      </c>
      <c r="E58" s="48">
        <v>0</v>
      </c>
      <c r="F58" s="92">
        <v>0</v>
      </c>
      <c r="G58" s="61">
        <f t="shared" si="9"/>
        <v>0</v>
      </c>
      <c r="H58" s="85">
        <f t="shared" si="7"/>
        <v>0</v>
      </c>
      <c r="I58" s="86" t="e">
        <f t="shared" si="8"/>
        <v>#DIV/0!</v>
      </c>
      <c r="J58" s="87"/>
      <c r="K58" s="27"/>
      <c r="L58" s="27"/>
      <c r="M58" s="27"/>
      <c r="N58" s="27"/>
    </row>
    <row r="59" spans="2:14" x14ac:dyDescent="0.25">
      <c r="B59" s="46"/>
      <c r="C59" s="47" t="s">
        <v>47</v>
      </c>
      <c r="D59" s="85">
        <v>0</v>
      </c>
      <c r="E59" s="48">
        <v>5926000</v>
      </c>
      <c r="F59" s="61">
        <f>2093000</f>
        <v>2093000</v>
      </c>
      <c r="G59" s="61">
        <f t="shared" si="9"/>
        <v>8019000</v>
      </c>
      <c r="H59" s="85">
        <f t="shared" si="7"/>
        <v>8019000</v>
      </c>
      <c r="I59" s="86" t="e">
        <f t="shared" si="8"/>
        <v>#DIV/0!</v>
      </c>
      <c r="J59" s="87"/>
      <c r="K59" s="27"/>
      <c r="L59" s="27"/>
      <c r="M59" s="27"/>
      <c r="N59" s="27"/>
    </row>
    <row r="60" spans="2:14" x14ac:dyDescent="0.25">
      <c r="B60" s="46"/>
      <c r="C60" s="47" t="s">
        <v>129</v>
      </c>
      <c r="D60" s="85">
        <v>778000</v>
      </c>
      <c r="E60" s="48">
        <v>2700000</v>
      </c>
      <c r="F60" s="61">
        <v>0</v>
      </c>
      <c r="G60" s="61">
        <f t="shared" si="9"/>
        <v>2700000</v>
      </c>
      <c r="H60" s="85">
        <f t="shared" si="7"/>
        <v>1922000</v>
      </c>
      <c r="I60" s="86">
        <f t="shared" si="8"/>
        <v>347.04370179948586</v>
      </c>
      <c r="J60" s="87"/>
      <c r="K60" s="27"/>
      <c r="L60" s="27"/>
      <c r="M60" s="27"/>
      <c r="N60" s="27"/>
    </row>
    <row r="61" spans="2:14" x14ac:dyDescent="0.25">
      <c r="B61" s="46"/>
      <c r="C61" s="47" t="s">
        <v>86</v>
      </c>
      <c r="D61" s="85">
        <v>0</v>
      </c>
      <c r="E61" s="48">
        <v>0</v>
      </c>
      <c r="F61" s="61">
        <v>0</v>
      </c>
      <c r="G61" s="61">
        <f t="shared" si="9"/>
        <v>0</v>
      </c>
      <c r="H61" s="85">
        <f t="shared" si="7"/>
        <v>0</v>
      </c>
      <c r="I61" s="86" t="e">
        <f t="shared" si="8"/>
        <v>#DIV/0!</v>
      </c>
      <c r="J61" s="87"/>
      <c r="K61" s="27"/>
      <c r="L61" s="27"/>
      <c r="M61" s="27"/>
      <c r="N61" s="27"/>
    </row>
    <row r="62" spans="2:14" x14ac:dyDescent="0.25">
      <c r="B62" s="46"/>
      <c r="C62" s="47" t="s">
        <v>87</v>
      </c>
      <c r="D62" s="85">
        <v>0</v>
      </c>
      <c r="E62" s="48">
        <v>0</v>
      </c>
      <c r="F62" s="61">
        <v>0</v>
      </c>
      <c r="G62" s="61">
        <f>E62+F62</f>
        <v>0</v>
      </c>
      <c r="H62" s="85">
        <f>G62-D62</f>
        <v>0</v>
      </c>
      <c r="I62" s="86" t="e">
        <f>G62/D62%</f>
        <v>#DIV/0!</v>
      </c>
      <c r="J62" s="87"/>
      <c r="K62" s="27"/>
      <c r="L62" s="27"/>
      <c r="M62" s="27"/>
      <c r="N62" s="27"/>
    </row>
    <row r="63" spans="2:14" x14ac:dyDescent="0.25">
      <c r="B63" s="46"/>
      <c r="C63" s="47" t="s">
        <v>81</v>
      </c>
      <c r="D63" s="85">
        <v>0</v>
      </c>
      <c r="E63" s="48">
        <v>0</v>
      </c>
      <c r="F63" s="61">
        <v>0</v>
      </c>
      <c r="G63" s="61">
        <f t="shared" si="9"/>
        <v>0</v>
      </c>
      <c r="H63" s="85">
        <f t="shared" si="7"/>
        <v>0</v>
      </c>
      <c r="I63" s="86" t="e">
        <f t="shared" si="8"/>
        <v>#DIV/0!</v>
      </c>
      <c r="J63" s="87"/>
      <c r="K63" s="27"/>
      <c r="L63" s="27"/>
      <c r="M63" s="27"/>
      <c r="N63" s="27"/>
    </row>
    <row r="64" spans="2:14" x14ac:dyDescent="0.25">
      <c r="B64" s="46"/>
      <c r="C64" s="47" t="s">
        <v>82</v>
      </c>
      <c r="D64" s="85">
        <v>0</v>
      </c>
      <c r="E64" s="48">
        <v>250000</v>
      </c>
      <c r="F64" s="61">
        <v>0</v>
      </c>
      <c r="G64" s="61">
        <f t="shared" si="9"/>
        <v>250000</v>
      </c>
      <c r="H64" s="85">
        <f t="shared" si="7"/>
        <v>250000</v>
      </c>
      <c r="I64" s="86" t="e">
        <f t="shared" si="8"/>
        <v>#DIV/0!</v>
      </c>
      <c r="J64" s="87"/>
      <c r="K64" s="27"/>
      <c r="L64" s="27"/>
      <c r="M64" s="27"/>
      <c r="N64" s="27"/>
    </row>
    <row r="65" spans="2:14" x14ac:dyDescent="0.25">
      <c r="B65" s="46"/>
      <c r="C65" s="47" t="s">
        <v>83</v>
      </c>
      <c r="D65" s="85">
        <v>0</v>
      </c>
      <c r="E65" s="48">
        <v>0</v>
      </c>
      <c r="F65" s="61">
        <v>0</v>
      </c>
      <c r="G65" s="61">
        <f>E65+F65</f>
        <v>0</v>
      </c>
      <c r="H65" s="85">
        <f>G65-D65</f>
        <v>0</v>
      </c>
      <c r="I65" s="86" t="e">
        <f>G65/D65%</f>
        <v>#DIV/0!</v>
      </c>
      <c r="J65" s="87"/>
      <c r="K65" s="27"/>
      <c r="L65" s="27"/>
      <c r="M65" s="27"/>
      <c r="N65" s="27"/>
    </row>
    <row r="66" spans="2:14" x14ac:dyDescent="0.25">
      <c r="B66" s="46"/>
      <c r="C66" s="47" t="s">
        <v>142</v>
      </c>
      <c r="D66" s="85">
        <v>424000</v>
      </c>
      <c r="E66" s="48">
        <v>685000</v>
      </c>
      <c r="F66" s="61">
        <v>0</v>
      </c>
      <c r="G66" s="61">
        <f>E66+F66</f>
        <v>685000</v>
      </c>
      <c r="H66" s="85">
        <f>G66-D66</f>
        <v>261000</v>
      </c>
      <c r="I66" s="86">
        <f>G66/D66%</f>
        <v>161.5566037735849</v>
      </c>
      <c r="J66" s="87"/>
      <c r="K66" s="27"/>
      <c r="L66" s="27"/>
      <c r="M66" s="27"/>
      <c r="N66" s="27"/>
    </row>
    <row r="67" spans="2:14" x14ac:dyDescent="0.25">
      <c r="B67" s="46"/>
      <c r="C67" s="47" t="s">
        <v>85</v>
      </c>
      <c r="D67" s="85">
        <v>0</v>
      </c>
      <c r="E67" s="48">
        <v>0</v>
      </c>
      <c r="F67" s="61">
        <v>0</v>
      </c>
      <c r="G67" s="61">
        <f t="shared" si="9"/>
        <v>0</v>
      </c>
      <c r="H67" s="85">
        <f t="shared" si="7"/>
        <v>0</v>
      </c>
      <c r="I67" s="86" t="e">
        <f t="shared" si="8"/>
        <v>#DIV/0!</v>
      </c>
      <c r="J67" s="87"/>
      <c r="K67" s="27"/>
      <c r="L67" s="27"/>
      <c r="M67" s="27"/>
      <c r="N67" s="27"/>
    </row>
    <row r="68" spans="2:14" x14ac:dyDescent="0.25">
      <c r="B68" s="46"/>
      <c r="C68" s="47"/>
      <c r="D68" s="85"/>
      <c r="E68" s="61"/>
      <c r="F68" s="61"/>
      <c r="G68" s="61"/>
      <c r="H68" s="85"/>
      <c r="I68" s="85"/>
      <c r="J68" s="87"/>
      <c r="K68" s="27"/>
      <c r="L68" s="27"/>
      <c r="M68" s="27"/>
      <c r="N68" s="27"/>
    </row>
    <row r="69" spans="2:14" x14ac:dyDescent="0.25">
      <c r="B69" s="169"/>
      <c r="C69" s="170" t="s">
        <v>20</v>
      </c>
      <c r="D69" s="136">
        <f>SUM(D54:D67)</f>
        <v>23056000</v>
      </c>
      <c r="E69" s="89">
        <f>SUM(E54:E67)</f>
        <v>40515672</v>
      </c>
      <c r="F69" s="89">
        <f>SUM(F54:F67)</f>
        <v>12097000</v>
      </c>
      <c r="G69" s="89">
        <f>SUM(G54:G67)</f>
        <v>52612672</v>
      </c>
      <c r="H69" s="136">
        <f>SUM(H54:H63)</f>
        <v>29045672</v>
      </c>
      <c r="I69" s="91">
        <f>G69/D69%</f>
        <v>228.19514226231783</v>
      </c>
      <c r="J69" s="171"/>
      <c r="K69" s="149"/>
      <c r="L69" s="149"/>
      <c r="M69" s="149"/>
      <c r="N69" s="27"/>
    </row>
    <row r="70" spans="2:14" x14ac:dyDescent="0.25">
      <c r="B70" s="46"/>
      <c r="C70" s="47"/>
      <c r="D70" s="47"/>
      <c r="E70" s="61"/>
      <c r="F70" s="62"/>
      <c r="G70" s="61"/>
      <c r="H70" s="85"/>
      <c r="I70" s="85"/>
      <c r="J70" s="87"/>
      <c r="K70" s="27"/>
      <c r="L70" s="27"/>
      <c r="M70" s="27"/>
      <c r="N70" s="27"/>
    </row>
    <row r="71" spans="2:14" ht="15.75" thickBot="1" x14ac:dyDescent="0.3">
      <c r="B71" s="46"/>
      <c r="C71" s="60" t="s">
        <v>21</v>
      </c>
      <c r="D71" s="93">
        <f>D30+D51+D69</f>
        <v>299945000</v>
      </c>
      <c r="E71" s="94">
        <f>E30+E51+E69</f>
        <v>265775478</v>
      </c>
      <c r="F71" s="95">
        <f>F30+F51+F69</f>
        <v>17331777</v>
      </c>
      <c r="G71" s="94">
        <f>G30+G51+G69</f>
        <v>283107255</v>
      </c>
      <c r="H71" s="96">
        <f>H30+H51+H69</f>
        <v>-23129726</v>
      </c>
      <c r="I71" s="97">
        <f>G71/D71%</f>
        <v>94.386389171348085</v>
      </c>
      <c r="J71" s="87"/>
      <c r="K71" s="27"/>
      <c r="L71" s="27"/>
      <c r="M71" s="27"/>
      <c r="N71" s="27"/>
    </row>
    <row r="72" spans="2:14" ht="15.75" thickTop="1" x14ac:dyDescent="0.25">
      <c r="B72" s="69"/>
      <c r="C72" s="98"/>
      <c r="D72" s="99"/>
      <c r="E72" s="100"/>
      <c r="F72" s="101"/>
      <c r="G72" s="100"/>
      <c r="H72" s="102"/>
      <c r="I72" s="103"/>
      <c r="J72" s="104"/>
      <c r="K72" s="27"/>
      <c r="L72" s="27"/>
      <c r="M72" s="27"/>
      <c r="N72" s="27"/>
    </row>
    <row r="73" spans="2:14" x14ac:dyDescent="0.25">
      <c r="B73" s="69"/>
      <c r="C73" s="98" t="s">
        <v>22</v>
      </c>
      <c r="D73" s="105"/>
      <c r="E73" s="106"/>
      <c r="F73" s="107"/>
      <c r="G73" s="106"/>
      <c r="H73" s="108"/>
      <c r="I73" s="109"/>
      <c r="J73" s="104"/>
      <c r="K73" s="27"/>
      <c r="L73" s="27"/>
      <c r="M73" s="27"/>
      <c r="N73" s="27"/>
    </row>
    <row r="74" spans="2:14" x14ac:dyDescent="0.25">
      <c r="B74" s="69" t="s">
        <v>12</v>
      </c>
      <c r="C74" s="98" t="s">
        <v>23</v>
      </c>
      <c r="D74" s="105">
        <v>13500000</v>
      </c>
      <c r="E74" s="106">
        <f>E125</f>
        <v>11511500</v>
      </c>
      <c r="F74" s="107">
        <f>F125</f>
        <v>320000</v>
      </c>
      <c r="G74" s="106">
        <f>E74+F74</f>
        <v>11831500</v>
      </c>
      <c r="H74" s="108">
        <f>G74-D74</f>
        <v>-1668500</v>
      </c>
      <c r="I74" s="110">
        <f>G74/D74%</f>
        <v>87.640740740740739</v>
      </c>
      <c r="J74" s="104"/>
      <c r="K74" s="27"/>
      <c r="L74" s="27"/>
      <c r="M74" s="27"/>
      <c r="N74" s="27"/>
    </row>
    <row r="75" spans="2:14" x14ac:dyDescent="0.25">
      <c r="B75" s="69"/>
      <c r="C75" s="98"/>
      <c r="D75" s="105"/>
      <c r="E75" s="106"/>
      <c r="F75" s="107"/>
      <c r="G75" s="106"/>
      <c r="H75" s="108"/>
      <c r="I75" s="110"/>
      <c r="J75" s="104"/>
      <c r="K75" s="27"/>
      <c r="L75" s="27"/>
      <c r="M75" s="27"/>
      <c r="N75" s="27"/>
    </row>
    <row r="76" spans="2:14" x14ac:dyDescent="0.25">
      <c r="B76" s="69" t="s">
        <v>15</v>
      </c>
      <c r="C76" s="98" t="s">
        <v>16</v>
      </c>
      <c r="D76" s="105">
        <v>4500000</v>
      </c>
      <c r="E76" s="106">
        <f>E146</f>
        <v>711000</v>
      </c>
      <c r="F76" s="107">
        <f>F146</f>
        <v>60000</v>
      </c>
      <c r="G76" s="106">
        <f>E76+F76</f>
        <v>771000</v>
      </c>
      <c r="H76" s="108">
        <f>G76-D76</f>
        <v>-3729000</v>
      </c>
      <c r="I76" s="110">
        <f>G76/D76%</f>
        <v>17.133333333333333</v>
      </c>
      <c r="J76" s="104"/>
      <c r="K76" s="27"/>
      <c r="L76" s="27"/>
      <c r="M76" s="27"/>
      <c r="N76" s="27"/>
    </row>
    <row r="77" spans="2:14" x14ac:dyDescent="0.25">
      <c r="B77" s="69"/>
      <c r="C77" s="98"/>
      <c r="D77" s="105"/>
      <c r="E77" s="106"/>
      <c r="F77" s="107"/>
      <c r="G77" s="106"/>
      <c r="H77" s="108"/>
      <c r="I77" s="110"/>
      <c r="J77" s="104"/>
      <c r="K77" s="27"/>
      <c r="L77" s="27"/>
      <c r="M77" s="27"/>
      <c r="N77" s="27"/>
    </row>
    <row r="78" spans="2:14" x14ac:dyDescent="0.25">
      <c r="B78" s="69" t="s">
        <v>18</v>
      </c>
      <c r="C78" s="98" t="s">
        <v>19</v>
      </c>
      <c r="D78" s="105">
        <v>0</v>
      </c>
      <c r="E78" s="106">
        <f>E164</f>
        <v>864000</v>
      </c>
      <c r="F78" s="107">
        <f>F164</f>
        <v>100000</v>
      </c>
      <c r="G78" s="106">
        <f>E78+F78</f>
        <v>964000</v>
      </c>
      <c r="H78" s="108">
        <f>G78-D78</f>
        <v>964000</v>
      </c>
      <c r="I78" s="110" t="e">
        <f>G78/D78%</f>
        <v>#DIV/0!</v>
      </c>
      <c r="J78" s="104"/>
      <c r="K78" s="27"/>
      <c r="L78" s="27"/>
      <c r="M78" s="27"/>
      <c r="N78" s="27"/>
    </row>
    <row r="79" spans="2:14" ht="15.75" thickBot="1" x14ac:dyDescent="0.3">
      <c r="B79" s="69"/>
      <c r="C79" s="98"/>
      <c r="D79" s="111"/>
      <c r="E79" s="112"/>
      <c r="F79" s="113"/>
      <c r="G79" s="112"/>
      <c r="H79" s="96"/>
      <c r="I79" s="97"/>
      <c r="J79" s="104"/>
      <c r="K79" s="27"/>
      <c r="L79" s="27"/>
      <c r="M79" s="27"/>
      <c r="N79" s="27"/>
    </row>
    <row r="80" spans="2:14" ht="16.5" thickTop="1" thickBot="1" x14ac:dyDescent="0.3">
      <c r="B80" s="114"/>
      <c r="C80" s="115" t="s">
        <v>24</v>
      </c>
      <c r="D80" s="116">
        <f>SUM(D74:D78)</f>
        <v>18000000</v>
      </c>
      <c r="E80" s="117">
        <f>SUM(E74:E78)</f>
        <v>13086500</v>
      </c>
      <c r="F80" s="118">
        <f>SUM(F74:F78)</f>
        <v>480000</v>
      </c>
      <c r="G80" s="117">
        <f>SUM(G74:G78)</f>
        <v>13566500</v>
      </c>
      <c r="H80" s="119">
        <f>SUM(H74:H78)</f>
        <v>-4433500</v>
      </c>
      <c r="I80" s="120">
        <f>G80/D80%</f>
        <v>75.36944444444444</v>
      </c>
      <c r="J80" s="121"/>
      <c r="K80" s="27"/>
      <c r="L80" s="27"/>
      <c r="M80" s="27"/>
      <c r="N80" s="27"/>
    </row>
    <row r="81" spans="2:14" x14ac:dyDescent="0.25">
      <c r="B81" s="75"/>
      <c r="C81" s="75"/>
      <c r="D81" s="75"/>
      <c r="E81" s="75"/>
      <c r="F81" s="75"/>
      <c r="G81" s="76"/>
      <c r="H81" s="75"/>
      <c r="I81" s="75"/>
      <c r="J81" s="75"/>
      <c r="K81" s="27"/>
      <c r="L81" s="27"/>
      <c r="M81" s="27"/>
      <c r="N81" s="27"/>
    </row>
    <row r="82" spans="2:14" x14ac:dyDescent="0.25">
      <c r="B82" s="75"/>
      <c r="C82" s="75"/>
      <c r="D82" s="75"/>
      <c r="E82" s="122" t="s">
        <v>25</v>
      </c>
      <c r="F82" s="123" t="s">
        <v>26</v>
      </c>
      <c r="G82" s="124" t="e">
        <f>#REF!</f>
        <v>#REF!</v>
      </c>
      <c r="H82" s="75"/>
      <c r="I82" s="75"/>
      <c r="J82" s="75"/>
      <c r="K82" s="27"/>
      <c r="L82" s="27"/>
      <c r="M82" s="27"/>
      <c r="N82" s="27"/>
    </row>
    <row r="83" spans="2:14" x14ac:dyDescent="0.25">
      <c r="B83" s="75"/>
      <c r="C83" s="75"/>
      <c r="D83" s="75"/>
      <c r="E83" s="122" t="s">
        <v>132</v>
      </c>
      <c r="F83" s="123" t="s">
        <v>26</v>
      </c>
      <c r="G83" s="124" t="e">
        <f>#REF!</f>
        <v>#REF!</v>
      </c>
      <c r="H83" s="75"/>
      <c r="I83" s="75"/>
      <c r="J83" s="75"/>
      <c r="K83" s="27"/>
      <c r="L83" s="27"/>
      <c r="M83" s="27"/>
      <c r="N83" s="27"/>
    </row>
    <row r="84" spans="2:14" x14ac:dyDescent="0.25">
      <c r="B84" s="75"/>
      <c r="C84" s="75"/>
      <c r="D84" s="75"/>
      <c r="E84" s="122" t="s">
        <v>27</v>
      </c>
      <c r="F84" s="123" t="s">
        <v>26</v>
      </c>
      <c r="G84" s="125">
        <f>136000+94000+115000+122000+147500+28000+202000+46000+100000</f>
        <v>990500</v>
      </c>
      <c r="H84" s="75"/>
      <c r="I84" s="75"/>
      <c r="J84" s="75"/>
      <c r="K84" s="27"/>
      <c r="L84" s="27"/>
      <c r="M84" s="27"/>
      <c r="N84" s="27"/>
    </row>
    <row r="85" spans="2:14" ht="19.5" x14ac:dyDescent="0.55000000000000004">
      <c r="B85" s="75"/>
      <c r="C85" s="75"/>
      <c r="D85" s="75"/>
      <c r="E85" s="122" t="s">
        <v>29</v>
      </c>
      <c r="F85" s="123" t="s">
        <v>26</v>
      </c>
      <c r="G85" s="126">
        <f>180000+475000+176000+140000+200000+430000+218500+31500+100000</f>
        <v>1951000</v>
      </c>
      <c r="H85" s="75" t="s">
        <v>28</v>
      </c>
      <c r="I85" s="75"/>
      <c r="J85" s="75"/>
      <c r="K85" s="27"/>
      <c r="L85" s="27"/>
      <c r="M85" s="27"/>
      <c r="N85" s="27"/>
    </row>
    <row r="86" spans="2:14" ht="15.75" thickBot="1" x14ac:dyDescent="0.3">
      <c r="B86" s="75"/>
      <c r="C86" s="75"/>
      <c r="D86" s="75"/>
      <c r="E86" s="122" t="s">
        <v>30</v>
      </c>
      <c r="F86" s="123"/>
      <c r="G86" s="127" t="e">
        <f>SUM(G82:G85)</f>
        <v>#REF!</v>
      </c>
      <c r="H86" s="160" t="s">
        <v>126</v>
      </c>
      <c r="I86" s="27"/>
      <c r="J86" s="75"/>
      <c r="K86" s="27"/>
      <c r="L86" s="27"/>
      <c r="M86" s="27"/>
      <c r="N86" s="27"/>
    </row>
    <row r="87" spans="2:14" ht="15.75" thickTop="1" x14ac:dyDescent="0.25">
      <c r="B87" s="75"/>
      <c r="C87" s="75"/>
      <c r="D87" s="75"/>
      <c r="E87" s="122"/>
      <c r="F87" s="123"/>
      <c r="G87" s="159" t="s">
        <v>263</v>
      </c>
      <c r="H87" s="27"/>
      <c r="I87" s="27"/>
      <c r="J87" s="75"/>
      <c r="K87" s="27"/>
      <c r="L87" s="27"/>
      <c r="M87" s="27"/>
      <c r="N87" s="27"/>
    </row>
    <row r="88" spans="2:14" ht="15.75" thickBot="1" x14ac:dyDescent="0.3">
      <c r="B88" s="161" t="s">
        <v>128</v>
      </c>
      <c r="C88" s="149"/>
      <c r="D88" s="162"/>
      <c r="E88" s="161"/>
      <c r="F88" s="163"/>
      <c r="G88" s="164">
        <f>3800000+2150000+1500000</f>
        <v>7450000</v>
      </c>
      <c r="H88" s="165" t="s">
        <v>126</v>
      </c>
      <c r="I88" s="149"/>
      <c r="J88" s="162"/>
      <c r="K88" s="149"/>
      <c r="L88" s="149"/>
      <c r="M88" s="27"/>
      <c r="N88" s="27"/>
    </row>
    <row r="89" spans="2:14" ht="16.5" thickTop="1" thickBot="1" x14ac:dyDescent="0.3">
      <c r="B89" s="161"/>
      <c r="C89" s="161" t="s">
        <v>134</v>
      </c>
      <c r="D89" s="162"/>
      <c r="E89" s="161"/>
      <c r="F89" s="163"/>
      <c r="G89" s="164">
        <f>2500000</f>
        <v>2500000</v>
      </c>
      <c r="H89" s="165" t="s">
        <v>126</v>
      </c>
      <c r="I89" s="149"/>
      <c r="J89" s="162"/>
      <c r="K89" s="149"/>
      <c r="L89" s="149"/>
      <c r="M89" s="27"/>
      <c r="N89" s="27"/>
    </row>
    <row r="90" spans="2:14" ht="15.75" thickTop="1" x14ac:dyDescent="0.25">
      <c r="B90" s="27"/>
      <c r="C90" s="27"/>
      <c r="D90" s="27"/>
      <c r="E90" s="27"/>
      <c r="F90" s="27"/>
      <c r="G90" s="27"/>
      <c r="H90" s="403" t="s">
        <v>306</v>
      </c>
      <c r="I90" s="403"/>
      <c r="J90" s="27"/>
      <c r="K90" s="27"/>
      <c r="L90" s="27"/>
      <c r="M90" s="27"/>
      <c r="N90" s="27"/>
    </row>
    <row r="91" spans="2:14" x14ac:dyDescent="0.25">
      <c r="B91" s="27"/>
      <c r="C91" s="27"/>
      <c r="D91" s="27"/>
      <c r="E91" s="27"/>
      <c r="F91" s="27"/>
      <c r="G91" s="181" t="e">
        <f>G71-G82</f>
        <v>#REF!</v>
      </c>
      <c r="H91" s="27"/>
      <c r="I91" s="27"/>
      <c r="J91" s="27"/>
      <c r="K91" s="27"/>
      <c r="L91" s="27"/>
      <c r="M91" s="27"/>
      <c r="N91" s="27"/>
    </row>
    <row r="92" spans="2:14" ht="15.75" thickBot="1" x14ac:dyDescent="0.3">
      <c r="B92" s="27"/>
      <c r="C92" s="27"/>
      <c r="D92" s="27"/>
      <c r="E92" s="27"/>
      <c r="F92" s="27"/>
      <c r="G92" s="27" t="s">
        <v>133</v>
      </c>
      <c r="H92" s="27"/>
      <c r="I92" s="27"/>
      <c r="J92" s="128" t="e">
        <f>G82+G85</f>
        <v>#REF!</v>
      </c>
      <c r="K92" s="178" t="s">
        <v>127</v>
      </c>
      <c r="L92" s="27"/>
      <c r="M92" s="27"/>
      <c r="N92" s="27"/>
    </row>
    <row r="93" spans="2:14" ht="15.75" thickTop="1" x14ac:dyDescent="0.25">
      <c r="B93" s="27"/>
      <c r="C93" s="27"/>
      <c r="D93" s="27"/>
      <c r="E93" s="27"/>
      <c r="F93" s="27"/>
      <c r="G93" s="27"/>
      <c r="H93" s="27"/>
      <c r="I93" s="27"/>
      <c r="J93" s="166"/>
      <c r="K93" s="27"/>
      <c r="L93" s="27"/>
      <c r="M93" s="27"/>
      <c r="N93" s="27"/>
    </row>
    <row r="94" spans="2:14" ht="15.75" thickBot="1" x14ac:dyDescent="0.3">
      <c r="B94" s="27"/>
      <c r="C94" s="27"/>
      <c r="D94" s="27"/>
      <c r="E94" s="27"/>
      <c r="F94" s="27"/>
      <c r="G94" s="27"/>
      <c r="H94" s="27"/>
      <c r="I94" s="27"/>
      <c r="J94" s="128" t="e">
        <f>G86+G88+G89</f>
        <v>#REF!</v>
      </c>
      <c r="K94" s="178" t="s">
        <v>130</v>
      </c>
      <c r="L94" s="27"/>
      <c r="M94" s="27"/>
      <c r="N94" s="27"/>
    </row>
    <row r="95" spans="2:14" ht="15.75" thickTop="1" x14ac:dyDescent="0.25"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</row>
    <row r="96" spans="2:14" x14ac:dyDescent="0.25">
      <c r="B96" s="129"/>
      <c r="C96" s="129"/>
      <c r="D96" s="129"/>
      <c r="E96" s="129"/>
      <c r="F96" s="129"/>
      <c r="G96" s="129"/>
      <c r="H96" s="129"/>
      <c r="I96" s="129"/>
      <c r="J96" s="129"/>
      <c r="K96" s="27"/>
      <c r="L96" s="27"/>
      <c r="M96" s="27"/>
      <c r="N96" s="27"/>
    </row>
    <row r="97" spans="2:14" x14ac:dyDescent="0.25">
      <c r="B97" s="27"/>
      <c r="C97" s="27"/>
      <c r="D97" s="27"/>
      <c r="E97" s="27"/>
      <c r="F97" s="27"/>
      <c r="G97" s="27"/>
      <c r="H97" s="27"/>
      <c r="I97" s="27"/>
      <c r="J97" s="75"/>
      <c r="K97" s="27"/>
      <c r="L97" s="27"/>
      <c r="M97" s="27"/>
      <c r="N97" s="27"/>
    </row>
    <row r="98" spans="2:14" x14ac:dyDescent="0.25">
      <c r="B98" s="406" t="s">
        <v>254</v>
      </c>
      <c r="C98" s="406"/>
      <c r="D98" s="406"/>
      <c r="E98" s="406"/>
      <c r="F98" s="406"/>
      <c r="G98" s="406"/>
      <c r="H98" s="406"/>
      <c r="I98" s="406"/>
      <c r="J98" s="75"/>
      <c r="K98" s="27"/>
      <c r="L98" s="27"/>
      <c r="M98" s="27"/>
      <c r="N98" s="27"/>
    </row>
    <row r="99" spans="2:14" ht="15.75" thickBot="1" x14ac:dyDescent="0.3">
      <c r="B99" s="406" t="s">
        <v>310</v>
      </c>
      <c r="C99" s="406"/>
      <c r="D99" s="406"/>
      <c r="E99" s="406"/>
      <c r="F99" s="406"/>
      <c r="G99" s="406"/>
      <c r="H99" s="406"/>
      <c r="I99" s="406"/>
      <c r="J99" s="78"/>
      <c r="K99" s="27"/>
      <c r="L99" s="27"/>
      <c r="M99" s="27"/>
      <c r="N99" s="27"/>
    </row>
    <row r="100" spans="2:14" x14ac:dyDescent="0.25">
      <c r="B100" s="407" t="s">
        <v>2</v>
      </c>
      <c r="C100" s="409" t="s">
        <v>3</v>
      </c>
      <c r="D100" s="411" t="s">
        <v>4</v>
      </c>
      <c r="E100" s="413" t="s">
        <v>5</v>
      </c>
      <c r="F100" s="414"/>
      <c r="G100" s="415"/>
      <c r="H100" s="413" t="s">
        <v>6</v>
      </c>
      <c r="I100" s="415"/>
      <c r="J100" s="416" t="s">
        <v>0</v>
      </c>
      <c r="K100" s="27"/>
      <c r="L100" s="27"/>
      <c r="M100" s="27"/>
      <c r="N100" s="27"/>
    </row>
    <row r="101" spans="2:14" ht="15.75" thickBot="1" x14ac:dyDescent="0.3">
      <c r="B101" s="408"/>
      <c r="C101" s="410"/>
      <c r="D101" s="412"/>
      <c r="E101" s="145" t="str">
        <f>E6</f>
        <v>PENJ. S/D TGL. 27</v>
      </c>
      <c r="F101" s="146" t="str">
        <f>F6</f>
        <v>PENJ. TGL. 28</v>
      </c>
      <c r="G101" s="130" t="s">
        <v>7</v>
      </c>
      <c r="H101" s="131" t="s">
        <v>8</v>
      </c>
      <c r="I101" s="130" t="s">
        <v>9</v>
      </c>
      <c r="J101" s="417"/>
      <c r="K101" s="27"/>
      <c r="L101" s="27"/>
      <c r="M101" s="27"/>
      <c r="N101" s="27"/>
    </row>
    <row r="102" spans="2:14" ht="15.75" thickTop="1" x14ac:dyDescent="0.25">
      <c r="B102" s="132"/>
      <c r="C102" s="133" t="s">
        <v>11</v>
      </c>
      <c r="D102" s="82"/>
      <c r="E102" s="42"/>
      <c r="F102" s="42"/>
      <c r="G102" s="41"/>
      <c r="H102" s="42"/>
      <c r="I102" s="42"/>
      <c r="J102" s="83"/>
      <c r="K102" s="27"/>
      <c r="L102" s="27"/>
      <c r="M102" s="27"/>
      <c r="N102" s="27"/>
    </row>
    <row r="103" spans="2:14" x14ac:dyDescent="0.25">
      <c r="B103" s="43" t="s">
        <v>12</v>
      </c>
      <c r="C103" s="44" t="s">
        <v>13</v>
      </c>
      <c r="D103" s="134">
        <v>13500000</v>
      </c>
      <c r="E103" s="45"/>
      <c r="F103" s="45"/>
      <c r="G103" s="59"/>
      <c r="H103" s="45"/>
      <c r="I103" s="45"/>
      <c r="J103" s="84"/>
      <c r="K103" s="27"/>
      <c r="L103" s="27"/>
      <c r="M103" s="27"/>
      <c r="N103" s="27"/>
    </row>
    <row r="104" spans="2:14" x14ac:dyDescent="0.25">
      <c r="B104" s="46"/>
      <c r="C104" s="47" t="s">
        <v>36</v>
      </c>
      <c r="D104" s="85">
        <v>0</v>
      </c>
      <c r="E104" s="48">
        <v>8360500</v>
      </c>
      <c r="F104" s="61">
        <f>100000+100000</f>
        <v>200000</v>
      </c>
      <c r="G104" s="61">
        <f>E104+F104</f>
        <v>8560500</v>
      </c>
      <c r="H104" s="85">
        <f>G104-D104</f>
        <v>8560500</v>
      </c>
      <c r="I104" s="86" t="e">
        <f>G104/D104%</f>
        <v>#DIV/0!</v>
      </c>
      <c r="J104" s="87"/>
      <c r="K104" s="27"/>
      <c r="L104" s="27"/>
      <c r="M104" s="27"/>
      <c r="N104" s="27"/>
    </row>
    <row r="105" spans="2:14" x14ac:dyDescent="0.25">
      <c r="B105" s="46"/>
      <c r="C105" s="47" t="s">
        <v>37</v>
      </c>
      <c r="D105" s="85">
        <v>0</v>
      </c>
      <c r="E105" s="48">
        <v>446000</v>
      </c>
      <c r="F105" s="61">
        <v>0</v>
      </c>
      <c r="G105" s="61">
        <f t="shared" ref="G105:G123" si="10">E105+F105</f>
        <v>446000</v>
      </c>
      <c r="H105" s="85">
        <f>G105-D105</f>
        <v>446000</v>
      </c>
      <c r="I105" s="86" t="e">
        <f>G105/D105%</f>
        <v>#DIV/0!</v>
      </c>
      <c r="J105" s="87"/>
      <c r="K105" s="27"/>
      <c r="L105" s="27"/>
      <c r="M105" s="27"/>
      <c r="N105" s="27"/>
    </row>
    <row r="106" spans="2:14" x14ac:dyDescent="0.25">
      <c r="B106" s="46"/>
      <c r="C106" s="47" t="s">
        <v>52</v>
      </c>
      <c r="D106" s="85">
        <v>0</v>
      </c>
      <c r="E106" s="48">
        <v>0</v>
      </c>
      <c r="F106" s="61">
        <v>0</v>
      </c>
      <c r="G106" s="61">
        <f t="shared" si="10"/>
        <v>0</v>
      </c>
      <c r="H106" s="85"/>
      <c r="I106" s="86"/>
      <c r="J106" s="87"/>
      <c r="K106" s="27"/>
      <c r="L106" s="27"/>
      <c r="M106" s="27"/>
      <c r="N106" s="27"/>
    </row>
    <row r="107" spans="2:14" x14ac:dyDescent="0.25">
      <c r="B107" s="46"/>
      <c r="C107" s="47" t="s">
        <v>53</v>
      </c>
      <c r="D107" s="85">
        <v>0</v>
      </c>
      <c r="E107" s="48">
        <v>1105000</v>
      </c>
      <c r="F107" s="61">
        <v>70000</v>
      </c>
      <c r="G107" s="61">
        <f t="shared" si="10"/>
        <v>1175000</v>
      </c>
      <c r="H107" s="85">
        <f t="shared" ref="H107:H123" si="11">G107-D107</f>
        <v>1175000</v>
      </c>
      <c r="I107" s="86" t="e">
        <f t="shared" ref="I107:I122" si="12">G107/D107%</f>
        <v>#DIV/0!</v>
      </c>
      <c r="J107" s="87"/>
      <c r="K107" s="27"/>
      <c r="L107" s="27"/>
      <c r="M107" s="27"/>
      <c r="N107" s="27"/>
    </row>
    <row r="108" spans="2:14" x14ac:dyDescent="0.25">
      <c r="B108" s="46"/>
      <c r="C108" s="47" t="s">
        <v>54</v>
      </c>
      <c r="D108" s="85">
        <v>0</v>
      </c>
      <c r="E108" s="48">
        <v>231000</v>
      </c>
      <c r="F108" s="61">
        <v>0</v>
      </c>
      <c r="G108" s="61">
        <f t="shared" si="10"/>
        <v>231000</v>
      </c>
      <c r="H108" s="85">
        <f t="shared" si="11"/>
        <v>231000</v>
      </c>
      <c r="I108" s="86" t="e">
        <f t="shared" si="12"/>
        <v>#DIV/0!</v>
      </c>
      <c r="J108" s="88"/>
      <c r="K108" s="27"/>
      <c r="L108" s="27"/>
      <c r="M108" s="27"/>
      <c r="N108" s="27"/>
    </row>
    <row r="109" spans="2:14" x14ac:dyDescent="0.25">
      <c r="B109" s="46"/>
      <c r="C109" s="47" t="s">
        <v>55</v>
      </c>
      <c r="D109" s="85">
        <v>0</v>
      </c>
      <c r="E109" s="48">
        <v>500000</v>
      </c>
      <c r="F109" s="61">
        <v>0</v>
      </c>
      <c r="G109" s="61">
        <f t="shared" si="10"/>
        <v>500000</v>
      </c>
      <c r="H109" s="85">
        <f t="shared" si="11"/>
        <v>500000</v>
      </c>
      <c r="I109" s="86" t="e">
        <f t="shared" si="12"/>
        <v>#DIV/0!</v>
      </c>
      <c r="J109" s="88"/>
      <c r="K109" s="27"/>
      <c r="L109" s="27"/>
      <c r="M109" s="27"/>
      <c r="N109" s="27"/>
    </row>
    <row r="110" spans="2:14" x14ac:dyDescent="0.25">
      <c r="B110" s="46"/>
      <c r="C110" s="47" t="s">
        <v>56</v>
      </c>
      <c r="D110" s="85">
        <v>0</v>
      </c>
      <c r="E110" s="48">
        <v>0</v>
      </c>
      <c r="F110" s="61">
        <v>0</v>
      </c>
      <c r="G110" s="61">
        <f t="shared" si="10"/>
        <v>0</v>
      </c>
      <c r="H110" s="85">
        <f t="shared" si="11"/>
        <v>0</v>
      </c>
      <c r="I110" s="86" t="e">
        <f t="shared" si="12"/>
        <v>#DIV/0!</v>
      </c>
      <c r="J110" s="87"/>
      <c r="K110" s="27"/>
      <c r="L110" s="27"/>
      <c r="M110" s="27"/>
      <c r="N110" s="27"/>
    </row>
    <row r="111" spans="2:14" x14ac:dyDescent="0.25">
      <c r="B111" s="46"/>
      <c r="C111" s="47" t="s">
        <v>57</v>
      </c>
      <c r="D111" s="85">
        <v>0</v>
      </c>
      <c r="E111" s="48">
        <v>569000</v>
      </c>
      <c r="F111" s="61">
        <v>0</v>
      </c>
      <c r="G111" s="61">
        <f t="shared" si="10"/>
        <v>569000</v>
      </c>
      <c r="H111" s="85">
        <f t="shared" si="11"/>
        <v>569000</v>
      </c>
      <c r="I111" s="86" t="e">
        <f t="shared" si="12"/>
        <v>#DIV/0!</v>
      </c>
      <c r="J111" s="87"/>
      <c r="K111" s="27"/>
      <c r="L111" s="27"/>
      <c r="M111" s="27"/>
      <c r="N111" s="27"/>
    </row>
    <row r="112" spans="2:14" x14ac:dyDescent="0.25">
      <c r="B112" s="46"/>
      <c r="C112" s="47" t="s">
        <v>58</v>
      </c>
      <c r="D112" s="85">
        <v>0</v>
      </c>
      <c r="E112" s="48">
        <v>150000</v>
      </c>
      <c r="F112" s="61">
        <v>50000</v>
      </c>
      <c r="G112" s="61">
        <f t="shared" si="10"/>
        <v>200000</v>
      </c>
      <c r="H112" s="85">
        <f t="shared" si="11"/>
        <v>200000</v>
      </c>
      <c r="I112" s="86" t="e">
        <f t="shared" si="12"/>
        <v>#DIV/0!</v>
      </c>
      <c r="J112" s="87"/>
      <c r="K112" s="27"/>
      <c r="L112" s="27"/>
      <c r="M112" s="27"/>
      <c r="N112" s="27"/>
    </row>
    <row r="113" spans="2:14" x14ac:dyDescent="0.25">
      <c r="B113" s="46"/>
      <c r="C113" s="47" t="s">
        <v>59</v>
      </c>
      <c r="D113" s="85">
        <v>0</v>
      </c>
      <c r="E113" s="48">
        <v>0</v>
      </c>
      <c r="F113" s="61">
        <v>0</v>
      </c>
      <c r="G113" s="61">
        <f t="shared" si="10"/>
        <v>0</v>
      </c>
      <c r="H113" s="85">
        <f t="shared" si="11"/>
        <v>0</v>
      </c>
      <c r="I113" s="86" t="e">
        <f t="shared" si="12"/>
        <v>#DIV/0!</v>
      </c>
      <c r="J113" s="87"/>
      <c r="K113" s="27"/>
      <c r="L113" s="27"/>
      <c r="M113" s="27"/>
      <c r="N113" s="27"/>
    </row>
    <row r="114" spans="2:14" x14ac:dyDescent="0.25">
      <c r="B114" s="46"/>
      <c r="C114" s="47" t="s">
        <v>60</v>
      </c>
      <c r="D114" s="85">
        <v>0</v>
      </c>
      <c r="E114" s="48">
        <v>0</v>
      </c>
      <c r="F114" s="61">
        <v>0</v>
      </c>
      <c r="G114" s="61">
        <f t="shared" si="10"/>
        <v>0</v>
      </c>
      <c r="H114" s="85">
        <f t="shared" si="11"/>
        <v>0</v>
      </c>
      <c r="I114" s="86" t="e">
        <f t="shared" si="12"/>
        <v>#DIV/0!</v>
      </c>
      <c r="J114" s="87"/>
      <c r="K114" s="27"/>
      <c r="L114" s="27"/>
      <c r="M114" s="27"/>
      <c r="N114" s="27"/>
    </row>
    <row r="115" spans="2:14" x14ac:dyDescent="0.25">
      <c r="B115" s="46"/>
      <c r="C115" s="47" t="s">
        <v>61</v>
      </c>
      <c r="D115" s="85">
        <v>0</v>
      </c>
      <c r="E115" s="48">
        <v>0</v>
      </c>
      <c r="F115" s="61">
        <v>0</v>
      </c>
      <c r="G115" s="61">
        <f t="shared" si="10"/>
        <v>0</v>
      </c>
      <c r="H115" s="85">
        <f t="shared" si="11"/>
        <v>0</v>
      </c>
      <c r="I115" s="86" t="e">
        <f t="shared" si="12"/>
        <v>#DIV/0!</v>
      </c>
      <c r="J115" s="87"/>
      <c r="K115" s="27"/>
      <c r="L115" s="27"/>
      <c r="M115" s="27"/>
      <c r="N115" s="27"/>
    </row>
    <row r="116" spans="2:14" x14ac:dyDescent="0.25">
      <c r="B116" s="46"/>
      <c r="C116" s="47" t="s">
        <v>62</v>
      </c>
      <c r="D116" s="85">
        <v>0</v>
      </c>
      <c r="E116" s="48">
        <v>0</v>
      </c>
      <c r="F116" s="61">
        <v>0</v>
      </c>
      <c r="G116" s="61">
        <f t="shared" si="10"/>
        <v>0</v>
      </c>
      <c r="H116" s="85">
        <f t="shared" si="11"/>
        <v>0</v>
      </c>
      <c r="I116" s="86" t="e">
        <f t="shared" si="12"/>
        <v>#DIV/0!</v>
      </c>
      <c r="J116" s="87"/>
      <c r="K116" s="27"/>
      <c r="L116" s="27"/>
      <c r="M116" s="27"/>
      <c r="N116" s="27"/>
    </row>
    <row r="117" spans="2:14" x14ac:dyDescent="0.25">
      <c r="B117" s="46"/>
      <c r="C117" s="47" t="s">
        <v>63</v>
      </c>
      <c r="D117" s="85">
        <v>0</v>
      </c>
      <c r="E117" s="48">
        <v>0</v>
      </c>
      <c r="F117" s="61">
        <v>0</v>
      </c>
      <c r="G117" s="61">
        <f t="shared" si="10"/>
        <v>0</v>
      </c>
      <c r="H117" s="85">
        <f t="shared" si="11"/>
        <v>0</v>
      </c>
      <c r="I117" s="86" t="e">
        <f t="shared" si="12"/>
        <v>#DIV/0!</v>
      </c>
      <c r="J117" s="87"/>
      <c r="K117" s="27"/>
      <c r="L117" s="27"/>
      <c r="M117" s="27"/>
      <c r="N117" s="27"/>
    </row>
    <row r="118" spans="2:14" x14ac:dyDescent="0.25">
      <c r="B118" s="46"/>
      <c r="C118" s="47" t="s">
        <v>64</v>
      </c>
      <c r="D118" s="85">
        <v>0</v>
      </c>
      <c r="E118" s="48">
        <v>0</v>
      </c>
      <c r="F118" s="61">
        <v>0</v>
      </c>
      <c r="G118" s="61">
        <f t="shared" si="10"/>
        <v>0</v>
      </c>
      <c r="H118" s="85">
        <f t="shared" si="11"/>
        <v>0</v>
      </c>
      <c r="I118" s="86" t="e">
        <f t="shared" si="12"/>
        <v>#DIV/0!</v>
      </c>
      <c r="J118" s="87"/>
      <c r="K118" s="27"/>
      <c r="L118" s="27"/>
      <c r="M118" s="27"/>
      <c r="N118" s="27"/>
    </row>
    <row r="119" spans="2:14" x14ac:dyDescent="0.25">
      <c r="B119" s="46"/>
      <c r="C119" s="47" t="s">
        <v>65</v>
      </c>
      <c r="D119" s="85">
        <v>0</v>
      </c>
      <c r="E119" s="48">
        <v>0</v>
      </c>
      <c r="F119" s="61">
        <v>0</v>
      </c>
      <c r="G119" s="61">
        <f t="shared" si="10"/>
        <v>0</v>
      </c>
      <c r="H119" s="85">
        <f t="shared" si="11"/>
        <v>0</v>
      </c>
      <c r="I119" s="86" t="e">
        <f t="shared" si="12"/>
        <v>#DIV/0!</v>
      </c>
      <c r="J119" s="87"/>
      <c r="K119" s="27"/>
      <c r="L119" s="27"/>
      <c r="M119" s="27"/>
      <c r="N119" s="27"/>
    </row>
    <row r="120" spans="2:14" x14ac:dyDescent="0.25">
      <c r="B120" s="46"/>
      <c r="C120" s="47" t="s">
        <v>66</v>
      </c>
      <c r="D120" s="85">
        <v>0</v>
      </c>
      <c r="E120" s="48">
        <v>0</v>
      </c>
      <c r="F120" s="61">
        <v>0</v>
      </c>
      <c r="G120" s="61">
        <f t="shared" si="10"/>
        <v>0</v>
      </c>
      <c r="H120" s="85">
        <f t="shared" si="11"/>
        <v>0</v>
      </c>
      <c r="I120" s="86" t="e">
        <f t="shared" si="12"/>
        <v>#DIV/0!</v>
      </c>
      <c r="J120" s="87"/>
      <c r="K120" s="27"/>
      <c r="L120" s="27"/>
      <c r="M120" s="27"/>
      <c r="N120" s="27"/>
    </row>
    <row r="121" spans="2:14" x14ac:dyDescent="0.25">
      <c r="B121" s="46"/>
      <c r="C121" s="47" t="s">
        <v>67</v>
      </c>
      <c r="D121" s="85">
        <v>0</v>
      </c>
      <c r="E121" s="48">
        <v>0</v>
      </c>
      <c r="F121" s="61">
        <v>0</v>
      </c>
      <c r="G121" s="61">
        <f t="shared" si="10"/>
        <v>0</v>
      </c>
      <c r="H121" s="85">
        <f t="shared" si="11"/>
        <v>0</v>
      </c>
      <c r="I121" s="86" t="e">
        <f t="shared" si="12"/>
        <v>#DIV/0!</v>
      </c>
      <c r="J121" s="87"/>
      <c r="K121" s="27"/>
      <c r="L121" s="27"/>
      <c r="M121" s="27"/>
      <c r="N121" s="27"/>
    </row>
    <row r="122" spans="2:14" x14ac:dyDescent="0.25">
      <c r="B122" s="46"/>
      <c r="C122" s="47" t="s">
        <v>68</v>
      </c>
      <c r="D122" s="85">
        <v>0</v>
      </c>
      <c r="E122" s="48">
        <v>0</v>
      </c>
      <c r="F122" s="61">
        <v>0</v>
      </c>
      <c r="G122" s="61">
        <f t="shared" si="10"/>
        <v>0</v>
      </c>
      <c r="H122" s="85">
        <f t="shared" si="11"/>
        <v>0</v>
      </c>
      <c r="I122" s="86" t="e">
        <f t="shared" si="12"/>
        <v>#DIV/0!</v>
      </c>
      <c r="J122" s="87"/>
      <c r="K122" s="27"/>
      <c r="L122" s="27"/>
      <c r="M122" s="27"/>
      <c r="N122" s="27"/>
    </row>
    <row r="123" spans="2:14" x14ac:dyDescent="0.25">
      <c r="B123" s="46"/>
      <c r="C123" s="47" t="s">
        <v>69</v>
      </c>
      <c r="D123" s="85">
        <v>0</v>
      </c>
      <c r="E123" s="48">
        <v>150000</v>
      </c>
      <c r="F123" s="61">
        <v>0</v>
      </c>
      <c r="G123" s="61">
        <f t="shared" si="10"/>
        <v>150000</v>
      </c>
      <c r="H123" s="85">
        <f t="shared" si="11"/>
        <v>150000</v>
      </c>
      <c r="I123" s="86"/>
      <c r="J123" s="87"/>
      <c r="K123" s="27"/>
      <c r="L123" s="27"/>
      <c r="M123" s="27"/>
      <c r="N123" s="27"/>
    </row>
    <row r="124" spans="2:14" x14ac:dyDescent="0.25">
      <c r="B124" s="46"/>
      <c r="C124" s="47"/>
      <c r="D124" s="47"/>
      <c r="E124" s="61"/>
      <c r="F124" s="61"/>
      <c r="G124" s="61"/>
      <c r="H124" s="85"/>
      <c r="I124" s="86"/>
      <c r="J124" s="87"/>
      <c r="K124" s="27"/>
      <c r="L124" s="27"/>
      <c r="M124" s="27"/>
      <c r="N124" s="27"/>
    </row>
    <row r="125" spans="2:14" x14ac:dyDescent="0.25">
      <c r="B125" s="46"/>
      <c r="C125" s="60" t="s">
        <v>14</v>
      </c>
      <c r="D125" s="135">
        <f>D103</f>
        <v>13500000</v>
      </c>
      <c r="E125" s="89">
        <f>SUM(E104:E123)</f>
        <v>11511500</v>
      </c>
      <c r="F125" s="89">
        <f>SUM(F104:F123)</f>
        <v>320000</v>
      </c>
      <c r="G125" s="89">
        <f>SUM(G104:G123)</f>
        <v>11831500</v>
      </c>
      <c r="H125" s="90">
        <f>SUM(H104:H117)</f>
        <v>11681500</v>
      </c>
      <c r="I125" s="91">
        <f>G125/D125%</f>
        <v>87.640740740740739</v>
      </c>
      <c r="J125" s="87"/>
      <c r="K125" s="27"/>
      <c r="L125" s="27"/>
      <c r="M125" s="27"/>
      <c r="N125" s="27"/>
    </row>
    <row r="126" spans="2:14" x14ac:dyDescent="0.25">
      <c r="B126" s="46"/>
      <c r="C126" s="47"/>
      <c r="D126" s="47"/>
      <c r="E126" s="61"/>
      <c r="F126" s="62"/>
      <c r="G126" s="61"/>
      <c r="H126" s="85"/>
      <c r="I126" s="85"/>
      <c r="J126" s="87"/>
      <c r="K126" s="27"/>
      <c r="L126" s="27"/>
      <c r="M126" s="27"/>
      <c r="N126" s="27"/>
    </row>
    <row r="127" spans="2:14" x14ac:dyDescent="0.25">
      <c r="B127" s="46" t="s">
        <v>15</v>
      </c>
      <c r="C127" s="60" t="s">
        <v>16</v>
      </c>
      <c r="D127" s="134">
        <v>4500000</v>
      </c>
      <c r="E127" s="61"/>
      <c r="F127" s="62"/>
      <c r="G127" s="61"/>
      <c r="H127" s="85"/>
      <c r="I127" s="85"/>
      <c r="J127" s="87"/>
      <c r="K127" s="27"/>
      <c r="L127" s="27"/>
      <c r="M127" s="27"/>
      <c r="N127" s="27"/>
    </row>
    <row r="128" spans="2:14" x14ac:dyDescent="0.25">
      <c r="B128" s="46"/>
      <c r="C128" s="47" t="s">
        <v>38</v>
      </c>
      <c r="D128" s="85">
        <v>0</v>
      </c>
      <c r="E128" s="48">
        <v>0</v>
      </c>
      <c r="F128" s="61">
        <v>0</v>
      </c>
      <c r="G128" s="61">
        <f t="shared" ref="G128:G144" si="13">E128+F128</f>
        <v>0</v>
      </c>
      <c r="H128" s="85">
        <f t="shared" ref="H128:H144" si="14">G128-D128</f>
        <v>0</v>
      </c>
      <c r="I128" s="86" t="e">
        <f t="shared" ref="I128:I144" si="15">G128/D128%</f>
        <v>#DIV/0!</v>
      </c>
      <c r="J128" s="87"/>
      <c r="K128" s="27"/>
      <c r="L128" s="27"/>
      <c r="M128" s="27"/>
      <c r="N128" s="27"/>
    </row>
    <row r="129" spans="2:14" x14ac:dyDescent="0.25">
      <c r="B129" s="46"/>
      <c r="C129" s="47" t="s">
        <v>39</v>
      </c>
      <c r="D129" s="85">
        <v>0</v>
      </c>
      <c r="E129" s="48">
        <v>425000</v>
      </c>
      <c r="F129" s="61">
        <f>15000</f>
        <v>15000</v>
      </c>
      <c r="G129" s="61">
        <f t="shared" si="13"/>
        <v>440000</v>
      </c>
      <c r="H129" s="85">
        <f t="shared" si="14"/>
        <v>440000</v>
      </c>
      <c r="I129" s="86" t="e">
        <f t="shared" si="15"/>
        <v>#DIV/0!</v>
      </c>
      <c r="J129" s="87"/>
      <c r="K129" s="27"/>
      <c r="L129" s="27"/>
      <c r="M129" s="27"/>
      <c r="N129" s="27"/>
    </row>
    <row r="130" spans="2:14" x14ac:dyDescent="0.25">
      <c r="B130" s="46"/>
      <c r="C130" s="47" t="s">
        <v>40</v>
      </c>
      <c r="D130" s="85">
        <v>0</v>
      </c>
      <c r="E130" s="48">
        <v>136000</v>
      </c>
      <c r="F130" s="61">
        <v>0</v>
      </c>
      <c r="G130" s="61">
        <f t="shared" si="13"/>
        <v>136000</v>
      </c>
      <c r="H130" s="85">
        <f t="shared" si="14"/>
        <v>136000</v>
      </c>
      <c r="I130" s="86" t="e">
        <f t="shared" si="15"/>
        <v>#DIV/0!</v>
      </c>
      <c r="J130" s="87"/>
      <c r="K130" s="27"/>
      <c r="L130" s="27"/>
      <c r="M130" s="27"/>
      <c r="N130" s="27"/>
    </row>
    <row r="131" spans="2:14" x14ac:dyDescent="0.25">
      <c r="B131" s="46"/>
      <c r="C131" s="47" t="s">
        <v>41</v>
      </c>
      <c r="D131" s="85">
        <v>0</v>
      </c>
      <c r="E131" s="48">
        <v>0</v>
      </c>
      <c r="F131" s="61"/>
      <c r="G131" s="61">
        <f t="shared" si="13"/>
        <v>0</v>
      </c>
      <c r="H131" s="85">
        <f t="shared" si="14"/>
        <v>0</v>
      </c>
      <c r="I131" s="86" t="e">
        <f t="shared" si="15"/>
        <v>#DIV/0!</v>
      </c>
      <c r="J131" s="87"/>
      <c r="K131" s="27"/>
      <c r="L131" s="27"/>
      <c r="M131" s="27"/>
      <c r="N131" s="27"/>
    </row>
    <row r="132" spans="2:14" x14ac:dyDescent="0.25">
      <c r="B132" s="46"/>
      <c r="C132" s="47" t="s">
        <v>50</v>
      </c>
      <c r="D132" s="85">
        <v>0</v>
      </c>
      <c r="E132" s="48">
        <v>0</v>
      </c>
      <c r="F132" s="61">
        <v>0</v>
      </c>
      <c r="G132" s="61">
        <f t="shared" si="13"/>
        <v>0</v>
      </c>
      <c r="H132" s="85">
        <f t="shared" si="14"/>
        <v>0</v>
      </c>
      <c r="I132" s="86" t="e">
        <f t="shared" si="15"/>
        <v>#DIV/0!</v>
      </c>
      <c r="J132" s="87"/>
      <c r="K132" s="27"/>
      <c r="L132" s="27"/>
      <c r="M132" s="27"/>
      <c r="N132" s="27"/>
    </row>
    <row r="133" spans="2:14" x14ac:dyDescent="0.25">
      <c r="B133" s="46"/>
      <c r="C133" s="47" t="s">
        <v>51</v>
      </c>
      <c r="D133" s="85">
        <v>0</v>
      </c>
      <c r="E133" s="48">
        <v>0</v>
      </c>
      <c r="F133" s="61">
        <v>0</v>
      </c>
      <c r="G133" s="61">
        <f t="shared" si="13"/>
        <v>0</v>
      </c>
      <c r="H133" s="85">
        <f t="shared" si="14"/>
        <v>0</v>
      </c>
      <c r="I133" s="86" t="e">
        <f t="shared" si="15"/>
        <v>#DIV/0!</v>
      </c>
      <c r="J133" s="87"/>
      <c r="K133" s="27"/>
      <c r="L133" s="27"/>
      <c r="M133" s="27"/>
      <c r="N133" s="27"/>
    </row>
    <row r="134" spans="2:14" x14ac:dyDescent="0.25">
      <c r="B134" s="46"/>
      <c r="C134" s="47" t="s">
        <v>49</v>
      </c>
      <c r="D134" s="85">
        <v>0</v>
      </c>
      <c r="E134" s="48">
        <v>0</v>
      </c>
      <c r="F134" s="61">
        <v>0</v>
      </c>
      <c r="G134" s="61">
        <f t="shared" si="13"/>
        <v>0</v>
      </c>
      <c r="H134" s="85">
        <f t="shared" si="14"/>
        <v>0</v>
      </c>
      <c r="I134" s="86" t="e">
        <f t="shared" si="15"/>
        <v>#DIV/0!</v>
      </c>
      <c r="J134" s="87"/>
      <c r="K134" s="27"/>
      <c r="L134" s="27"/>
      <c r="M134" s="27"/>
      <c r="N134" s="27"/>
    </row>
    <row r="135" spans="2:14" x14ac:dyDescent="0.25">
      <c r="B135" s="46"/>
      <c r="C135" s="47" t="s">
        <v>79</v>
      </c>
      <c r="D135" s="85">
        <v>0</v>
      </c>
      <c r="E135" s="48">
        <v>0</v>
      </c>
      <c r="F135" s="61">
        <v>0</v>
      </c>
      <c r="G135" s="61">
        <f t="shared" si="13"/>
        <v>0</v>
      </c>
      <c r="H135" s="85">
        <f t="shared" si="14"/>
        <v>0</v>
      </c>
      <c r="I135" s="86" t="e">
        <f t="shared" si="15"/>
        <v>#DIV/0!</v>
      </c>
      <c r="J135" s="87"/>
      <c r="K135" s="27"/>
      <c r="L135" s="27"/>
      <c r="M135" s="27"/>
      <c r="N135" s="27"/>
    </row>
    <row r="136" spans="2:14" x14ac:dyDescent="0.25">
      <c r="B136" s="46"/>
      <c r="C136" s="47" t="s">
        <v>71</v>
      </c>
      <c r="D136" s="85">
        <v>0</v>
      </c>
      <c r="E136" s="48">
        <v>0</v>
      </c>
      <c r="F136" s="61">
        <f>45000</f>
        <v>45000</v>
      </c>
      <c r="G136" s="61">
        <f t="shared" si="13"/>
        <v>45000</v>
      </c>
      <c r="H136" s="85">
        <f t="shared" si="14"/>
        <v>45000</v>
      </c>
      <c r="I136" s="86" t="e">
        <f t="shared" si="15"/>
        <v>#DIV/0!</v>
      </c>
      <c r="J136" s="87"/>
      <c r="K136" s="27"/>
      <c r="L136" s="27"/>
      <c r="M136" s="27"/>
      <c r="N136" s="27"/>
    </row>
    <row r="137" spans="2:14" x14ac:dyDescent="0.25">
      <c r="B137" s="46"/>
      <c r="C137" s="47" t="s">
        <v>72</v>
      </c>
      <c r="D137" s="85">
        <v>0</v>
      </c>
      <c r="E137" s="48">
        <v>150000</v>
      </c>
      <c r="F137" s="61">
        <v>0</v>
      </c>
      <c r="G137" s="61">
        <f t="shared" si="13"/>
        <v>150000</v>
      </c>
      <c r="H137" s="85">
        <f t="shared" si="14"/>
        <v>150000</v>
      </c>
      <c r="I137" s="86" t="e">
        <f t="shared" si="15"/>
        <v>#DIV/0!</v>
      </c>
      <c r="J137" s="87"/>
      <c r="K137" s="27"/>
      <c r="L137" s="27"/>
      <c r="M137" s="27"/>
      <c r="N137" s="27"/>
    </row>
    <row r="138" spans="2:14" x14ac:dyDescent="0.25">
      <c r="B138" s="46"/>
      <c r="C138" s="47" t="s">
        <v>70</v>
      </c>
      <c r="D138" s="85">
        <v>0</v>
      </c>
      <c r="E138" s="48">
        <v>0</v>
      </c>
      <c r="F138" s="61">
        <v>0</v>
      </c>
      <c r="G138" s="61">
        <f>E138+F138</f>
        <v>0</v>
      </c>
      <c r="H138" s="85">
        <f t="shared" si="14"/>
        <v>0</v>
      </c>
      <c r="I138" s="86" t="e">
        <f t="shared" si="15"/>
        <v>#DIV/0!</v>
      </c>
      <c r="J138" s="87"/>
      <c r="K138" s="27"/>
      <c r="L138" s="27"/>
      <c r="M138" s="27"/>
      <c r="N138" s="27"/>
    </row>
    <row r="139" spans="2:14" x14ac:dyDescent="0.25">
      <c r="B139" s="46"/>
      <c r="C139" s="47" t="s">
        <v>73</v>
      </c>
      <c r="D139" s="85">
        <v>0</v>
      </c>
      <c r="E139" s="48">
        <v>0</v>
      </c>
      <c r="F139" s="61">
        <v>0</v>
      </c>
      <c r="G139" s="61">
        <f t="shared" si="13"/>
        <v>0</v>
      </c>
      <c r="H139" s="85">
        <f t="shared" si="14"/>
        <v>0</v>
      </c>
      <c r="I139" s="86" t="e">
        <f t="shared" si="15"/>
        <v>#DIV/0!</v>
      </c>
      <c r="J139" s="87"/>
      <c r="K139" s="27"/>
      <c r="L139" s="27"/>
      <c r="M139" s="27"/>
      <c r="N139" s="27"/>
    </row>
    <row r="140" spans="2:14" x14ac:dyDescent="0.25">
      <c r="B140" s="46"/>
      <c r="C140" s="47" t="s">
        <v>74</v>
      </c>
      <c r="D140" s="85">
        <v>0</v>
      </c>
      <c r="E140" s="48">
        <v>0</v>
      </c>
      <c r="F140" s="61"/>
      <c r="G140" s="61">
        <f t="shared" si="13"/>
        <v>0</v>
      </c>
      <c r="H140" s="85">
        <f t="shared" si="14"/>
        <v>0</v>
      </c>
      <c r="I140" s="86" t="e">
        <f t="shared" si="15"/>
        <v>#DIV/0!</v>
      </c>
      <c r="J140" s="87"/>
      <c r="K140" s="27"/>
      <c r="L140" s="27"/>
      <c r="M140" s="27"/>
      <c r="N140" s="27"/>
    </row>
    <row r="141" spans="2:14" x14ac:dyDescent="0.25">
      <c r="B141" s="46"/>
      <c r="C141" s="47" t="s">
        <v>75</v>
      </c>
      <c r="D141" s="85">
        <v>0</v>
      </c>
      <c r="E141" s="48">
        <v>0</v>
      </c>
      <c r="F141" s="61">
        <v>0</v>
      </c>
      <c r="G141" s="61">
        <f t="shared" si="13"/>
        <v>0</v>
      </c>
      <c r="H141" s="85">
        <f t="shared" si="14"/>
        <v>0</v>
      </c>
      <c r="I141" s="86" t="e">
        <f t="shared" si="15"/>
        <v>#DIV/0!</v>
      </c>
      <c r="J141" s="87"/>
      <c r="K141" s="27"/>
      <c r="L141" s="27"/>
      <c r="M141" s="27"/>
      <c r="N141" s="27"/>
    </row>
    <row r="142" spans="2:14" x14ac:dyDescent="0.25">
      <c r="B142" s="46"/>
      <c r="C142" s="47" t="s">
        <v>76</v>
      </c>
      <c r="D142" s="85">
        <v>0</v>
      </c>
      <c r="E142" s="48">
        <v>0</v>
      </c>
      <c r="F142" s="61">
        <v>0</v>
      </c>
      <c r="G142" s="61">
        <f t="shared" si="13"/>
        <v>0</v>
      </c>
      <c r="H142" s="85">
        <f t="shared" si="14"/>
        <v>0</v>
      </c>
      <c r="I142" s="86" t="e">
        <f t="shared" si="15"/>
        <v>#DIV/0!</v>
      </c>
      <c r="J142" s="87"/>
      <c r="K142" s="27"/>
      <c r="L142" s="27"/>
      <c r="M142" s="27"/>
      <c r="N142" s="27"/>
    </row>
    <row r="143" spans="2:14" x14ac:dyDescent="0.25">
      <c r="B143" s="46"/>
      <c r="C143" s="47" t="s">
        <v>77</v>
      </c>
      <c r="D143" s="85">
        <v>0</v>
      </c>
      <c r="E143" s="48">
        <v>0</v>
      </c>
      <c r="F143" s="61">
        <v>0</v>
      </c>
      <c r="G143" s="61">
        <f t="shared" si="13"/>
        <v>0</v>
      </c>
      <c r="H143" s="85">
        <f t="shared" si="14"/>
        <v>0</v>
      </c>
      <c r="I143" s="86" t="e">
        <f t="shared" si="15"/>
        <v>#DIV/0!</v>
      </c>
      <c r="J143" s="87"/>
      <c r="K143" s="27"/>
      <c r="L143" s="27"/>
      <c r="M143" s="27"/>
      <c r="N143" s="27"/>
    </row>
    <row r="144" spans="2:14" x14ac:dyDescent="0.25">
      <c r="B144" s="46"/>
      <c r="C144" s="47" t="s">
        <v>78</v>
      </c>
      <c r="D144" s="85">
        <v>0</v>
      </c>
      <c r="E144" s="48">
        <v>0</v>
      </c>
      <c r="F144" s="61">
        <v>0</v>
      </c>
      <c r="G144" s="61">
        <f t="shared" si="13"/>
        <v>0</v>
      </c>
      <c r="H144" s="85">
        <f t="shared" si="14"/>
        <v>0</v>
      </c>
      <c r="I144" s="86" t="e">
        <f t="shared" si="15"/>
        <v>#DIV/0!</v>
      </c>
      <c r="J144" s="87"/>
      <c r="K144" s="27"/>
      <c r="L144" s="27"/>
      <c r="M144" s="27"/>
      <c r="N144" s="27"/>
    </row>
    <row r="145" spans="2:14" x14ac:dyDescent="0.25">
      <c r="B145" s="46"/>
      <c r="C145" s="47"/>
      <c r="D145" s="85"/>
      <c r="E145" s="61"/>
      <c r="F145" s="61"/>
      <c r="G145" s="61"/>
      <c r="H145" s="85"/>
      <c r="I145" s="85"/>
      <c r="J145" s="87"/>
      <c r="K145" s="27"/>
      <c r="L145" s="27"/>
      <c r="M145" s="27"/>
      <c r="N145" s="27"/>
    </row>
    <row r="146" spans="2:14" x14ac:dyDescent="0.25">
      <c r="B146" s="46"/>
      <c r="C146" s="60" t="s">
        <v>17</v>
      </c>
      <c r="D146" s="136">
        <f>D127</f>
        <v>4500000</v>
      </c>
      <c r="E146" s="89">
        <f>SUM(E128:E144)</f>
        <v>711000</v>
      </c>
      <c r="F146" s="89">
        <f>SUM(F128:F144)</f>
        <v>60000</v>
      </c>
      <c r="G146" s="89">
        <f>SUM(G128:G144)</f>
        <v>771000</v>
      </c>
      <c r="H146" s="90">
        <f>SUM(H128:H144)</f>
        <v>771000</v>
      </c>
      <c r="I146" s="91">
        <f>G146/D146%</f>
        <v>17.133333333333333</v>
      </c>
      <c r="J146" s="87"/>
      <c r="K146" s="27"/>
      <c r="L146" s="27"/>
      <c r="M146" s="27"/>
      <c r="N146" s="27"/>
    </row>
    <row r="147" spans="2:14" x14ac:dyDescent="0.25">
      <c r="B147" s="46"/>
      <c r="C147" s="47"/>
      <c r="D147" s="47"/>
      <c r="E147" s="61"/>
      <c r="F147" s="62"/>
      <c r="G147" s="61"/>
      <c r="H147" s="85"/>
      <c r="I147" s="85"/>
      <c r="J147" s="87"/>
      <c r="K147" s="27"/>
      <c r="L147" s="27"/>
      <c r="M147" s="27"/>
      <c r="N147" s="27"/>
    </row>
    <row r="148" spans="2:14" x14ac:dyDescent="0.25">
      <c r="B148" s="46" t="s">
        <v>18</v>
      </c>
      <c r="C148" s="60" t="s">
        <v>19</v>
      </c>
      <c r="D148" s="134">
        <v>0</v>
      </c>
      <c r="E148" s="61"/>
      <c r="F148" s="62"/>
      <c r="G148" s="61"/>
      <c r="H148" s="85"/>
      <c r="I148" s="85"/>
      <c r="J148" s="87"/>
      <c r="K148" s="27"/>
      <c r="L148" s="27"/>
      <c r="M148" s="27"/>
      <c r="N148" s="27"/>
    </row>
    <row r="149" spans="2:14" x14ac:dyDescent="0.25">
      <c r="B149" s="46"/>
      <c r="C149" s="47" t="s">
        <v>42</v>
      </c>
      <c r="D149" s="85">
        <v>0</v>
      </c>
      <c r="E149" s="48">
        <v>0</v>
      </c>
      <c r="F149" s="61">
        <v>0</v>
      </c>
      <c r="G149" s="61">
        <f>E149+F149</f>
        <v>0</v>
      </c>
      <c r="H149" s="85">
        <f t="shared" ref="H149:H162" si="16">G149-D149</f>
        <v>0</v>
      </c>
      <c r="I149" s="86" t="e">
        <f t="shared" ref="I149:I162" si="17">G149/D149%</f>
        <v>#DIV/0!</v>
      </c>
      <c r="J149" s="87"/>
      <c r="K149" s="27"/>
      <c r="L149" s="27"/>
      <c r="M149" s="27"/>
      <c r="N149" s="27"/>
    </row>
    <row r="150" spans="2:14" x14ac:dyDescent="0.25">
      <c r="B150" s="46"/>
      <c r="C150" s="47" t="s">
        <v>43</v>
      </c>
      <c r="D150" s="85">
        <v>0</v>
      </c>
      <c r="E150" s="48">
        <v>0</v>
      </c>
      <c r="F150" s="61">
        <v>0</v>
      </c>
      <c r="G150" s="61">
        <f t="shared" ref="G150:G162" si="18">E150+F150</f>
        <v>0</v>
      </c>
      <c r="H150" s="85">
        <f t="shared" si="16"/>
        <v>0</v>
      </c>
      <c r="I150" s="86" t="e">
        <f t="shared" si="17"/>
        <v>#DIV/0!</v>
      </c>
      <c r="J150" s="87"/>
      <c r="K150" s="27"/>
      <c r="L150" s="27"/>
      <c r="M150" s="27"/>
      <c r="N150" s="27"/>
    </row>
    <row r="151" spans="2:14" x14ac:dyDescent="0.25">
      <c r="B151" s="46"/>
      <c r="C151" s="47" t="s">
        <v>44</v>
      </c>
      <c r="D151" s="85">
        <v>0</v>
      </c>
      <c r="E151" s="48">
        <v>4000</v>
      </c>
      <c r="F151" s="61">
        <v>0</v>
      </c>
      <c r="G151" s="61">
        <f t="shared" si="18"/>
        <v>4000</v>
      </c>
      <c r="H151" s="85">
        <f t="shared" si="16"/>
        <v>4000</v>
      </c>
      <c r="I151" s="86" t="e">
        <f t="shared" si="17"/>
        <v>#DIV/0!</v>
      </c>
      <c r="J151" s="87"/>
      <c r="K151" s="27"/>
      <c r="L151" s="27"/>
      <c r="M151" s="27"/>
      <c r="N151" s="27"/>
    </row>
    <row r="152" spans="2:14" x14ac:dyDescent="0.25">
      <c r="B152" s="46"/>
      <c r="C152" s="47" t="s">
        <v>45</v>
      </c>
      <c r="D152" s="85">
        <v>0</v>
      </c>
      <c r="E152" s="48">
        <v>0</v>
      </c>
      <c r="F152" s="61">
        <v>0</v>
      </c>
      <c r="G152" s="61">
        <f t="shared" si="18"/>
        <v>0</v>
      </c>
      <c r="H152" s="85">
        <f t="shared" si="16"/>
        <v>0</v>
      </c>
      <c r="I152" s="86" t="e">
        <f t="shared" si="17"/>
        <v>#DIV/0!</v>
      </c>
      <c r="J152" s="87"/>
      <c r="K152" s="27"/>
      <c r="L152" s="27"/>
      <c r="M152" s="27"/>
      <c r="N152" s="27"/>
    </row>
    <row r="153" spans="2:14" x14ac:dyDescent="0.25">
      <c r="B153" s="46"/>
      <c r="C153" s="47" t="s">
        <v>46</v>
      </c>
      <c r="D153" s="85">
        <v>0</v>
      </c>
      <c r="E153" s="48">
        <v>0</v>
      </c>
      <c r="F153" s="92">
        <v>0</v>
      </c>
      <c r="G153" s="61">
        <f t="shared" si="18"/>
        <v>0</v>
      </c>
      <c r="H153" s="85">
        <f t="shared" si="16"/>
        <v>0</v>
      </c>
      <c r="I153" s="86" t="e">
        <f t="shared" si="17"/>
        <v>#DIV/0!</v>
      </c>
      <c r="J153" s="87"/>
      <c r="K153" s="27"/>
      <c r="L153" s="27"/>
      <c r="M153" s="27"/>
      <c r="N153" s="27"/>
    </row>
    <row r="154" spans="2:14" x14ac:dyDescent="0.25">
      <c r="B154" s="46"/>
      <c r="C154" s="47" t="s">
        <v>88</v>
      </c>
      <c r="D154" s="85">
        <v>0</v>
      </c>
      <c r="E154" s="48">
        <v>0</v>
      </c>
      <c r="F154" s="61">
        <v>0</v>
      </c>
      <c r="G154" s="61">
        <f t="shared" si="18"/>
        <v>0</v>
      </c>
      <c r="H154" s="85">
        <f t="shared" si="16"/>
        <v>0</v>
      </c>
      <c r="I154" s="86" t="e">
        <f t="shared" si="17"/>
        <v>#DIV/0!</v>
      </c>
      <c r="J154" s="87"/>
      <c r="K154" s="27"/>
      <c r="L154" s="27"/>
      <c r="M154" s="27"/>
      <c r="N154" s="27"/>
    </row>
    <row r="155" spans="2:14" x14ac:dyDescent="0.25">
      <c r="B155" s="46"/>
      <c r="C155" s="47" t="s">
        <v>80</v>
      </c>
      <c r="D155" s="85">
        <v>0</v>
      </c>
      <c r="E155" s="48">
        <v>0</v>
      </c>
      <c r="F155" s="61">
        <v>0</v>
      </c>
      <c r="G155" s="61">
        <f t="shared" si="18"/>
        <v>0</v>
      </c>
      <c r="H155" s="85">
        <f t="shared" si="16"/>
        <v>0</v>
      </c>
      <c r="I155" s="86" t="e">
        <f t="shared" si="17"/>
        <v>#DIV/0!</v>
      </c>
      <c r="J155" s="87"/>
      <c r="K155" s="27"/>
      <c r="L155" s="27"/>
      <c r="M155" s="27"/>
      <c r="N155" s="27"/>
    </row>
    <row r="156" spans="2:14" x14ac:dyDescent="0.25">
      <c r="B156" s="46"/>
      <c r="C156" s="47" t="s">
        <v>86</v>
      </c>
      <c r="D156" s="85">
        <v>0</v>
      </c>
      <c r="E156" s="48">
        <v>0</v>
      </c>
      <c r="F156" s="61">
        <v>0</v>
      </c>
      <c r="G156" s="61">
        <f t="shared" si="18"/>
        <v>0</v>
      </c>
      <c r="H156" s="85">
        <f t="shared" si="16"/>
        <v>0</v>
      </c>
      <c r="I156" s="86" t="e">
        <f t="shared" si="17"/>
        <v>#DIV/0!</v>
      </c>
      <c r="J156" s="87"/>
      <c r="K156" s="27"/>
      <c r="L156" s="27"/>
      <c r="M156" s="27"/>
      <c r="N156" s="27"/>
    </row>
    <row r="157" spans="2:14" x14ac:dyDescent="0.25">
      <c r="B157" s="46"/>
      <c r="C157" s="47" t="s">
        <v>87</v>
      </c>
      <c r="D157" s="85">
        <v>0</v>
      </c>
      <c r="E157" s="48">
        <v>860000</v>
      </c>
      <c r="F157" s="61">
        <v>100000</v>
      </c>
      <c r="G157" s="61">
        <f t="shared" si="18"/>
        <v>960000</v>
      </c>
      <c r="H157" s="85">
        <f t="shared" si="16"/>
        <v>960000</v>
      </c>
      <c r="I157" s="86" t="e">
        <f t="shared" si="17"/>
        <v>#DIV/0!</v>
      </c>
      <c r="J157" s="87"/>
      <c r="K157" s="27"/>
      <c r="L157" s="27"/>
      <c r="M157" s="27"/>
      <c r="N157" s="27"/>
    </row>
    <row r="158" spans="2:14" x14ac:dyDescent="0.25">
      <c r="B158" s="46"/>
      <c r="C158" s="47" t="s">
        <v>81</v>
      </c>
      <c r="D158" s="85">
        <v>0</v>
      </c>
      <c r="E158" s="48">
        <v>0</v>
      </c>
      <c r="F158" s="61">
        <v>0</v>
      </c>
      <c r="G158" s="61">
        <f t="shared" si="18"/>
        <v>0</v>
      </c>
      <c r="H158" s="85">
        <f t="shared" si="16"/>
        <v>0</v>
      </c>
      <c r="I158" s="86" t="e">
        <f t="shared" si="17"/>
        <v>#DIV/0!</v>
      </c>
      <c r="J158" s="87"/>
      <c r="K158" s="27"/>
      <c r="L158" s="27"/>
      <c r="M158" s="27"/>
      <c r="N158" s="27"/>
    </row>
    <row r="159" spans="2:14" x14ac:dyDescent="0.25">
      <c r="B159" s="46"/>
      <c r="C159" s="47" t="s">
        <v>82</v>
      </c>
      <c r="D159" s="85">
        <v>0</v>
      </c>
      <c r="E159" s="48">
        <v>0</v>
      </c>
      <c r="F159" s="61">
        <v>0</v>
      </c>
      <c r="G159" s="61">
        <f t="shared" si="18"/>
        <v>0</v>
      </c>
      <c r="H159" s="85">
        <f t="shared" si="16"/>
        <v>0</v>
      </c>
      <c r="I159" s="86" t="e">
        <f t="shared" si="17"/>
        <v>#DIV/0!</v>
      </c>
      <c r="J159" s="87"/>
      <c r="K159" s="27"/>
      <c r="L159" s="27"/>
      <c r="M159" s="27"/>
      <c r="N159" s="27"/>
    </row>
    <row r="160" spans="2:14" x14ac:dyDescent="0.25">
      <c r="B160" s="46"/>
      <c r="C160" s="47" t="s">
        <v>83</v>
      </c>
      <c r="D160" s="85">
        <v>0</v>
      </c>
      <c r="E160" s="48">
        <v>0</v>
      </c>
      <c r="F160" s="61">
        <v>0</v>
      </c>
      <c r="G160" s="61">
        <f t="shared" si="18"/>
        <v>0</v>
      </c>
      <c r="H160" s="85">
        <f t="shared" si="16"/>
        <v>0</v>
      </c>
      <c r="I160" s="86" t="e">
        <f t="shared" si="17"/>
        <v>#DIV/0!</v>
      </c>
      <c r="J160" s="87"/>
      <c r="K160" s="27"/>
      <c r="L160" s="27"/>
      <c r="M160" s="27"/>
      <c r="N160" s="27"/>
    </row>
    <row r="161" spans="2:14" x14ac:dyDescent="0.25">
      <c r="B161" s="46"/>
      <c r="C161" s="47" t="s">
        <v>84</v>
      </c>
      <c r="D161" s="85">
        <v>0</v>
      </c>
      <c r="E161" s="48">
        <v>0</v>
      </c>
      <c r="F161" s="61">
        <v>0</v>
      </c>
      <c r="G161" s="61">
        <f t="shared" si="18"/>
        <v>0</v>
      </c>
      <c r="H161" s="85">
        <f t="shared" si="16"/>
        <v>0</v>
      </c>
      <c r="I161" s="86" t="e">
        <f t="shared" si="17"/>
        <v>#DIV/0!</v>
      </c>
      <c r="J161" s="87"/>
      <c r="K161" s="27"/>
      <c r="L161" s="27"/>
      <c r="M161" s="27"/>
      <c r="N161" s="27"/>
    </row>
    <row r="162" spans="2:14" x14ac:dyDescent="0.25">
      <c r="B162" s="46"/>
      <c r="C162" s="47" t="s">
        <v>85</v>
      </c>
      <c r="D162" s="85">
        <v>0</v>
      </c>
      <c r="E162" s="48">
        <v>0</v>
      </c>
      <c r="F162" s="61">
        <v>0</v>
      </c>
      <c r="G162" s="61">
        <f t="shared" si="18"/>
        <v>0</v>
      </c>
      <c r="H162" s="85">
        <f t="shared" si="16"/>
        <v>0</v>
      </c>
      <c r="I162" s="86" t="e">
        <f t="shared" si="17"/>
        <v>#DIV/0!</v>
      </c>
      <c r="J162" s="87"/>
      <c r="K162" s="27"/>
      <c r="L162" s="27"/>
      <c r="M162" s="27"/>
      <c r="N162" s="27"/>
    </row>
    <row r="163" spans="2:14" x14ac:dyDescent="0.25">
      <c r="B163" s="46"/>
      <c r="C163" s="47"/>
      <c r="D163" s="85"/>
      <c r="E163" s="61"/>
      <c r="F163" s="61"/>
      <c r="G163" s="61"/>
      <c r="H163" s="85"/>
      <c r="I163" s="85"/>
      <c r="J163" s="87"/>
      <c r="K163" s="27"/>
      <c r="L163" s="27"/>
      <c r="M163" s="27"/>
      <c r="N163" s="27"/>
    </row>
    <row r="164" spans="2:14" x14ac:dyDescent="0.25">
      <c r="B164" s="46"/>
      <c r="C164" s="60" t="s">
        <v>20</v>
      </c>
      <c r="D164" s="136">
        <f>D148</f>
        <v>0</v>
      </c>
      <c r="E164" s="89">
        <f>SUM(E149:E162)</f>
        <v>864000</v>
      </c>
      <c r="F164" s="89">
        <f>SUM(F149:F162)</f>
        <v>100000</v>
      </c>
      <c r="G164" s="89">
        <f>SUM(G149:G162)</f>
        <v>964000</v>
      </c>
      <c r="H164" s="90">
        <f>SUM(H149:H158)</f>
        <v>964000</v>
      </c>
      <c r="I164" s="91" t="e">
        <f>G164/D164%</f>
        <v>#DIV/0!</v>
      </c>
      <c r="J164" s="87"/>
      <c r="K164" s="27"/>
      <c r="L164" s="27"/>
      <c r="M164" s="27"/>
      <c r="N164" s="27"/>
    </row>
    <row r="165" spans="2:14" x14ac:dyDescent="0.25">
      <c r="B165" s="46"/>
      <c r="C165" s="47"/>
      <c r="D165" s="47"/>
      <c r="E165" s="61"/>
      <c r="F165" s="62"/>
      <c r="G165" s="61"/>
      <c r="H165" s="85"/>
      <c r="I165" s="85"/>
      <c r="J165" s="87"/>
      <c r="K165" s="27"/>
      <c r="L165" s="27"/>
      <c r="M165" s="27"/>
      <c r="N165" s="27"/>
    </row>
    <row r="166" spans="2:14" ht="15.75" thickBot="1" x14ac:dyDescent="0.3">
      <c r="B166" s="114"/>
      <c r="C166" s="115" t="s">
        <v>21</v>
      </c>
      <c r="D166" s="137">
        <f>D125+D146+D164</f>
        <v>18000000</v>
      </c>
      <c r="E166" s="138">
        <f>E125+E146+E164</f>
        <v>13086500</v>
      </c>
      <c r="F166" s="139">
        <f>F125+F146+F164</f>
        <v>480000</v>
      </c>
      <c r="G166" s="138">
        <f>G125+G146+G164</f>
        <v>13566500</v>
      </c>
      <c r="H166" s="140">
        <f>H125+H146+H164</f>
        <v>13416500</v>
      </c>
      <c r="I166" s="141">
        <f>G166/D166%</f>
        <v>75.36944444444444</v>
      </c>
      <c r="J166" s="142"/>
      <c r="K166" s="27"/>
      <c r="L166" s="27"/>
      <c r="M166" s="27"/>
      <c r="N166" s="27"/>
    </row>
    <row r="167" spans="2:14" x14ac:dyDescent="0.25">
      <c r="B167" s="75"/>
      <c r="C167" s="75"/>
      <c r="D167" s="75"/>
      <c r="E167" s="75"/>
      <c r="F167" s="75"/>
      <c r="G167" s="76"/>
      <c r="H167" s="75"/>
      <c r="I167" s="75"/>
      <c r="J167" s="75"/>
      <c r="K167" s="27"/>
      <c r="L167" s="27"/>
      <c r="M167" s="27"/>
      <c r="N167" s="27"/>
    </row>
    <row r="168" spans="2:14" x14ac:dyDescent="0.25">
      <c r="B168" s="75"/>
      <c r="C168" s="75"/>
      <c r="D168" s="75"/>
      <c r="E168" s="75"/>
      <c r="F168" s="75"/>
      <c r="G168" s="76"/>
      <c r="H168" s="75"/>
      <c r="I168" s="75"/>
      <c r="J168" s="75"/>
      <c r="K168" s="27"/>
      <c r="L168" s="27"/>
      <c r="M168" s="27"/>
      <c r="N168" s="27"/>
    </row>
    <row r="169" spans="2:14" x14ac:dyDescent="0.25">
      <c r="B169" s="75"/>
      <c r="C169" s="75"/>
      <c r="D169" s="75"/>
      <c r="E169" s="122" t="s">
        <v>25</v>
      </c>
      <c r="F169" s="123" t="s">
        <v>26</v>
      </c>
      <c r="G169" s="124" t="e">
        <f>#REF!</f>
        <v>#REF!</v>
      </c>
      <c r="H169" s="75"/>
      <c r="I169" s="75"/>
      <c r="J169" s="75"/>
      <c r="K169" s="27"/>
      <c r="L169" s="27"/>
      <c r="M169" s="27"/>
      <c r="N169" s="27"/>
    </row>
    <row r="170" spans="2:14" ht="19.5" x14ac:dyDescent="0.55000000000000004">
      <c r="B170" s="75"/>
      <c r="C170" s="75"/>
      <c r="D170" s="75"/>
      <c r="E170" s="122" t="s">
        <v>29</v>
      </c>
      <c r="F170" s="123" t="s">
        <v>26</v>
      </c>
      <c r="G170" s="126">
        <f>35000+4000</f>
        <v>39000</v>
      </c>
      <c r="H170" s="75" t="s">
        <v>28</v>
      </c>
      <c r="I170" s="75"/>
      <c r="J170" s="75"/>
      <c r="K170" s="27"/>
      <c r="L170" s="27"/>
      <c r="M170" s="27"/>
      <c r="N170" s="27"/>
    </row>
    <row r="171" spans="2:14" ht="15.75" thickBot="1" x14ac:dyDescent="0.3">
      <c r="B171" s="75"/>
      <c r="C171" s="75"/>
      <c r="D171" s="75"/>
      <c r="E171" s="122" t="s">
        <v>30</v>
      </c>
      <c r="F171" s="123"/>
      <c r="G171" s="127" t="e">
        <f>SUM(G169:G170)</f>
        <v>#REF!</v>
      </c>
      <c r="H171" s="160" t="s">
        <v>126</v>
      </c>
      <c r="I171" s="27"/>
      <c r="J171" s="75"/>
      <c r="K171" s="27"/>
      <c r="L171" s="27"/>
      <c r="M171" s="27"/>
      <c r="N171" s="27"/>
    </row>
    <row r="172" spans="2:14" ht="15.75" thickTop="1" x14ac:dyDescent="0.25">
      <c r="B172" s="27"/>
      <c r="C172" s="27"/>
      <c r="D172" s="27"/>
      <c r="E172" s="27"/>
      <c r="F172" s="27"/>
      <c r="G172" s="27"/>
      <c r="H172" s="403" t="str">
        <f>H90</f>
        <v>Jalang'E, 01 Maret 2019</v>
      </c>
      <c r="I172" s="403"/>
      <c r="J172" s="27"/>
      <c r="K172" s="27"/>
      <c r="L172" s="27"/>
      <c r="M172" s="27"/>
      <c r="N172" s="27"/>
    </row>
    <row r="173" spans="2:14" x14ac:dyDescent="0.25"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</row>
    <row r="174" spans="2:14" x14ac:dyDescent="0.25">
      <c r="B174" s="27"/>
      <c r="C174" s="27"/>
      <c r="D174" s="27"/>
      <c r="E174" s="27"/>
      <c r="F174" s="27"/>
      <c r="G174" s="181" t="e">
        <f>G166-G169</f>
        <v>#REF!</v>
      </c>
      <c r="H174" s="27"/>
      <c r="I174" s="27"/>
      <c r="J174" s="27"/>
      <c r="K174" s="27"/>
      <c r="L174" s="27"/>
      <c r="M174" s="27"/>
      <c r="N174" s="27"/>
    </row>
    <row r="175" spans="2:14" x14ac:dyDescent="0.25"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</row>
    <row r="176" spans="2:14" x14ac:dyDescent="0.25"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</row>
  </sheetData>
  <mergeCells count="19">
    <mergeCell ref="B2:I2"/>
    <mergeCell ref="B3:I3"/>
    <mergeCell ref="B4:I4"/>
    <mergeCell ref="B5:B6"/>
    <mergeCell ref="C5:C6"/>
    <mergeCell ref="D5:D6"/>
    <mergeCell ref="E5:G5"/>
    <mergeCell ref="H5:I5"/>
    <mergeCell ref="H172:I172"/>
    <mergeCell ref="J5:J6"/>
    <mergeCell ref="H90:I90"/>
    <mergeCell ref="B98:I98"/>
    <mergeCell ref="B99:I99"/>
    <mergeCell ref="B100:B101"/>
    <mergeCell ref="C100:C101"/>
    <mergeCell ref="D100:D101"/>
    <mergeCell ref="E100:G100"/>
    <mergeCell ref="H100:I100"/>
    <mergeCell ref="J100:J101"/>
  </mergeCells>
  <pageMargins left="0.89" right="0.12" top="0.25" bottom="0.13" header="0.3" footer="0.2"/>
  <pageSetup paperSize="9" scale="63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2:L175"/>
  <sheetViews>
    <sheetView topLeftCell="A2" zoomScale="90" zoomScaleNormal="90" workbookViewId="0">
      <pane ySplit="5" topLeftCell="A76" activePane="bottomLeft" state="frozen"/>
      <selection activeCell="A2" sqref="A2"/>
      <selection pane="bottomLeft" activeCell="B2" sqref="B2:I91"/>
    </sheetView>
  </sheetViews>
  <sheetFormatPr defaultRowHeight="15" x14ac:dyDescent="0.25"/>
  <cols>
    <col min="2" max="2" width="4.42578125" customWidth="1"/>
    <col min="3" max="3" width="27.28515625" customWidth="1"/>
    <col min="4" max="4" width="18.140625" customWidth="1"/>
    <col min="5" max="5" width="19.140625" customWidth="1"/>
    <col min="6" max="6" width="17.85546875" customWidth="1"/>
    <col min="7" max="8" width="18.140625" customWidth="1"/>
    <col min="9" max="9" width="17" customWidth="1"/>
    <col min="10" max="10" width="18.5703125" customWidth="1"/>
  </cols>
  <sheetData>
    <row r="2" spans="2:12" x14ac:dyDescent="0.25">
      <c r="B2" s="392" t="s">
        <v>312</v>
      </c>
      <c r="C2" s="392"/>
      <c r="D2" s="392"/>
      <c r="E2" s="392"/>
      <c r="F2" s="392"/>
      <c r="G2" s="392"/>
      <c r="H2" s="392"/>
      <c r="I2" s="392"/>
      <c r="J2" s="75"/>
      <c r="K2" s="27"/>
      <c r="L2" s="27"/>
    </row>
    <row r="3" spans="2:12" x14ac:dyDescent="0.25">
      <c r="B3" s="392" t="s">
        <v>327</v>
      </c>
      <c r="C3" s="392"/>
      <c r="D3" s="392"/>
      <c r="E3" s="392"/>
      <c r="F3" s="392"/>
      <c r="G3" s="392"/>
      <c r="H3" s="392"/>
      <c r="I3" s="392"/>
      <c r="J3" s="75"/>
      <c r="K3" s="27"/>
      <c r="L3" s="27"/>
    </row>
    <row r="4" spans="2:12" ht="15.75" thickBot="1" x14ac:dyDescent="0.3">
      <c r="B4" s="393" t="s">
        <v>1</v>
      </c>
      <c r="C4" s="393"/>
      <c r="D4" s="393"/>
      <c r="E4" s="393"/>
      <c r="F4" s="393"/>
      <c r="G4" s="393"/>
      <c r="H4" s="393"/>
      <c r="I4" s="393"/>
      <c r="J4" s="78"/>
      <c r="K4" s="27"/>
      <c r="L4" s="27"/>
    </row>
    <row r="5" spans="2:12" x14ac:dyDescent="0.25">
      <c r="B5" s="394" t="s">
        <v>2</v>
      </c>
      <c r="C5" s="396" t="s">
        <v>3</v>
      </c>
      <c r="D5" s="398" t="s">
        <v>4</v>
      </c>
      <c r="E5" s="400" t="s">
        <v>5</v>
      </c>
      <c r="F5" s="401"/>
      <c r="G5" s="402"/>
      <c r="H5" s="401" t="s">
        <v>6</v>
      </c>
      <c r="I5" s="402"/>
      <c r="J5" s="404" t="s">
        <v>0</v>
      </c>
      <c r="K5" s="27"/>
      <c r="L5" s="27"/>
    </row>
    <row r="6" spans="2:12" ht="15.75" thickBot="1" x14ac:dyDescent="0.3">
      <c r="B6" s="395"/>
      <c r="C6" s="397"/>
      <c r="D6" s="399"/>
      <c r="E6" s="147" t="s">
        <v>328</v>
      </c>
      <c r="F6" s="148" t="s">
        <v>331</v>
      </c>
      <c r="G6" s="79" t="s">
        <v>7</v>
      </c>
      <c r="H6" s="80" t="s">
        <v>8</v>
      </c>
      <c r="I6" s="81" t="s">
        <v>9</v>
      </c>
      <c r="J6" s="405"/>
      <c r="K6" s="27"/>
      <c r="L6" s="27"/>
    </row>
    <row r="7" spans="2:12" x14ac:dyDescent="0.25">
      <c r="B7" s="40"/>
      <c r="C7" s="41" t="s">
        <v>10</v>
      </c>
      <c r="D7" s="82"/>
      <c r="E7" s="42"/>
      <c r="F7" s="42"/>
      <c r="G7" s="41"/>
      <c r="H7" s="42"/>
      <c r="I7" s="42"/>
      <c r="J7" s="83"/>
      <c r="K7" s="27" t="s">
        <v>263</v>
      </c>
      <c r="L7" s="27"/>
    </row>
    <row r="8" spans="2:12" x14ac:dyDescent="0.25">
      <c r="B8" s="43" t="s">
        <v>12</v>
      </c>
      <c r="C8" s="44" t="s">
        <v>13</v>
      </c>
      <c r="D8" s="45"/>
      <c r="E8" s="45"/>
      <c r="F8" s="45"/>
      <c r="G8" s="59"/>
      <c r="H8" s="45"/>
      <c r="I8" s="45"/>
      <c r="J8" s="84"/>
      <c r="K8" s="27"/>
      <c r="L8" s="27"/>
    </row>
    <row r="9" spans="2:12" x14ac:dyDescent="0.25">
      <c r="B9" s="46"/>
      <c r="C9" s="47" t="s">
        <v>36</v>
      </c>
      <c r="D9" s="85">
        <v>10369000</v>
      </c>
      <c r="E9" s="48">
        <v>5334000</v>
      </c>
      <c r="F9" s="61">
        <f>20000+130000+75000+400000+75000+250000</f>
        <v>950000</v>
      </c>
      <c r="G9" s="61">
        <f>E9+F9</f>
        <v>6284000</v>
      </c>
      <c r="H9" s="85">
        <f t="shared" ref="H9:H28" si="0">G9-D9</f>
        <v>-4085000</v>
      </c>
      <c r="I9" s="86">
        <f t="shared" ref="I9:I22" si="1">G9/D9%</f>
        <v>60.603722634776737</v>
      </c>
      <c r="J9" s="87"/>
      <c r="K9" s="27"/>
      <c r="L9" s="27"/>
    </row>
    <row r="10" spans="2:12" x14ac:dyDescent="0.25">
      <c r="B10" s="46"/>
      <c r="C10" s="47" t="s">
        <v>37</v>
      </c>
      <c r="D10" s="85">
        <v>8978000</v>
      </c>
      <c r="E10" s="48">
        <v>4417000</v>
      </c>
      <c r="F10" s="61">
        <f>70000+100000+340000+415000</f>
        <v>925000</v>
      </c>
      <c r="G10" s="61">
        <f t="shared" ref="G10:G19" si="2">E10+F10</f>
        <v>5342000</v>
      </c>
      <c r="H10" s="85">
        <f t="shared" si="0"/>
        <v>-3636000</v>
      </c>
      <c r="I10" s="86">
        <f t="shared" si="1"/>
        <v>59.501002450434392</v>
      </c>
      <c r="J10" s="87"/>
      <c r="K10" s="27"/>
      <c r="L10" s="27"/>
    </row>
    <row r="11" spans="2:12" x14ac:dyDescent="0.25">
      <c r="B11" s="46"/>
      <c r="C11" s="47" t="s">
        <v>52</v>
      </c>
      <c r="D11" s="85">
        <v>106000</v>
      </c>
      <c r="E11" s="48">
        <v>0</v>
      </c>
      <c r="F11" s="61">
        <v>0</v>
      </c>
      <c r="G11" s="61">
        <f t="shared" si="2"/>
        <v>0</v>
      </c>
      <c r="H11" s="85"/>
      <c r="I11" s="86"/>
      <c r="J11" s="87"/>
      <c r="K11" s="27"/>
      <c r="L11" s="27"/>
    </row>
    <row r="12" spans="2:12" x14ac:dyDescent="0.25">
      <c r="B12" s="46"/>
      <c r="C12" s="47" t="s">
        <v>53</v>
      </c>
      <c r="D12" s="85">
        <v>17908000</v>
      </c>
      <c r="E12" s="48">
        <v>14425200</v>
      </c>
      <c r="F12" s="61">
        <f>130000+50000</f>
        <v>180000</v>
      </c>
      <c r="G12" s="61">
        <f t="shared" si="2"/>
        <v>14605200</v>
      </c>
      <c r="H12" s="85">
        <f t="shared" si="0"/>
        <v>-3302800</v>
      </c>
      <c r="I12" s="86">
        <f t="shared" si="1"/>
        <v>81.556846102300653</v>
      </c>
      <c r="J12" s="87"/>
      <c r="K12" s="27"/>
      <c r="L12" s="27"/>
    </row>
    <row r="13" spans="2:12" x14ac:dyDescent="0.25">
      <c r="B13" s="46"/>
      <c r="C13" s="47" t="s">
        <v>54</v>
      </c>
      <c r="D13" s="85">
        <v>7066000</v>
      </c>
      <c r="E13" s="48">
        <v>7721652</v>
      </c>
      <c r="F13" s="61">
        <v>0</v>
      </c>
      <c r="G13" s="61">
        <f t="shared" si="2"/>
        <v>7721652</v>
      </c>
      <c r="H13" s="85">
        <f t="shared" si="0"/>
        <v>655652</v>
      </c>
      <c r="I13" s="86">
        <f t="shared" si="1"/>
        <v>109.27896971412397</v>
      </c>
      <c r="J13" s="88"/>
      <c r="K13" s="27"/>
      <c r="L13" s="27"/>
    </row>
    <row r="14" spans="2:12" x14ac:dyDescent="0.25">
      <c r="B14" s="46"/>
      <c r="C14" s="47" t="s">
        <v>55</v>
      </c>
      <c r="D14" s="85">
        <v>8259000</v>
      </c>
      <c r="E14" s="48">
        <v>5040000</v>
      </c>
      <c r="F14" s="61">
        <f>100000+50000+128222+220000+150000</f>
        <v>648222</v>
      </c>
      <c r="G14" s="61">
        <f>E14+F14</f>
        <v>5688222</v>
      </c>
      <c r="H14" s="85">
        <f t="shared" si="0"/>
        <v>-2570778</v>
      </c>
      <c r="I14" s="86">
        <f t="shared" si="1"/>
        <v>68.87301126044315</v>
      </c>
      <c r="J14" s="88"/>
      <c r="K14" s="27"/>
      <c r="L14" s="27"/>
    </row>
    <row r="15" spans="2:12" x14ac:dyDescent="0.25">
      <c r="B15" s="46"/>
      <c r="C15" s="47" t="s">
        <v>56</v>
      </c>
      <c r="D15" s="85">
        <v>10618000</v>
      </c>
      <c r="E15" s="48">
        <v>6502739</v>
      </c>
      <c r="F15" s="61">
        <f>50000+406600+48400+250000</f>
        <v>755000</v>
      </c>
      <c r="G15" s="61">
        <f t="shared" si="2"/>
        <v>7257739</v>
      </c>
      <c r="H15" s="85">
        <f t="shared" si="0"/>
        <v>-3360261</v>
      </c>
      <c r="I15" s="86">
        <f t="shared" si="1"/>
        <v>68.353164437747225</v>
      </c>
      <c r="J15" s="87"/>
      <c r="K15" s="27"/>
      <c r="L15" s="27"/>
    </row>
    <row r="16" spans="2:12" x14ac:dyDescent="0.25">
      <c r="B16" s="46"/>
      <c r="C16" s="47" t="s">
        <v>57</v>
      </c>
      <c r="D16" s="85">
        <v>40351000</v>
      </c>
      <c r="E16" s="48">
        <v>15353077</v>
      </c>
      <c r="F16" s="61">
        <f>200000+128888+70000+50000+90000+130000</f>
        <v>668888</v>
      </c>
      <c r="G16" s="168">
        <f>E16+F16</f>
        <v>16021965</v>
      </c>
      <c r="H16" s="85">
        <f t="shared" si="0"/>
        <v>-24329035</v>
      </c>
      <c r="I16" s="86">
        <f t="shared" si="1"/>
        <v>39.70648806721023</v>
      </c>
      <c r="J16" s="87"/>
      <c r="K16" s="27"/>
      <c r="L16" s="27"/>
    </row>
    <row r="17" spans="2:12" x14ac:dyDescent="0.25">
      <c r="B17" s="46"/>
      <c r="C17" s="47" t="s">
        <v>58</v>
      </c>
      <c r="D17" s="85">
        <v>1694000</v>
      </c>
      <c r="E17" s="48">
        <v>2141825</v>
      </c>
      <c r="F17" s="61">
        <f>50000</f>
        <v>50000</v>
      </c>
      <c r="G17" s="61">
        <f>E17+F17</f>
        <v>2191825</v>
      </c>
      <c r="H17" s="85">
        <f t="shared" si="0"/>
        <v>497825</v>
      </c>
      <c r="I17" s="86">
        <f t="shared" si="1"/>
        <v>129.38754427390791</v>
      </c>
      <c r="J17" s="87"/>
      <c r="K17" s="27"/>
      <c r="L17" s="27"/>
    </row>
    <row r="18" spans="2:12" x14ac:dyDescent="0.25">
      <c r="B18" s="46"/>
      <c r="C18" s="47" t="s">
        <v>59</v>
      </c>
      <c r="D18" s="85">
        <v>3601000</v>
      </c>
      <c r="E18" s="48">
        <v>1684222</v>
      </c>
      <c r="F18" s="61">
        <v>140000</v>
      </c>
      <c r="G18" s="61">
        <f t="shared" si="2"/>
        <v>1824222</v>
      </c>
      <c r="H18" s="85">
        <f t="shared" si="0"/>
        <v>-1776778</v>
      </c>
      <c r="I18" s="86">
        <f t="shared" si="1"/>
        <v>50.65876145515135</v>
      </c>
      <c r="J18" s="87"/>
      <c r="K18" s="27"/>
      <c r="L18" s="27"/>
    </row>
    <row r="19" spans="2:12" x14ac:dyDescent="0.25">
      <c r="B19" s="46"/>
      <c r="C19" s="47" t="s">
        <v>60</v>
      </c>
      <c r="D19" s="85">
        <v>26948000</v>
      </c>
      <c r="E19" s="48">
        <v>24777000</v>
      </c>
      <c r="F19" s="61">
        <f>900000+375000+900000+63000+330000+20000+350000+245000</f>
        <v>3183000</v>
      </c>
      <c r="G19" s="61">
        <f t="shared" si="2"/>
        <v>27960000</v>
      </c>
      <c r="H19" s="85">
        <f t="shared" si="0"/>
        <v>1012000</v>
      </c>
      <c r="I19" s="86">
        <f t="shared" si="1"/>
        <v>103.75538073326406</v>
      </c>
      <c r="J19" s="87"/>
      <c r="K19" s="27"/>
      <c r="L19" s="27"/>
    </row>
    <row r="20" spans="2:12" x14ac:dyDescent="0.25">
      <c r="B20" s="46"/>
      <c r="C20" s="47" t="s">
        <v>61</v>
      </c>
      <c r="D20" s="85">
        <v>62133000</v>
      </c>
      <c r="E20" s="48">
        <v>30368213</v>
      </c>
      <c r="F20" s="61">
        <f>205000+1725000+745000</f>
        <v>2675000</v>
      </c>
      <c r="G20" s="61">
        <f>E20+F20</f>
        <v>33043213</v>
      </c>
      <c r="H20" s="85">
        <f t="shared" si="0"/>
        <v>-29089787</v>
      </c>
      <c r="I20" s="86">
        <f t="shared" si="1"/>
        <v>53.18142211063364</v>
      </c>
      <c r="J20" s="87"/>
      <c r="K20" s="27"/>
      <c r="L20" s="27"/>
    </row>
    <row r="21" spans="2:12" x14ac:dyDescent="0.25">
      <c r="B21" s="46"/>
      <c r="C21" s="47" t="s">
        <v>324</v>
      </c>
      <c r="D21" s="85">
        <v>0</v>
      </c>
      <c r="E21" s="48">
        <v>5810000</v>
      </c>
      <c r="F21" s="61">
        <v>0</v>
      </c>
      <c r="G21" s="61">
        <f t="shared" ref="G21:G27" si="3">E21+F21</f>
        <v>5810000</v>
      </c>
      <c r="H21" s="85">
        <f>G21-D21</f>
        <v>5810000</v>
      </c>
      <c r="I21" s="86" t="e">
        <f>G21/D21%</f>
        <v>#DIV/0!</v>
      </c>
      <c r="J21" s="87"/>
      <c r="K21" s="27"/>
      <c r="L21" s="27"/>
    </row>
    <row r="22" spans="2:12" x14ac:dyDescent="0.25">
      <c r="B22" s="46"/>
      <c r="C22" s="47" t="s">
        <v>63</v>
      </c>
      <c r="D22" s="85">
        <v>318000</v>
      </c>
      <c r="E22" s="48">
        <v>0</v>
      </c>
      <c r="F22" s="61">
        <v>0</v>
      </c>
      <c r="G22" s="61">
        <f t="shared" si="3"/>
        <v>0</v>
      </c>
      <c r="H22" s="85">
        <f t="shared" si="0"/>
        <v>-318000</v>
      </c>
      <c r="I22" s="86">
        <f t="shared" si="1"/>
        <v>0</v>
      </c>
      <c r="J22" s="87"/>
      <c r="K22" s="27"/>
      <c r="L22" s="27"/>
    </row>
    <row r="23" spans="2:12" x14ac:dyDescent="0.25">
      <c r="B23" s="46"/>
      <c r="C23" s="47" t="s">
        <v>64</v>
      </c>
      <c r="D23" s="85">
        <v>8077000</v>
      </c>
      <c r="E23" s="48">
        <v>3200000</v>
      </c>
      <c r="F23" s="61">
        <v>0</v>
      </c>
      <c r="G23" s="61">
        <f t="shared" si="3"/>
        <v>3200000</v>
      </c>
      <c r="H23" s="85">
        <f>G23-D23</f>
        <v>-4877000</v>
      </c>
      <c r="I23" s="86">
        <f>G23/D23%</f>
        <v>39.618670298378113</v>
      </c>
      <c r="J23" s="87"/>
      <c r="K23" s="27"/>
      <c r="L23" s="27"/>
    </row>
    <row r="24" spans="2:12" x14ac:dyDescent="0.25">
      <c r="B24" s="46"/>
      <c r="C24" s="47" t="s">
        <v>65</v>
      </c>
      <c r="D24" s="85">
        <v>0</v>
      </c>
      <c r="E24" s="48">
        <v>3635000</v>
      </c>
      <c r="F24" s="61">
        <v>0</v>
      </c>
      <c r="G24" s="61">
        <f t="shared" si="3"/>
        <v>3635000</v>
      </c>
      <c r="H24" s="85">
        <f>G24-D24</f>
        <v>3635000</v>
      </c>
      <c r="I24" s="86" t="e">
        <f>G24/D24%</f>
        <v>#DIV/0!</v>
      </c>
      <c r="J24" s="87"/>
      <c r="K24" s="27"/>
      <c r="L24" s="27"/>
    </row>
    <row r="25" spans="2:12" x14ac:dyDescent="0.25">
      <c r="B25" s="46"/>
      <c r="C25" s="47" t="s">
        <v>66</v>
      </c>
      <c r="D25" s="85">
        <v>13765000</v>
      </c>
      <c r="E25" s="48">
        <v>14835000</v>
      </c>
      <c r="F25" s="61">
        <f>2200000+300000</f>
        <v>2500000</v>
      </c>
      <c r="G25" s="61">
        <f t="shared" si="3"/>
        <v>17335000</v>
      </c>
      <c r="H25" s="85">
        <f>G25-D25</f>
        <v>3570000</v>
      </c>
      <c r="I25" s="86">
        <f>G25/D25%</f>
        <v>125.93534326189611</v>
      </c>
      <c r="J25" s="87"/>
      <c r="K25" s="27"/>
      <c r="L25" s="27"/>
    </row>
    <row r="26" spans="2:12" x14ac:dyDescent="0.25">
      <c r="B26" s="46"/>
      <c r="C26" s="47" t="s">
        <v>67</v>
      </c>
      <c r="D26" s="85">
        <v>0</v>
      </c>
      <c r="E26" s="48">
        <v>520000</v>
      </c>
      <c r="F26" s="61">
        <v>0</v>
      </c>
      <c r="G26" s="61">
        <f t="shared" si="3"/>
        <v>520000</v>
      </c>
      <c r="H26" s="85">
        <f>G26-D26</f>
        <v>520000</v>
      </c>
      <c r="I26" s="86" t="e">
        <f>G26/D26%</f>
        <v>#DIV/0!</v>
      </c>
      <c r="J26" s="87"/>
      <c r="K26" s="27"/>
      <c r="L26" s="27"/>
    </row>
    <row r="27" spans="2:12" x14ac:dyDescent="0.25">
      <c r="B27" s="46"/>
      <c r="C27" s="47" t="s">
        <v>68</v>
      </c>
      <c r="D27" s="85">
        <v>0</v>
      </c>
      <c r="E27" s="48">
        <v>300000</v>
      </c>
      <c r="F27" s="61">
        <v>0</v>
      </c>
      <c r="G27" s="61">
        <f t="shared" si="3"/>
        <v>300000</v>
      </c>
      <c r="H27" s="85">
        <f>G27-D27</f>
        <v>300000</v>
      </c>
      <c r="I27" s="86" t="e">
        <f>G27/D27%</f>
        <v>#DIV/0!</v>
      </c>
      <c r="J27" s="87"/>
      <c r="K27" s="27"/>
      <c r="L27" s="27"/>
    </row>
    <row r="28" spans="2:12" x14ac:dyDescent="0.25">
      <c r="B28" s="46"/>
      <c r="C28" s="47" t="s">
        <v>69</v>
      </c>
      <c r="D28" s="85">
        <v>20230000</v>
      </c>
      <c r="E28" s="48">
        <v>6307909</v>
      </c>
      <c r="F28" s="61">
        <f>100000</f>
        <v>100000</v>
      </c>
      <c r="G28" s="61">
        <f>E28+F28</f>
        <v>6407909</v>
      </c>
      <c r="H28" s="85">
        <f t="shared" si="0"/>
        <v>-13822091</v>
      </c>
      <c r="I28" s="86"/>
      <c r="J28" s="87"/>
      <c r="K28" s="27"/>
      <c r="L28" s="27"/>
    </row>
    <row r="29" spans="2:12" x14ac:dyDescent="0.25">
      <c r="B29" s="46"/>
      <c r="C29" s="47"/>
      <c r="D29" s="47"/>
      <c r="E29" s="61"/>
      <c r="F29" s="61"/>
      <c r="G29" s="61"/>
      <c r="H29" s="85"/>
      <c r="I29" s="86"/>
      <c r="J29" s="87"/>
      <c r="K29" s="27"/>
      <c r="L29" s="27"/>
    </row>
    <row r="30" spans="2:12" x14ac:dyDescent="0.25">
      <c r="B30" s="169"/>
      <c r="C30" s="170" t="s">
        <v>14</v>
      </c>
      <c r="D30" s="135">
        <f>SUM(D9:D28)</f>
        <v>240421000</v>
      </c>
      <c r="E30" s="89">
        <f>SUM(E9:E28)</f>
        <v>152372837</v>
      </c>
      <c r="F30" s="89">
        <f>SUM(F9:F28)</f>
        <v>12775110</v>
      </c>
      <c r="G30" s="89">
        <f>SUM(G9:G28)</f>
        <v>165147947</v>
      </c>
      <c r="H30" s="136">
        <f>SUM(H9:H22)</f>
        <v>-64492962</v>
      </c>
      <c r="I30" s="91">
        <f>G30/D30%</f>
        <v>68.691148859708591</v>
      </c>
      <c r="J30" s="171"/>
      <c r="K30" s="149"/>
      <c r="L30" s="149"/>
    </row>
    <row r="31" spans="2:12" x14ac:dyDescent="0.25">
      <c r="B31" s="46"/>
      <c r="C31" s="47"/>
      <c r="D31" s="47"/>
      <c r="E31" s="61"/>
      <c r="F31" s="62"/>
      <c r="G31" s="61"/>
      <c r="H31" s="85"/>
      <c r="I31" s="85"/>
      <c r="J31" s="87"/>
      <c r="K31" s="27"/>
      <c r="L31" s="27"/>
    </row>
    <row r="32" spans="2:12" x14ac:dyDescent="0.25">
      <c r="B32" s="46" t="s">
        <v>15</v>
      </c>
      <c r="C32" s="60" t="s">
        <v>16</v>
      </c>
      <c r="D32" s="47"/>
      <c r="E32" s="61"/>
      <c r="F32" s="62"/>
      <c r="G32" s="61"/>
      <c r="H32" s="85"/>
      <c r="I32" s="85"/>
      <c r="J32" s="87"/>
      <c r="K32" s="27"/>
      <c r="L32" s="27"/>
    </row>
    <row r="33" spans="2:12" x14ac:dyDescent="0.25">
      <c r="B33" s="46"/>
      <c r="C33" s="47" t="s">
        <v>38</v>
      </c>
      <c r="D33" s="85">
        <v>534000</v>
      </c>
      <c r="E33" s="48">
        <v>607500</v>
      </c>
      <c r="F33" s="61">
        <v>0</v>
      </c>
      <c r="G33" s="61">
        <f>E33+F33</f>
        <v>607500</v>
      </c>
      <c r="H33" s="85">
        <f t="shared" ref="H33:H50" si="4">G33-D33</f>
        <v>73500</v>
      </c>
      <c r="I33" s="86">
        <f t="shared" ref="I33:I50" si="5">G33/D33%</f>
        <v>113.76404494382022</v>
      </c>
      <c r="J33" s="87"/>
      <c r="K33" s="27"/>
      <c r="L33" s="27"/>
    </row>
    <row r="34" spans="2:12" x14ac:dyDescent="0.25">
      <c r="B34" s="172"/>
      <c r="C34" s="173" t="s">
        <v>39</v>
      </c>
      <c r="D34" s="174">
        <v>26144000</v>
      </c>
      <c r="E34" s="175">
        <v>17716500</v>
      </c>
      <c r="F34" s="168">
        <f>15000+40000+45000+35000+40000+15000+230000+180000+75000+30000+15000+40000+15000+20000+275000+5000+70000+125000+170000+95000+30000+70000+100000+35000</f>
        <v>1770000</v>
      </c>
      <c r="G34" s="168">
        <f t="shared" ref="G34:G50" si="6">E34+F34</f>
        <v>19486500</v>
      </c>
      <c r="H34" s="174">
        <f t="shared" si="4"/>
        <v>-6657500</v>
      </c>
      <c r="I34" s="176">
        <f t="shared" si="5"/>
        <v>74.535266217870259</v>
      </c>
      <c r="J34" s="179"/>
      <c r="K34" s="177"/>
      <c r="L34" s="177"/>
    </row>
    <row r="35" spans="2:12" x14ac:dyDescent="0.25">
      <c r="B35" s="46"/>
      <c r="C35" s="47" t="s">
        <v>40</v>
      </c>
      <c r="D35" s="85">
        <v>13472000</v>
      </c>
      <c r="E35" s="48">
        <v>9181787</v>
      </c>
      <c r="F35" s="61">
        <f>135000+100000+400000+350000</f>
        <v>985000</v>
      </c>
      <c r="G35" s="61">
        <f>E35+F35</f>
        <v>10166787</v>
      </c>
      <c r="H35" s="85">
        <f t="shared" si="4"/>
        <v>-3305213</v>
      </c>
      <c r="I35" s="86">
        <f>G35/D35%</f>
        <v>75.466055522565327</v>
      </c>
      <c r="J35" s="180"/>
      <c r="K35" s="27"/>
      <c r="L35" s="27"/>
    </row>
    <row r="36" spans="2:12" x14ac:dyDescent="0.25">
      <c r="B36" s="46"/>
      <c r="C36" s="47" t="s">
        <v>41</v>
      </c>
      <c r="D36" s="85">
        <v>4052000</v>
      </c>
      <c r="E36" s="48">
        <v>3302478</v>
      </c>
      <c r="F36" s="61">
        <v>0</v>
      </c>
      <c r="G36" s="61">
        <f t="shared" si="6"/>
        <v>3302478</v>
      </c>
      <c r="H36" s="85">
        <f t="shared" si="4"/>
        <v>-749522</v>
      </c>
      <c r="I36" s="86">
        <f t="shared" si="5"/>
        <v>81.502418558736423</v>
      </c>
      <c r="J36" s="87"/>
      <c r="K36" s="27"/>
      <c r="L36" s="27"/>
    </row>
    <row r="37" spans="2:12" x14ac:dyDescent="0.25">
      <c r="B37" s="46"/>
      <c r="C37" s="47" t="s">
        <v>50</v>
      </c>
      <c r="D37" s="85">
        <v>0</v>
      </c>
      <c r="E37" s="48">
        <v>0</v>
      </c>
      <c r="F37" s="61">
        <v>0</v>
      </c>
      <c r="G37" s="61">
        <f t="shared" si="6"/>
        <v>0</v>
      </c>
      <c r="H37" s="85">
        <f>G37-D37</f>
        <v>0</v>
      </c>
      <c r="I37" s="86" t="e">
        <f>G37/D37%</f>
        <v>#DIV/0!</v>
      </c>
      <c r="J37" s="87"/>
      <c r="K37" s="27"/>
      <c r="L37" s="27"/>
    </row>
    <row r="38" spans="2:12" x14ac:dyDescent="0.25">
      <c r="B38" s="46"/>
      <c r="C38" s="47" t="s">
        <v>51</v>
      </c>
      <c r="D38" s="85">
        <v>0</v>
      </c>
      <c r="E38" s="48">
        <v>7750000</v>
      </c>
      <c r="F38" s="61">
        <v>0</v>
      </c>
      <c r="G38" s="61">
        <f>E38+F38</f>
        <v>7750000</v>
      </c>
      <c r="H38" s="85">
        <f>G38-D38</f>
        <v>7750000</v>
      </c>
      <c r="I38" s="86" t="e">
        <f>G38/D38%</f>
        <v>#DIV/0!</v>
      </c>
      <c r="J38" s="87"/>
      <c r="K38" s="27"/>
      <c r="L38" s="27"/>
    </row>
    <row r="39" spans="2:12" x14ac:dyDescent="0.25">
      <c r="B39" s="46"/>
      <c r="C39" s="47" t="s">
        <v>49</v>
      </c>
      <c r="D39" s="85">
        <v>0</v>
      </c>
      <c r="E39" s="48">
        <v>0</v>
      </c>
      <c r="F39" s="61">
        <v>0</v>
      </c>
      <c r="G39" s="61">
        <f t="shared" si="6"/>
        <v>0</v>
      </c>
      <c r="H39" s="85">
        <f>G39-D38</f>
        <v>0</v>
      </c>
      <c r="I39" s="86" t="e">
        <f>G39/D38%</f>
        <v>#DIV/0!</v>
      </c>
      <c r="J39" s="87"/>
      <c r="K39" s="27"/>
      <c r="L39" s="27"/>
    </row>
    <row r="40" spans="2:12" x14ac:dyDescent="0.25">
      <c r="B40" s="46"/>
      <c r="C40" s="47" t="s">
        <v>79</v>
      </c>
      <c r="D40" s="85">
        <v>2489000</v>
      </c>
      <c r="E40" s="48">
        <v>1020000</v>
      </c>
      <c r="F40" s="61">
        <v>0</v>
      </c>
      <c r="G40" s="61">
        <f t="shared" si="6"/>
        <v>1020000</v>
      </c>
      <c r="H40" s="85">
        <f>G40-D39</f>
        <v>1020000</v>
      </c>
      <c r="I40" s="86" t="e">
        <f>G40/D39%</f>
        <v>#DIV/0!</v>
      </c>
      <c r="J40" s="87"/>
      <c r="K40" s="27"/>
      <c r="L40" s="27"/>
    </row>
    <row r="41" spans="2:12" x14ac:dyDescent="0.25">
      <c r="B41" s="46"/>
      <c r="C41" s="47" t="s">
        <v>71</v>
      </c>
      <c r="D41" s="85">
        <v>2918000</v>
      </c>
      <c r="E41" s="48">
        <v>5729000</v>
      </c>
      <c r="F41" s="61">
        <f>70000+200000</f>
        <v>270000</v>
      </c>
      <c r="G41" s="61">
        <f t="shared" si="6"/>
        <v>5999000</v>
      </c>
      <c r="H41" s="85">
        <f>G41-D40</f>
        <v>3510000</v>
      </c>
      <c r="I41" s="86">
        <f>G41/D40%</f>
        <v>241.02049015668942</v>
      </c>
      <c r="J41" s="87"/>
      <c r="K41" s="27"/>
      <c r="L41" s="27"/>
    </row>
    <row r="42" spans="2:12" x14ac:dyDescent="0.25">
      <c r="B42" s="46"/>
      <c r="C42" s="47" t="s">
        <v>72</v>
      </c>
      <c r="D42" s="144">
        <v>3062000</v>
      </c>
      <c r="E42" s="48">
        <v>5570000</v>
      </c>
      <c r="F42" s="61">
        <f>850000+130000</f>
        <v>980000</v>
      </c>
      <c r="G42" s="61">
        <f t="shared" si="6"/>
        <v>6550000</v>
      </c>
      <c r="H42" s="85">
        <f>G42-D41</f>
        <v>3632000</v>
      </c>
      <c r="I42" s="86">
        <f>G42/D41%</f>
        <v>224.46881425633995</v>
      </c>
      <c r="J42" s="87"/>
      <c r="K42" s="27"/>
      <c r="L42" s="27"/>
    </row>
    <row r="43" spans="2:12" x14ac:dyDescent="0.25">
      <c r="B43" s="46"/>
      <c r="C43" s="47" t="s">
        <v>70</v>
      </c>
      <c r="D43" s="85">
        <v>943000</v>
      </c>
      <c r="E43" s="48">
        <v>0</v>
      </c>
      <c r="F43" s="61">
        <v>0</v>
      </c>
      <c r="G43" s="61">
        <f t="shared" si="6"/>
        <v>0</v>
      </c>
      <c r="H43" s="85">
        <f t="shared" si="4"/>
        <v>-943000</v>
      </c>
      <c r="I43" s="86">
        <f t="shared" si="5"/>
        <v>0</v>
      </c>
      <c r="J43" s="87"/>
      <c r="K43" s="27"/>
      <c r="L43" s="27"/>
    </row>
    <row r="44" spans="2:12" x14ac:dyDescent="0.25">
      <c r="B44" s="46"/>
      <c r="C44" s="47" t="s">
        <v>73</v>
      </c>
      <c r="D44" s="85">
        <v>529000</v>
      </c>
      <c r="E44" s="48">
        <v>2075000</v>
      </c>
      <c r="F44" s="61">
        <v>0</v>
      </c>
      <c r="G44" s="61">
        <f t="shared" si="6"/>
        <v>2075000</v>
      </c>
      <c r="H44" s="85">
        <f t="shared" si="4"/>
        <v>1546000</v>
      </c>
      <c r="I44" s="86">
        <f t="shared" si="5"/>
        <v>392.24952741020792</v>
      </c>
      <c r="J44" s="87"/>
      <c r="K44" s="27"/>
      <c r="L44" s="27"/>
    </row>
    <row r="45" spans="2:12" x14ac:dyDescent="0.25">
      <c r="B45" s="46"/>
      <c r="C45" s="47" t="s">
        <v>74</v>
      </c>
      <c r="D45" s="85">
        <v>0</v>
      </c>
      <c r="E45" s="48">
        <v>0</v>
      </c>
      <c r="F45" s="61">
        <v>0</v>
      </c>
      <c r="G45" s="61">
        <f t="shared" si="6"/>
        <v>0</v>
      </c>
      <c r="H45" s="85">
        <f t="shared" si="4"/>
        <v>0</v>
      </c>
      <c r="I45" s="86" t="e">
        <f t="shared" si="5"/>
        <v>#DIV/0!</v>
      </c>
      <c r="J45" s="87"/>
      <c r="K45" s="27"/>
      <c r="L45" s="27"/>
    </row>
    <row r="46" spans="2:12" x14ac:dyDescent="0.25">
      <c r="B46" s="46"/>
      <c r="C46" s="47" t="s">
        <v>75</v>
      </c>
      <c r="D46" s="85">
        <v>2754000</v>
      </c>
      <c r="E46" s="48">
        <v>8412500</v>
      </c>
      <c r="F46" s="61">
        <f>210000</f>
        <v>210000</v>
      </c>
      <c r="G46" s="61">
        <f t="shared" si="6"/>
        <v>8622500</v>
      </c>
      <c r="H46" s="85">
        <f t="shared" si="4"/>
        <v>5868500</v>
      </c>
      <c r="I46" s="86">
        <f t="shared" si="5"/>
        <v>313.09005083514887</v>
      </c>
      <c r="J46" s="87"/>
      <c r="K46" s="27"/>
      <c r="L46" s="27"/>
    </row>
    <row r="47" spans="2:12" x14ac:dyDescent="0.25">
      <c r="B47" s="46"/>
      <c r="C47" s="47" t="s">
        <v>76</v>
      </c>
      <c r="D47" s="85">
        <v>0</v>
      </c>
      <c r="E47" s="48">
        <v>0</v>
      </c>
      <c r="F47" s="61">
        <v>0</v>
      </c>
      <c r="G47" s="61">
        <f t="shared" si="6"/>
        <v>0</v>
      </c>
      <c r="H47" s="85">
        <f t="shared" si="4"/>
        <v>0</v>
      </c>
      <c r="I47" s="86" t="e">
        <f t="shared" si="5"/>
        <v>#DIV/0!</v>
      </c>
      <c r="J47" s="87"/>
      <c r="K47" s="27"/>
      <c r="L47" s="27"/>
    </row>
    <row r="48" spans="2:12" x14ac:dyDescent="0.25">
      <c r="B48" s="46"/>
      <c r="C48" s="47" t="s">
        <v>77</v>
      </c>
      <c r="D48" s="85">
        <v>0</v>
      </c>
      <c r="E48" s="48">
        <v>0</v>
      </c>
      <c r="F48" s="61">
        <v>0</v>
      </c>
      <c r="G48" s="61">
        <f t="shared" si="6"/>
        <v>0</v>
      </c>
      <c r="H48" s="85">
        <f t="shared" si="4"/>
        <v>0</v>
      </c>
      <c r="I48" s="86" t="e">
        <f t="shared" si="5"/>
        <v>#DIV/0!</v>
      </c>
      <c r="J48" s="87"/>
      <c r="K48" s="27"/>
      <c r="L48" s="27"/>
    </row>
    <row r="49" spans="2:12" x14ac:dyDescent="0.25">
      <c r="B49" s="46"/>
      <c r="C49" s="47" t="s">
        <v>325</v>
      </c>
      <c r="D49" s="85">
        <v>15387000</v>
      </c>
      <c r="E49" s="48">
        <v>8195333</v>
      </c>
      <c r="F49" s="61">
        <f>670000+450000+240000</f>
        <v>1360000</v>
      </c>
      <c r="G49" s="61">
        <f t="shared" si="6"/>
        <v>9555333</v>
      </c>
      <c r="H49" s="85">
        <f t="shared" si="4"/>
        <v>-5831667</v>
      </c>
      <c r="I49" s="86">
        <f t="shared" si="5"/>
        <v>62.100038993955934</v>
      </c>
      <c r="J49" s="87"/>
      <c r="K49" s="27"/>
      <c r="L49" s="27"/>
    </row>
    <row r="50" spans="2:12" x14ac:dyDescent="0.25">
      <c r="B50" s="46"/>
      <c r="C50" s="47" t="s">
        <v>326</v>
      </c>
      <c r="D50" s="85">
        <v>0</v>
      </c>
      <c r="E50" s="48">
        <v>1710000</v>
      </c>
      <c r="F50" s="61">
        <v>0</v>
      </c>
      <c r="G50" s="61">
        <f t="shared" si="6"/>
        <v>1710000</v>
      </c>
      <c r="H50" s="85">
        <f t="shared" si="4"/>
        <v>1710000</v>
      </c>
      <c r="I50" s="86" t="e">
        <f t="shared" si="5"/>
        <v>#DIV/0!</v>
      </c>
      <c r="J50" s="87"/>
      <c r="K50" s="27"/>
      <c r="L50" s="27"/>
    </row>
    <row r="51" spans="2:12" x14ac:dyDescent="0.25">
      <c r="B51" s="46"/>
      <c r="C51" s="47"/>
      <c r="D51" s="85"/>
      <c r="E51" s="61"/>
      <c r="F51" s="61"/>
      <c r="G51" s="61"/>
      <c r="H51" s="85"/>
      <c r="I51" s="85"/>
      <c r="J51" s="87"/>
      <c r="K51" s="27"/>
      <c r="L51" s="27"/>
    </row>
    <row r="52" spans="2:12" x14ac:dyDescent="0.25">
      <c r="B52" s="169"/>
      <c r="C52" s="170" t="s">
        <v>17</v>
      </c>
      <c r="D52" s="136">
        <f>SUM(D33:D50)</f>
        <v>72284000</v>
      </c>
      <c r="E52" s="89">
        <f>SUM(E33:E50)</f>
        <v>71270098</v>
      </c>
      <c r="F52" s="89">
        <f>SUM(F33:F50)</f>
        <v>5575000</v>
      </c>
      <c r="G52" s="89">
        <f>SUM(G33:G50)</f>
        <v>76845098</v>
      </c>
      <c r="H52" s="136">
        <f>SUM(H33:H50)</f>
        <v>7623098</v>
      </c>
      <c r="I52" s="91">
        <f>G52/D52%</f>
        <v>106.30996901112279</v>
      </c>
      <c r="J52" s="171"/>
      <c r="K52" s="149"/>
      <c r="L52" s="149"/>
    </row>
    <row r="53" spans="2:12" x14ac:dyDescent="0.25">
      <c r="B53" s="46"/>
      <c r="C53" s="47"/>
      <c r="D53" s="47"/>
      <c r="E53" s="61"/>
      <c r="F53" s="62"/>
      <c r="G53" s="61"/>
      <c r="H53" s="85"/>
      <c r="I53" s="85"/>
      <c r="J53" s="87"/>
      <c r="K53" s="27"/>
      <c r="L53" s="27"/>
    </row>
    <row r="54" spans="2:12" x14ac:dyDescent="0.25">
      <c r="B54" s="46" t="s">
        <v>18</v>
      </c>
      <c r="C54" s="60" t="s">
        <v>19</v>
      </c>
      <c r="D54" s="47"/>
      <c r="E54" s="61"/>
      <c r="F54" s="62"/>
      <c r="G54" s="61"/>
      <c r="H54" s="85"/>
      <c r="I54" s="85"/>
      <c r="J54" s="87"/>
      <c r="K54" s="27"/>
      <c r="L54" s="27"/>
    </row>
    <row r="55" spans="2:12" x14ac:dyDescent="0.25">
      <c r="B55" s="46"/>
      <c r="C55" s="47" t="s">
        <v>42</v>
      </c>
      <c r="D55" s="85">
        <v>0</v>
      </c>
      <c r="E55" s="48">
        <v>100000</v>
      </c>
      <c r="F55" s="61">
        <f>80000+103448</f>
        <v>183448</v>
      </c>
      <c r="G55" s="61">
        <f>E55+F55</f>
        <v>283448</v>
      </c>
      <c r="H55" s="85">
        <f t="shared" ref="H55:H68" si="7">G55-D55</f>
        <v>283448</v>
      </c>
      <c r="I55" s="86" t="e">
        <f t="shared" ref="I55:I68" si="8">G55/D55%</f>
        <v>#DIV/0!</v>
      </c>
      <c r="J55" s="87"/>
      <c r="K55" s="27"/>
      <c r="L55" s="27"/>
    </row>
    <row r="56" spans="2:12" x14ac:dyDescent="0.25">
      <c r="B56" s="46"/>
      <c r="C56" s="47" t="s">
        <v>43</v>
      </c>
      <c r="D56" s="85">
        <v>21176000</v>
      </c>
      <c r="E56" s="48">
        <v>19808000</v>
      </c>
      <c r="F56" s="61">
        <f>1600000</f>
        <v>1600000</v>
      </c>
      <c r="G56" s="61">
        <f t="shared" ref="G56:G68" si="9">E56+F56</f>
        <v>21408000</v>
      </c>
      <c r="H56" s="85">
        <f t="shared" si="7"/>
        <v>232000</v>
      </c>
      <c r="I56" s="86">
        <f t="shared" si="8"/>
        <v>101.09557990177559</v>
      </c>
      <c r="J56" s="87"/>
      <c r="K56" s="27"/>
      <c r="L56" s="27"/>
    </row>
    <row r="57" spans="2:12" x14ac:dyDescent="0.25">
      <c r="B57" s="46"/>
      <c r="C57" s="47" t="s">
        <v>44</v>
      </c>
      <c r="D57" s="85">
        <v>586000</v>
      </c>
      <c r="E57" s="48">
        <v>1645000</v>
      </c>
      <c r="F57" s="61">
        <f>90000</f>
        <v>90000</v>
      </c>
      <c r="G57" s="61">
        <f t="shared" si="9"/>
        <v>1735000</v>
      </c>
      <c r="H57" s="85">
        <f t="shared" si="7"/>
        <v>1149000</v>
      </c>
      <c r="I57" s="86">
        <f t="shared" si="8"/>
        <v>296.07508532423208</v>
      </c>
      <c r="J57" s="87"/>
      <c r="K57" s="27"/>
      <c r="L57" s="27"/>
    </row>
    <row r="58" spans="2:12" x14ac:dyDescent="0.25">
      <c r="B58" s="46"/>
      <c r="C58" s="47" t="s">
        <v>45</v>
      </c>
      <c r="D58" s="85">
        <v>0</v>
      </c>
      <c r="E58" s="48">
        <v>0</v>
      </c>
      <c r="F58" s="61">
        <v>0</v>
      </c>
      <c r="G58" s="61">
        <f t="shared" si="9"/>
        <v>0</v>
      </c>
      <c r="H58" s="85">
        <f t="shared" si="7"/>
        <v>0</v>
      </c>
      <c r="I58" s="86" t="e">
        <f t="shared" si="8"/>
        <v>#DIV/0!</v>
      </c>
      <c r="J58" s="87"/>
      <c r="K58" s="27"/>
      <c r="L58" s="27"/>
    </row>
    <row r="59" spans="2:12" x14ac:dyDescent="0.25">
      <c r="B59" s="46"/>
      <c r="C59" s="47" t="s">
        <v>46</v>
      </c>
      <c r="D59" s="85">
        <v>0</v>
      </c>
      <c r="E59" s="48">
        <v>0</v>
      </c>
      <c r="F59" s="92">
        <v>0</v>
      </c>
      <c r="G59" s="61">
        <f t="shared" si="9"/>
        <v>0</v>
      </c>
      <c r="H59" s="85">
        <f t="shared" si="7"/>
        <v>0</v>
      </c>
      <c r="I59" s="86" t="e">
        <f t="shared" si="8"/>
        <v>#DIV/0!</v>
      </c>
      <c r="J59" s="87"/>
      <c r="K59" s="27"/>
      <c r="L59" s="27"/>
    </row>
    <row r="60" spans="2:12" x14ac:dyDescent="0.25">
      <c r="B60" s="46"/>
      <c r="C60" s="47" t="s">
        <v>47</v>
      </c>
      <c r="D60" s="85">
        <v>0</v>
      </c>
      <c r="E60" s="48">
        <v>0</v>
      </c>
      <c r="F60" s="61">
        <v>0</v>
      </c>
      <c r="G60" s="61">
        <f t="shared" si="9"/>
        <v>0</v>
      </c>
      <c r="H60" s="85">
        <f t="shared" si="7"/>
        <v>0</v>
      </c>
      <c r="I60" s="86" t="e">
        <f t="shared" si="8"/>
        <v>#DIV/0!</v>
      </c>
      <c r="J60" s="87"/>
      <c r="K60" s="27"/>
      <c r="L60" s="27"/>
    </row>
    <row r="61" spans="2:12" x14ac:dyDescent="0.25">
      <c r="B61" s="46"/>
      <c r="C61" s="47" t="s">
        <v>129</v>
      </c>
      <c r="D61" s="85">
        <v>0</v>
      </c>
      <c r="E61" s="48">
        <v>600000</v>
      </c>
      <c r="F61" s="61">
        <v>0</v>
      </c>
      <c r="G61" s="61">
        <f t="shared" si="9"/>
        <v>600000</v>
      </c>
      <c r="H61" s="85">
        <f t="shared" si="7"/>
        <v>600000</v>
      </c>
      <c r="I61" s="86" t="e">
        <f t="shared" si="8"/>
        <v>#DIV/0!</v>
      </c>
      <c r="J61" s="87"/>
      <c r="K61" s="27"/>
      <c r="L61" s="27"/>
    </row>
    <row r="62" spans="2:12" x14ac:dyDescent="0.25">
      <c r="B62" s="46"/>
      <c r="C62" s="47" t="s">
        <v>86</v>
      </c>
      <c r="D62" s="85">
        <v>0</v>
      </c>
      <c r="E62" s="48">
        <v>350000</v>
      </c>
      <c r="F62" s="61">
        <v>0</v>
      </c>
      <c r="G62" s="61">
        <f t="shared" si="9"/>
        <v>350000</v>
      </c>
      <c r="H62" s="85">
        <f t="shared" si="7"/>
        <v>350000</v>
      </c>
      <c r="I62" s="86" t="e">
        <f t="shared" si="8"/>
        <v>#DIV/0!</v>
      </c>
      <c r="J62" s="87"/>
      <c r="K62" s="27"/>
      <c r="L62" s="27"/>
    </row>
    <row r="63" spans="2:12" x14ac:dyDescent="0.25">
      <c r="B63" s="46"/>
      <c r="C63" s="47" t="s">
        <v>87</v>
      </c>
      <c r="D63" s="85">
        <v>0</v>
      </c>
      <c r="E63" s="48">
        <v>200000</v>
      </c>
      <c r="F63" s="61">
        <v>0</v>
      </c>
      <c r="G63" s="61">
        <f>E63+F63</f>
        <v>200000</v>
      </c>
      <c r="H63" s="85">
        <f>G63-D63</f>
        <v>200000</v>
      </c>
      <c r="I63" s="86" t="e">
        <f>G63/D63%</f>
        <v>#DIV/0!</v>
      </c>
      <c r="J63" s="87"/>
      <c r="K63" s="27"/>
      <c r="L63" s="27"/>
    </row>
    <row r="64" spans="2:12" x14ac:dyDescent="0.25">
      <c r="B64" s="46"/>
      <c r="C64" s="47" t="s">
        <v>81</v>
      </c>
      <c r="D64" s="85">
        <v>0</v>
      </c>
      <c r="E64" s="48">
        <v>0</v>
      </c>
      <c r="F64" s="61">
        <v>0</v>
      </c>
      <c r="G64" s="61">
        <f t="shared" si="9"/>
        <v>0</v>
      </c>
      <c r="H64" s="85">
        <f t="shared" si="7"/>
        <v>0</v>
      </c>
      <c r="I64" s="86" t="e">
        <f t="shared" si="8"/>
        <v>#DIV/0!</v>
      </c>
      <c r="J64" s="87"/>
      <c r="K64" s="27"/>
      <c r="L64" s="27"/>
    </row>
    <row r="65" spans="2:12" x14ac:dyDescent="0.25">
      <c r="B65" s="46"/>
      <c r="C65" s="47" t="s">
        <v>82</v>
      </c>
      <c r="D65" s="85">
        <v>0</v>
      </c>
      <c r="E65" s="48">
        <v>157142</v>
      </c>
      <c r="F65" s="61">
        <v>0</v>
      </c>
      <c r="G65" s="61">
        <f t="shared" si="9"/>
        <v>157142</v>
      </c>
      <c r="H65" s="85">
        <f t="shared" si="7"/>
        <v>157142</v>
      </c>
      <c r="I65" s="86" t="e">
        <f t="shared" si="8"/>
        <v>#DIV/0!</v>
      </c>
      <c r="J65" s="87"/>
      <c r="K65" s="27"/>
      <c r="L65" s="27"/>
    </row>
    <row r="66" spans="2:12" x14ac:dyDescent="0.25">
      <c r="B66" s="46"/>
      <c r="C66" s="47" t="s">
        <v>83</v>
      </c>
      <c r="D66" s="85">
        <v>0</v>
      </c>
      <c r="E66" s="48">
        <v>0</v>
      </c>
      <c r="F66" s="61">
        <v>0</v>
      </c>
      <c r="G66" s="61">
        <f>E66+F66</f>
        <v>0</v>
      </c>
      <c r="H66" s="85">
        <f>G66-D66</f>
        <v>0</v>
      </c>
      <c r="I66" s="86" t="e">
        <f>G66/D66%</f>
        <v>#DIV/0!</v>
      </c>
      <c r="J66" s="87"/>
      <c r="K66" s="27"/>
      <c r="L66" s="27"/>
    </row>
    <row r="67" spans="2:12" x14ac:dyDescent="0.25">
      <c r="B67" s="46"/>
      <c r="C67" s="47" t="s">
        <v>142</v>
      </c>
      <c r="D67" s="85">
        <v>389000</v>
      </c>
      <c r="E67" s="48">
        <v>0</v>
      </c>
      <c r="F67" s="61">
        <v>0</v>
      </c>
      <c r="G67" s="61">
        <f>E67+F67</f>
        <v>0</v>
      </c>
      <c r="H67" s="85">
        <f>G67-D67</f>
        <v>-389000</v>
      </c>
      <c r="I67" s="86">
        <f>G67/D67%</f>
        <v>0</v>
      </c>
      <c r="J67" s="87"/>
      <c r="K67" s="27"/>
      <c r="L67" s="27"/>
    </row>
    <row r="68" spans="2:12" x14ac:dyDescent="0.25">
      <c r="B68" s="46"/>
      <c r="C68" s="47" t="s">
        <v>85</v>
      </c>
      <c r="D68" s="85">
        <v>0</v>
      </c>
      <c r="E68" s="48">
        <v>0</v>
      </c>
      <c r="F68" s="61">
        <v>0</v>
      </c>
      <c r="G68" s="61">
        <f t="shared" si="9"/>
        <v>0</v>
      </c>
      <c r="H68" s="85">
        <f t="shared" si="7"/>
        <v>0</v>
      </c>
      <c r="I68" s="86" t="e">
        <f t="shared" si="8"/>
        <v>#DIV/0!</v>
      </c>
      <c r="J68" s="87"/>
      <c r="K68" s="27"/>
      <c r="L68" s="27"/>
    </row>
    <row r="69" spans="2:12" x14ac:dyDescent="0.25">
      <c r="B69" s="46"/>
      <c r="C69" s="47"/>
      <c r="D69" s="85"/>
      <c r="E69" s="61"/>
      <c r="F69" s="61"/>
      <c r="G69" s="61"/>
      <c r="H69" s="85"/>
      <c r="I69" s="85"/>
      <c r="J69" s="87"/>
      <c r="K69" s="27"/>
      <c r="L69" s="27"/>
    </row>
    <row r="70" spans="2:12" x14ac:dyDescent="0.25">
      <c r="B70" s="169"/>
      <c r="C70" s="170" t="s">
        <v>20</v>
      </c>
      <c r="D70" s="136">
        <f>SUM(D55:D68)</f>
        <v>22151000</v>
      </c>
      <c r="E70" s="89">
        <f>SUM(E55:E68)</f>
        <v>22860142</v>
      </c>
      <c r="F70" s="89">
        <f>SUM(F55:F68)</f>
        <v>1873448</v>
      </c>
      <c r="G70" s="89">
        <f>SUM(G55:G68)</f>
        <v>24733590</v>
      </c>
      <c r="H70" s="136">
        <f>SUM(H55:H64)</f>
        <v>2814448</v>
      </c>
      <c r="I70" s="91">
        <f>G70/D70%</f>
        <v>111.65902216604216</v>
      </c>
      <c r="J70" s="171"/>
      <c r="K70" s="149"/>
      <c r="L70" s="149"/>
    </row>
    <row r="71" spans="2:12" x14ac:dyDescent="0.25">
      <c r="B71" s="46"/>
      <c r="C71" s="47"/>
      <c r="D71" s="47"/>
      <c r="E71" s="61"/>
      <c r="F71" s="62"/>
      <c r="G71" s="61"/>
      <c r="H71" s="85"/>
      <c r="I71" s="85"/>
      <c r="J71" s="87"/>
      <c r="K71" s="27"/>
      <c r="L71" s="27"/>
    </row>
    <row r="72" spans="2:12" ht="15.75" thickBot="1" x14ac:dyDescent="0.3">
      <c r="B72" s="46"/>
      <c r="C72" s="60" t="s">
        <v>21</v>
      </c>
      <c r="D72" s="93">
        <f>D30+D52+D70</f>
        <v>334856000</v>
      </c>
      <c r="E72" s="94">
        <f>E30+E52+E70</f>
        <v>246503077</v>
      </c>
      <c r="F72" s="95">
        <f>F30+F52+F70</f>
        <v>20223558</v>
      </c>
      <c r="G72" s="94">
        <f>G30+G52+G70</f>
        <v>266726635</v>
      </c>
      <c r="H72" s="96">
        <f>H30+H52+H70</f>
        <v>-54055416</v>
      </c>
      <c r="I72" s="97">
        <f>G72/D72%</f>
        <v>79.654130432185781</v>
      </c>
      <c r="J72" s="87"/>
      <c r="K72" s="27"/>
      <c r="L72" s="27"/>
    </row>
    <row r="73" spans="2:12" ht="15.75" thickTop="1" x14ac:dyDescent="0.25">
      <c r="B73" s="69"/>
      <c r="C73" s="98"/>
      <c r="D73" s="99"/>
      <c r="E73" s="100"/>
      <c r="F73" s="101"/>
      <c r="G73" s="100"/>
      <c r="H73" s="102"/>
      <c r="I73" s="103"/>
      <c r="J73" s="104"/>
      <c r="K73" s="27"/>
      <c r="L73" s="27"/>
    </row>
    <row r="74" spans="2:12" x14ac:dyDescent="0.25">
      <c r="B74" s="69"/>
      <c r="C74" s="98" t="s">
        <v>22</v>
      </c>
      <c r="D74" s="105"/>
      <c r="E74" s="106"/>
      <c r="F74" s="107"/>
      <c r="G74" s="106"/>
      <c r="H74" s="108"/>
      <c r="I74" s="109"/>
      <c r="J74" s="104"/>
      <c r="K74" s="27"/>
      <c r="L74" s="27"/>
    </row>
    <row r="75" spans="2:12" x14ac:dyDescent="0.25">
      <c r="B75" s="69" t="s">
        <v>12</v>
      </c>
      <c r="C75" s="98" t="s">
        <v>23</v>
      </c>
      <c r="D75" s="105">
        <v>13500000</v>
      </c>
      <c r="E75" s="106">
        <f>E126</f>
        <v>15274500</v>
      </c>
      <c r="F75" s="107">
        <f>F126</f>
        <v>1245000</v>
      </c>
      <c r="G75" s="106">
        <f>E75+F75</f>
        <v>16519500</v>
      </c>
      <c r="H75" s="108">
        <f>G75-D75</f>
        <v>3019500</v>
      </c>
      <c r="I75" s="110">
        <f>G75/D75%</f>
        <v>122.36666666666666</v>
      </c>
      <c r="J75" s="104"/>
      <c r="K75" s="27"/>
      <c r="L75" s="27"/>
    </row>
    <row r="76" spans="2:12" x14ac:dyDescent="0.25">
      <c r="B76" s="69"/>
      <c r="C76" s="98"/>
      <c r="D76" s="105"/>
      <c r="E76" s="106"/>
      <c r="F76" s="107"/>
      <c r="G76" s="106"/>
      <c r="H76" s="108"/>
      <c r="I76" s="110"/>
      <c r="J76" s="104"/>
      <c r="K76" s="27"/>
      <c r="L76" s="27"/>
    </row>
    <row r="77" spans="2:12" x14ac:dyDescent="0.25">
      <c r="B77" s="69" t="s">
        <v>15</v>
      </c>
      <c r="C77" s="98" t="s">
        <v>16</v>
      </c>
      <c r="D77" s="105">
        <v>4500000</v>
      </c>
      <c r="E77" s="106">
        <f>E147</f>
        <v>2391000</v>
      </c>
      <c r="F77" s="107">
        <f>F147</f>
        <v>270000</v>
      </c>
      <c r="G77" s="106">
        <f>E77+F77</f>
        <v>2661000</v>
      </c>
      <c r="H77" s="108">
        <f>G77-D77</f>
        <v>-1839000</v>
      </c>
      <c r="I77" s="110">
        <f>G77/D77%</f>
        <v>59.133333333333333</v>
      </c>
      <c r="J77" s="104"/>
      <c r="K77" s="27"/>
      <c r="L77" s="27"/>
    </row>
    <row r="78" spans="2:12" x14ac:dyDescent="0.25">
      <c r="B78" s="69"/>
      <c r="C78" s="98"/>
      <c r="D78" s="105"/>
      <c r="E78" s="106"/>
      <c r="F78" s="107"/>
      <c r="G78" s="106"/>
      <c r="H78" s="108"/>
      <c r="I78" s="110"/>
      <c r="J78" s="104"/>
      <c r="K78" s="27"/>
      <c r="L78" s="27"/>
    </row>
    <row r="79" spans="2:12" x14ac:dyDescent="0.25">
      <c r="B79" s="69" t="s">
        <v>18</v>
      </c>
      <c r="C79" s="98" t="s">
        <v>19</v>
      </c>
      <c r="D79" s="105">
        <v>0</v>
      </c>
      <c r="E79" s="106">
        <f>E165</f>
        <v>930285</v>
      </c>
      <c r="F79" s="107">
        <f>F165</f>
        <v>0</v>
      </c>
      <c r="G79" s="106">
        <f>E79+F79</f>
        <v>930285</v>
      </c>
      <c r="H79" s="108">
        <f>G79-D79</f>
        <v>930285</v>
      </c>
      <c r="I79" s="110" t="e">
        <f>G79/D79%</f>
        <v>#DIV/0!</v>
      </c>
      <c r="J79" s="104"/>
      <c r="K79" s="27"/>
      <c r="L79" s="27"/>
    </row>
    <row r="80" spans="2:12" ht="15.75" thickBot="1" x14ac:dyDescent="0.3">
      <c r="B80" s="69"/>
      <c r="C80" s="98"/>
      <c r="D80" s="111"/>
      <c r="E80" s="112"/>
      <c r="F80" s="113"/>
      <c r="G80" s="112"/>
      <c r="H80" s="96"/>
      <c r="I80" s="97"/>
      <c r="J80" s="104"/>
      <c r="K80" s="27"/>
      <c r="L80" s="27"/>
    </row>
    <row r="81" spans="2:12" ht="16.5" thickTop="1" thickBot="1" x14ac:dyDescent="0.3">
      <c r="B81" s="114"/>
      <c r="C81" s="115" t="s">
        <v>24</v>
      </c>
      <c r="D81" s="116">
        <f>SUM(D75:D79)</f>
        <v>18000000</v>
      </c>
      <c r="E81" s="117">
        <f>SUM(E75:E79)</f>
        <v>18595785</v>
      </c>
      <c r="F81" s="118">
        <f>SUM(F75:F79)</f>
        <v>1515000</v>
      </c>
      <c r="G81" s="117">
        <f>SUM(G75:G79)</f>
        <v>20110785</v>
      </c>
      <c r="H81" s="119">
        <f>SUM(H75:H79)</f>
        <v>2110785</v>
      </c>
      <c r="I81" s="120">
        <f>G81/D81%</f>
        <v>111.72658333333334</v>
      </c>
      <c r="J81" s="121"/>
      <c r="K81" s="27"/>
      <c r="L81" s="27"/>
    </row>
    <row r="82" spans="2:12" x14ac:dyDescent="0.25">
      <c r="B82" s="75"/>
      <c r="C82" s="75"/>
      <c r="D82" s="75"/>
      <c r="E82" s="75"/>
      <c r="F82" s="75"/>
      <c r="G82" s="76"/>
      <c r="H82" s="75"/>
      <c r="I82" s="75"/>
      <c r="J82" s="75"/>
      <c r="K82" s="27"/>
      <c r="L82" s="27"/>
    </row>
    <row r="83" spans="2:12" x14ac:dyDescent="0.25">
      <c r="B83" s="75"/>
      <c r="C83" s="75"/>
      <c r="D83" s="75"/>
      <c r="E83" s="122" t="s">
        <v>25</v>
      </c>
      <c r="F83" s="242" t="s">
        <v>26</v>
      </c>
      <c r="G83" s="124" t="e">
        <f>#REF!</f>
        <v>#REF!</v>
      </c>
      <c r="H83" s="75"/>
      <c r="I83" s="75"/>
      <c r="J83" s="75"/>
      <c r="K83" s="27"/>
      <c r="L83" s="27"/>
    </row>
    <row r="84" spans="2:12" x14ac:dyDescent="0.25">
      <c r="B84" s="75"/>
      <c r="C84" s="75"/>
      <c r="D84" s="75"/>
      <c r="E84" s="122" t="s">
        <v>132</v>
      </c>
      <c r="F84" s="242" t="s">
        <v>26</v>
      </c>
      <c r="G84" s="124" t="e">
        <f>#REF!</f>
        <v>#REF!</v>
      </c>
      <c r="H84" s="75"/>
      <c r="I84" s="75"/>
      <c r="J84" s="75"/>
      <c r="K84" s="27"/>
      <c r="L84" s="27"/>
    </row>
    <row r="85" spans="2:12" x14ac:dyDescent="0.25">
      <c r="B85" s="75"/>
      <c r="C85" s="75"/>
      <c r="D85" s="75"/>
      <c r="E85" s="122" t="s">
        <v>27</v>
      </c>
      <c r="F85" s="242" t="s">
        <v>26</v>
      </c>
      <c r="G85" s="125">
        <f>591000+58000+106000+149800+213000+63000+191000+95000+125000+91000+17000</f>
        <v>1699800</v>
      </c>
      <c r="H85" s="75"/>
      <c r="I85" s="75"/>
      <c r="J85" s="75"/>
      <c r="K85" s="27"/>
      <c r="L85" s="27"/>
    </row>
    <row r="86" spans="2:12" ht="19.5" x14ac:dyDescent="0.55000000000000004">
      <c r="B86" s="75"/>
      <c r="C86" s="75"/>
      <c r="D86" s="75"/>
      <c r="E86" s="122" t="s">
        <v>29</v>
      </c>
      <c r="F86" s="242" t="s">
        <v>26</v>
      </c>
      <c r="G86" s="126">
        <f>45000+52000+275000+270000+61720+50000+112500+500000+150000+151000+157000</f>
        <v>1824220</v>
      </c>
      <c r="H86" s="75" t="s">
        <v>28</v>
      </c>
      <c r="I86" s="75"/>
      <c r="J86" s="75"/>
      <c r="K86" s="27"/>
      <c r="L86" s="27"/>
    </row>
    <row r="87" spans="2:12" ht="15.75" thickBot="1" x14ac:dyDescent="0.3">
      <c r="B87" s="75"/>
      <c r="C87" s="75"/>
      <c r="D87" s="75"/>
      <c r="E87" s="122" t="s">
        <v>30</v>
      </c>
      <c r="F87" s="123"/>
      <c r="G87" s="127" t="e">
        <f>SUM(G83:G86)</f>
        <v>#REF!</v>
      </c>
      <c r="H87" s="160" t="s">
        <v>126</v>
      </c>
      <c r="I87" s="27"/>
      <c r="J87" s="75"/>
      <c r="K87" s="27"/>
      <c r="L87" s="27"/>
    </row>
    <row r="88" spans="2:12" ht="15.75" thickTop="1" x14ac:dyDescent="0.25">
      <c r="B88" s="75"/>
      <c r="C88" s="75"/>
      <c r="D88" s="75"/>
      <c r="E88" s="122"/>
      <c r="F88" s="123"/>
      <c r="G88" s="159" t="s">
        <v>263</v>
      </c>
      <c r="H88" s="27"/>
      <c r="I88" s="27"/>
      <c r="J88" s="75"/>
      <c r="K88" s="27"/>
      <c r="L88" s="27"/>
    </row>
    <row r="89" spans="2:12" ht="15.75" thickBot="1" x14ac:dyDescent="0.3">
      <c r="B89" s="161" t="s">
        <v>128</v>
      </c>
      <c r="C89" s="161" t="s">
        <v>321</v>
      </c>
      <c r="D89" s="149"/>
      <c r="E89" s="162"/>
      <c r="F89" s="243" t="s">
        <v>26</v>
      </c>
      <c r="G89" s="244">
        <f>1500000+2050000</f>
        <v>3550000</v>
      </c>
      <c r="H89" s="165" t="s">
        <v>126</v>
      </c>
      <c r="I89" s="149"/>
      <c r="J89" s="245">
        <f>SUM(G89:G90)</f>
        <v>10550000</v>
      </c>
      <c r="K89" s="160" t="s">
        <v>35</v>
      </c>
      <c r="L89" s="149"/>
    </row>
    <row r="90" spans="2:12" ht="16.5" thickTop="1" thickBot="1" x14ac:dyDescent="0.3">
      <c r="B90" s="161"/>
      <c r="C90" s="161" t="s">
        <v>322</v>
      </c>
      <c r="D90" s="162"/>
      <c r="E90" s="161"/>
      <c r="F90" s="243" t="s">
        <v>26</v>
      </c>
      <c r="G90" s="164">
        <f>3000000+1500000+2500000</f>
        <v>7000000</v>
      </c>
      <c r="H90" s="165" t="s">
        <v>126</v>
      </c>
      <c r="I90" s="149"/>
      <c r="J90" s="162"/>
      <c r="K90" s="149"/>
      <c r="L90" s="149"/>
    </row>
    <row r="91" spans="2:12" ht="15.75" thickTop="1" x14ac:dyDescent="0.25">
      <c r="B91" s="27"/>
      <c r="C91" s="27"/>
      <c r="D91" s="27"/>
      <c r="E91" s="27"/>
      <c r="F91" s="27"/>
      <c r="G91" s="27"/>
      <c r="H91" s="403" t="s">
        <v>329</v>
      </c>
      <c r="I91" s="403"/>
      <c r="J91" s="27"/>
      <c r="K91" s="27"/>
      <c r="L91" s="27"/>
    </row>
    <row r="92" spans="2:12" x14ac:dyDescent="0.25">
      <c r="B92" s="27"/>
      <c r="C92" s="27"/>
      <c r="D92" s="27"/>
      <c r="E92" s="27"/>
      <c r="F92" s="27"/>
      <c r="G92" s="166" t="e">
        <f>G72-G83</f>
        <v>#REF!</v>
      </c>
      <c r="H92" s="27"/>
      <c r="I92" s="27"/>
      <c r="J92" s="27"/>
      <c r="K92" s="27"/>
      <c r="L92" s="27"/>
    </row>
    <row r="93" spans="2:12" ht="15.75" thickBot="1" x14ac:dyDescent="0.3">
      <c r="B93" s="27"/>
      <c r="C93" s="27"/>
      <c r="D93" s="27"/>
      <c r="E93" s="27"/>
      <c r="F93" s="27"/>
      <c r="G93" s="27" t="s">
        <v>133</v>
      </c>
      <c r="H93" s="27"/>
      <c r="I93" s="27"/>
      <c r="J93" s="128" t="e">
        <f>G83+G86</f>
        <v>#REF!</v>
      </c>
      <c r="K93" s="178" t="s">
        <v>127</v>
      </c>
      <c r="L93" s="27"/>
    </row>
    <row r="94" spans="2:12" ht="15.75" thickTop="1" x14ac:dyDescent="0.25">
      <c r="B94" s="27"/>
      <c r="C94" s="27"/>
      <c r="D94" s="27"/>
      <c r="E94" s="27"/>
      <c r="F94" s="27"/>
      <c r="G94" s="27"/>
      <c r="H94" s="27"/>
      <c r="I94" s="27"/>
      <c r="J94" s="166"/>
      <c r="K94" s="27"/>
      <c r="L94" s="27"/>
    </row>
    <row r="95" spans="2:12" ht="15.75" thickBot="1" x14ac:dyDescent="0.3">
      <c r="B95" s="27"/>
      <c r="C95" s="27"/>
      <c r="D95" s="27"/>
      <c r="E95" s="27"/>
      <c r="F95" s="27"/>
      <c r="G95" s="27"/>
      <c r="H95" s="27"/>
      <c r="I95" s="27"/>
      <c r="J95" s="128" t="e">
        <f>G87+G89+G90</f>
        <v>#REF!</v>
      </c>
      <c r="K95" s="178" t="s">
        <v>130</v>
      </c>
      <c r="L95" s="27"/>
    </row>
    <row r="96" spans="2:12" ht="15.75" thickTop="1" x14ac:dyDescent="0.25"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</row>
    <row r="97" spans="2:12" x14ac:dyDescent="0.25">
      <c r="B97" s="129"/>
      <c r="C97" s="129"/>
      <c r="D97" s="129"/>
      <c r="E97" s="129"/>
      <c r="F97" s="129"/>
      <c r="G97" s="129"/>
      <c r="H97" s="129"/>
      <c r="I97" s="129"/>
      <c r="J97" s="129"/>
      <c r="K97" s="27"/>
      <c r="L97" s="27"/>
    </row>
    <row r="98" spans="2:12" x14ac:dyDescent="0.25">
      <c r="B98" s="27"/>
      <c r="C98" s="27"/>
      <c r="D98" s="27"/>
      <c r="E98" s="27"/>
      <c r="F98" s="27"/>
      <c r="G98" s="27"/>
      <c r="H98" s="27"/>
      <c r="I98" s="27"/>
      <c r="J98" s="75"/>
      <c r="K98" s="27"/>
      <c r="L98" s="27"/>
    </row>
    <row r="99" spans="2:12" x14ac:dyDescent="0.25">
      <c r="B99" s="406" t="s">
        <v>334</v>
      </c>
      <c r="C99" s="406"/>
      <c r="D99" s="406"/>
      <c r="E99" s="406"/>
      <c r="F99" s="406"/>
      <c r="G99" s="406"/>
      <c r="H99" s="406"/>
      <c r="I99" s="406"/>
      <c r="J99" s="75"/>
      <c r="K99" s="27"/>
      <c r="L99" s="27"/>
    </row>
    <row r="100" spans="2:12" ht="15.75" thickBot="1" x14ac:dyDescent="0.3">
      <c r="B100" s="406" t="s">
        <v>330</v>
      </c>
      <c r="C100" s="406"/>
      <c r="D100" s="406"/>
      <c r="E100" s="406"/>
      <c r="F100" s="406"/>
      <c r="G100" s="406"/>
      <c r="H100" s="406"/>
      <c r="I100" s="406"/>
      <c r="J100" s="78"/>
      <c r="K100" s="27"/>
      <c r="L100" s="27"/>
    </row>
    <row r="101" spans="2:12" x14ac:dyDescent="0.25">
      <c r="B101" s="407" t="s">
        <v>2</v>
      </c>
      <c r="C101" s="409" t="s">
        <v>3</v>
      </c>
      <c r="D101" s="411" t="s">
        <v>4</v>
      </c>
      <c r="E101" s="413" t="s">
        <v>5</v>
      </c>
      <c r="F101" s="414"/>
      <c r="G101" s="415"/>
      <c r="H101" s="413" t="s">
        <v>6</v>
      </c>
      <c r="I101" s="415"/>
      <c r="J101" s="416" t="s">
        <v>0</v>
      </c>
      <c r="K101" s="27"/>
      <c r="L101" s="27"/>
    </row>
    <row r="102" spans="2:12" ht="15.75" thickBot="1" x14ac:dyDescent="0.3">
      <c r="B102" s="408"/>
      <c r="C102" s="410"/>
      <c r="D102" s="412"/>
      <c r="E102" s="145" t="str">
        <f>E6</f>
        <v>PENJ. S/D TGL. 29</v>
      </c>
      <c r="F102" s="146" t="str">
        <f>F6</f>
        <v>PENJ. TGL. 30 &amp; 31</v>
      </c>
      <c r="G102" s="130" t="s">
        <v>7</v>
      </c>
      <c r="H102" s="131" t="s">
        <v>8</v>
      </c>
      <c r="I102" s="130" t="s">
        <v>9</v>
      </c>
      <c r="J102" s="417"/>
      <c r="K102" s="27"/>
      <c r="L102" s="27"/>
    </row>
    <row r="103" spans="2:12" ht="15.75" thickTop="1" x14ac:dyDescent="0.25">
      <c r="B103" s="132"/>
      <c r="C103" s="133" t="s">
        <v>11</v>
      </c>
      <c r="D103" s="82"/>
      <c r="E103" s="42"/>
      <c r="F103" s="42"/>
      <c r="G103" s="41"/>
      <c r="H103" s="42"/>
      <c r="I103" s="42"/>
      <c r="J103" s="83"/>
      <c r="K103" s="27"/>
      <c r="L103" s="27"/>
    </row>
    <row r="104" spans="2:12" x14ac:dyDescent="0.25">
      <c r="B104" s="43" t="s">
        <v>12</v>
      </c>
      <c r="C104" s="44" t="s">
        <v>13</v>
      </c>
      <c r="D104" s="134">
        <v>13500000</v>
      </c>
      <c r="E104" s="45"/>
      <c r="F104" s="45"/>
      <c r="G104" s="59"/>
      <c r="H104" s="45"/>
      <c r="I104" s="45"/>
      <c r="J104" s="84"/>
      <c r="K104" s="27"/>
      <c r="L104" s="27"/>
    </row>
    <row r="105" spans="2:12" x14ac:dyDescent="0.25">
      <c r="B105" s="46"/>
      <c r="C105" s="47" t="s">
        <v>36</v>
      </c>
      <c r="D105" s="85">
        <v>0</v>
      </c>
      <c r="E105" s="48">
        <v>9017000</v>
      </c>
      <c r="F105" s="61">
        <f>100000+100000+100000+120000+5000+100000+60000+80000</f>
        <v>665000</v>
      </c>
      <c r="G105" s="61">
        <f>E105+F105</f>
        <v>9682000</v>
      </c>
      <c r="H105" s="85">
        <f>G105-D105</f>
        <v>9682000</v>
      </c>
      <c r="I105" s="86" t="e">
        <f>G105/D105%</f>
        <v>#DIV/0!</v>
      </c>
      <c r="J105" s="87"/>
      <c r="K105" s="27"/>
      <c r="L105" s="27"/>
    </row>
    <row r="106" spans="2:12" x14ac:dyDescent="0.25">
      <c r="B106" s="46"/>
      <c r="C106" s="47" t="s">
        <v>37</v>
      </c>
      <c r="D106" s="85">
        <v>0</v>
      </c>
      <c r="E106" s="48">
        <v>297500</v>
      </c>
      <c r="F106" s="61">
        <f>30000</f>
        <v>30000</v>
      </c>
      <c r="G106" s="61">
        <f t="shared" ref="G106:G124" si="10">E106+F106</f>
        <v>327500</v>
      </c>
      <c r="H106" s="85">
        <f>G106-D106</f>
        <v>327500</v>
      </c>
      <c r="I106" s="86" t="e">
        <f>G106/D106%</f>
        <v>#DIV/0!</v>
      </c>
      <c r="J106" s="87"/>
      <c r="K106" s="27"/>
      <c r="L106" s="27"/>
    </row>
    <row r="107" spans="2:12" x14ac:dyDescent="0.25">
      <c r="B107" s="46"/>
      <c r="C107" s="47" t="s">
        <v>52</v>
      </c>
      <c r="D107" s="85">
        <v>0</v>
      </c>
      <c r="E107" s="48">
        <v>0</v>
      </c>
      <c r="F107" s="61">
        <v>0</v>
      </c>
      <c r="G107" s="61">
        <f t="shared" si="10"/>
        <v>0</v>
      </c>
      <c r="H107" s="85"/>
      <c r="I107" s="86"/>
      <c r="J107" s="87"/>
      <c r="K107" s="27"/>
      <c r="L107" s="27"/>
    </row>
    <row r="108" spans="2:12" x14ac:dyDescent="0.25">
      <c r="B108" s="46"/>
      <c r="C108" s="47" t="s">
        <v>53</v>
      </c>
      <c r="D108" s="85">
        <v>0</v>
      </c>
      <c r="E108" s="48">
        <v>1435000</v>
      </c>
      <c r="F108" s="61">
        <f>50000+50000+50000+50000</f>
        <v>200000</v>
      </c>
      <c r="G108" s="61">
        <f t="shared" si="10"/>
        <v>1635000</v>
      </c>
      <c r="H108" s="85">
        <f t="shared" ref="H108:H124" si="11">G108-D108</f>
        <v>1635000</v>
      </c>
      <c r="I108" s="86" t="e">
        <f t="shared" ref="I108:I123" si="12">G108/D108%</f>
        <v>#DIV/0!</v>
      </c>
      <c r="J108" s="87"/>
      <c r="K108" s="27"/>
      <c r="L108" s="27"/>
    </row>
    <row r="109" spans="2:12" x14ac:dyDescent="0.25">
      <c r="B109" s="46"/>
      <c r="C109" s="47" t="s">
        <v>54</v>
      </c>
      <c r="D109" s="85"/>
      <c r="E109" s="48">
        <v>359000</v>
      </c>
      <c r="F109" s="61">
        <f>50000</f>
        <v>50000</v>
      </c>
      <c r="G109" s="61">
        <f t="shared" si="10"/>
        <v>409000</v>
      </c>
      <c r="H109" s="85">
        <f t="shared" si="11"/>
        <v>409000</v>
      </c>
      <c r="I109" s="86" t="e">
        <f t="shared" si="12"/>
        <v>#DIV/0!</v>
      </c>
      <c r="J109" s="88"/>
      <c r="K109" s="27"/>
      <c r="L109" s="27"/>
    </row>
    <row r="110" spans="2:12" x14ac:dyDescent="0.25">
      <c r="B110" s="46"/>
      <c r="C110" s="47" t="s">
        <v>55</v>
      </c>
      <c r="D110" s="85">
        <v>0</v>
      </c>
      <c r="E110" s="48">
        <v>296000</v>
      </c>
      <c r="F110" s="61">
        <f>100000</f>
        <v>100000</v>
      </c>
      <c r="G110" s="61">
        <f t="shared" si="10"/>
        <v>396000</v>
      </c>
      <c r="H110" s="85">
        <f t="shared" si="11"/>
        <v>396000</v>
      </c>
      <c r="I110" s="86" t="e">
        <f t="shared" si="12"/>
        <v>#DIV/0!</v>
      </c>
      <c r="J110" s="88"/>
      <c r="K110" s="27"/>
      <c r="L110" s="27"/>
    </row>
    <row r="111" spans="2:12" x14ac:dyDescent="0.25">
      <c r="B111" s="46"/>
      <c r="C111" s="47" t="s">
        <v>56</v>
      </c>
      <c r="D111" s="85">
        <v>0</v>
      </c>
      <c r="E111" s="48">
        <v>0</v>
      </c>
      <c r="F111" s="61">
        <v>0</v>
      </c>
      <c r="G111" s="61">
        <f t="shared" si="10"/>
        <v>0</v>
      </c>
      <c r="H111" s="85">
        <f t="shared" si="11"/>
        <v>0</v>
      </c>
      <c r="I111" s="86" t="e">
        <f t="shared" si="12"/>
        <v>#DIV/0!</v>
      </c>
      <c r="J111" s="87"/>
      <c r="K111" s="27"/>
      <c r="L111" s="27"/>
    </row>
    <row r="112" spans="2:12" x14ac:dyDescent="0.25">
      <c r="B112" s="46"/>
      <c r="C112" s="47" t="s">
        <v>57</v>
      </c>
      <c r="D112" s="85">
        <v>0</v>
      </c>
      <c r="E112" s="48">
        <v>2084000</v>
      </c>
      <c r="F112" s="61">
        <f>50000+100000</f>
        <v>150000</v>
      </c>
      <c r="G112" s="61">
        <f t="shared" si="10"/>
        <v>2234000</v>
      </c>
      <c r="H112" s="85">
        <f t="shared" si="11"/>
        <v>2234000</v>
      </c>
      <c r="I112" s="86" t="e">
        <f t="shared" si="12"/>
        <v>#DIV/0!</v>
      </c>
      <c r="J112" s="87"/>
      <c r="K112" s="27"/>
      <c r="L112" s="27"/>
    </row>
    <row r="113" spans="2:12" x14ac:dyDescent="0.25">
      <c r="B113" s="46"/>
      <c r="C113" s="47" t="s">
        <v>58</v>
      </c>
      <c r="D113" s="85">
        <v>0</v>
      </c>
      <c r="E113" s="48">
        <v>686000</v>
      </c>
      <c r="F113" s="61">
        <v>0</v>
      </c>
      <c r="G113" s="61">
        <f t="shared" si="10"/>
        <v>686000</v>
      </c>
      <c r="H113" s="85">
        <f t="shared" si="11"/>
        <v>686000</v>
      </c>
      <c r="I113" s="86" t="e">
        <f t="shared" si="12"/>
        <v>#DIV/0!</v>
      </c>
      <c r="J113" s="87"/>
      <c r="K113" s="27"/>
      <c r="L113" s="27"/>
    </row>
    <row r="114" spans="2:12" x14ac:dyDescent="0.25">
      <c r="B114" s="46"/>
      <c r="C114" s="47" t="s">
        <v>59</v>
      </c>
      <c r="D114" s="85">
        <v>0</v>
      </c>
      <c r="E114" s="48">
        <v>10000</v>
      </c>
      <c r="F114" s="61">
        <f>50000</f>
        <v>50000</v>
      </c>
      <c r="G114" s="61">
        <f t="shared" si="10"/>
        <v>60000</v>
      </c>
      <c r="H114" s="85">
        <f t="shared" si="11"/>
        <v>60000</v>
      </c>
      <c r="I114" s="86" t="e">
        <f t="shared" si="12"/>
        <v>#DIV/0!</v>
      </c>
      <c r="J114" s="87"/>
      <c r="K114" s="27"/>
      <c r="L114" s="27"/>
    </row>
    <row r="115" spans="2:12" x14ac:dyDescent="0.25">
      <c r="B115" s="46"/>
      <c r="C115" s="47" t="s">
        <v>60</v>
      </c>
      <c r="D115" s="85">
        <v>0</v>
      </c>
      <c r="E115" s="48">
        <v>0</v>
      </c>
      <c r="F115" s="61">
        <v>0</v>
      </c>
      <c r="G115" s="61">
        <f t="shared" si="10"/>
        <v>0</v>
      </c>
      <c r="H115" s="85">
        <f t="shared" si="11"/>
        <v>0</v>
      </c>
      <c r="I115" s="86" t="e">
        <f t="shared" si="12"/>
        <v>#DIV/0!</v>
      </c>
      <c r="J115" s="87"/>
      <c r="K115" s="27"/>
      <c r="L115" s="27"/>
    </row>
    <row r="116" spans="2:12" x14ac:dyDescent="0.25">
      <c r="B116" s="46"/>
      <c r="C116" s="47" t="s">
        <v>61</v>
      </c>
      <c r="D116" s="85">
        <v>0</v>
      </c>
      <c r="E116" s="48">
        <v>0</v>
      </c>
      <c r="F116" s="61">
        <v>0</v>
      </c>
      <c r="G116" s="61">
        <f t="shared" si="10"/>
        <v>0</v>
      </c>
      <c r="H116" s="85">
        <f t="shared" si="11"/>
        <v>0</v>
      </c>
      <c r="I116" s="86" t="e">
        <f t="shared" si="12"/>
        <v>#DIV/0!</v>
      </c>
      <c r="J116" s="87"/>
      <c r="K116" s="27"/>
      <c r="L116" s="27"/>
    </row>
    <row r="117" spans="2:12" x14ac:dyDescent="0.25">
      <c r="B117" s="46"/>
      <c r="C117" s="47" t="s">
        <v>324</v>
      </c>
      <c r="D117" s="85">
        <v>0</v>
      </c>
      <c r="E117" s="48">
        <v>0</v>
      </c>
      <c r="F117" s="61">
        <v>0</v>
      </c>
      <c r="G117" s="61">
        <f t="shared" si="10"/>
        <v>0</v>
      </c>
      <c r="H117" s="85">
        <f t="shared" si="11"/>
        <v>0</v>
      </c>
      <c r="I117" s="86" t="e">
        <f t="shared" si="12"/>
        <v>#DIV/0!</v>
      </c>
      <c r="J117" s="87"/>
      <c r="K117" s="27"/>
      <c r="L117" s="27"/>
    </row>
    <row r="118" spans="2:12" x14ac:dyDescent="0.25">
      <c r="B118" s="46"/>
      <c r="C118" s="47" t="s">
        <v>63</v>
      </c>
      <c r="D118" s="85">
        <v>0</v>
      </c>
      <c r="E118" s="48">
        <v>150000</v>
      </c>
      <c r="F118" s="61">
        <v>0</v>
      </c>
      <c r="G118" s="61">
        <f t="shared" si="10"/>
        <v>150000</v>
      </c>
      <c r="H118" s="85">
        <f t="shared" si="11"/>
        <v>150000</v>
      </c>
      <c r="I118" s="86" t="e">
        <f t="shared" si="12"/>
        <v>#DIV/0!</v>
      </c>
      <c r="J118" s="87"/>
      <c r="K118" s="27"/>
      <c r="L118" s="27"/>
    </row>
    <row r="119" spans="2:12" x14ac:dyDescent="0.25">
      <c r="B119" s="46"/>
      <c r="C119" s="47" t="s">
        <v>64</v>
      </c>
      <c r="D119" s="85">
        <v>0</v>
      </c>
      <c r="E119" s="48">
        <v>0</v>
      </c>
      <c r="F119" s="61">
        <v>0</v>
      </c>
      <c r="G119" s="61">
        <f t="shared" si="10"/>
        <v>0</v>
      </c>
      <c r="H119" s="85">
        <f t="shared" si="11"/>
        <v>0</v>
      </c>
      <c r="I119" s="86" t="e">
        <f t="shared" si="12"/>
        <v>#DIV/0!</v>
      </c>
      <c r="J119" s="87"/>
      <c r="K119" s="27"/>
      <c r="L119" s="27"/>
    </row>
    <row r="120" spans="2:12" x14ac:dyDescent="0.25">
      <c r="B120" s="46"/>
      <c r="C120" s="47" t="s">
        <v>65</v>
      </c>
      <c r="D120" s="85">
        <v>0</v>
      </c>
      <c r="E120" s="48">
        <v>500000</v>
      </c>
      <c r="F120" s="61">
        <v>0</v>
      </c>
      <c r="G120" s="61">
        <f t="shared" si="10"/>
        <v>500000</v>
      </c>
      <c r="H120" s="85">
        <f t="shared" si="11"/>
        <v>500000</v>
      </c>
      <c r="I120" s="86" t="e">
        <f t="shared" si="12"/>
        <v>#DIV/0!</v>
      </c>
      <c r="J120" s="87"/>
      <c r="K120" s="27"/>
      <c r="L120" s="27"/>
    </row>
    <row r="121" spans="2:12" x14ac:dyDescent="0.25">
      <c r="B121" s="46"/>
      <c r="C121" s="47" t="s">
        <v>66</v>
      </c>
      <c r="D121" s="85">
        <v>0</v>
      </c>
      <c r="E121" s="48">
        <v>310000</v>
      </c>
      <c r="F121" s="61">
        <v>0</v>
      </c>
      <c r="G121" s="61">
        <f t="shared" si="10"/>
        <v>310000</v>
      </c>
      <c r="H121" s="85">
        <f t="shared" si="11"/>
        <v>310000</v>
      </c>
      <c r="I121" s="86" t="e">
        <f t="shared" si="12"/>
        <v>#DIV/0!</v>
      </c>
      <c r="J121" s="87"/>
      <c r="K121" s="27"/>
      <c r="L121" s="27"/>
    </row>
    <row r="122" spans="2:12" x14ac:dyDescent="0.25">
      <c r="B122" s="46"/>
      <c r="C122" s="47" t="s">
        <v>67</v>
      </c>
      <c r="D122" s="85">
        <v>0</v>
      </c>
      <c r="E122" s="48">
        <v>130000</v>
      </c>
      <c r="F122" s="61">
        <v>0</v>
      </c>
      <c r="G122" s="61">
        <f t="shared" si="10"/>
        <v>130000</v>
      </c>
      <c r="H122" s="85">
        <f t="shared" si="11"/>
        <v>130000</v>
      </c>
      <c r="I122" s="86" t="e">
        <f t="shared" si="12"/>
        <v>#DIV/0!</v>
      </c>
      <c r="J122" s="87"/>
      <c r="K122" s="27"/>
      <c r="L122" s="27"/>
    </row>
    <row r="123" spans="2:12" x14ac:dyDescent="0.25">
      <c r="B123" s="46"/>
      <c r="C123" s="47" t="s">
        <v>68</v>
      </c>
      <c r="D123" s="85">
        <v>0</v>
      </c>
      <c r="E123" s="48">
        <v>0</v>
      </c>
      <c r="F123" s="61">
        <v>0</v>
      </c>
      <c r="G123" s="61">
        <f t="shared" si="10"/>
        <v>0</v>
      </c>
      <c r="H123" s="85">
        <f t="shared" si="11"/>
        <v>0</v>
      </c>
      <c r="I123" s="86" t="e">
        <f t="shared" si="12"/>
        <v>#DIV/0!</v>
      </c>
      <c r="J123" s="87"/>
      <c r="K123" s="27"/>
      <c r="L123" s="27"/>
    </row>
    <row r="124" spans="2:12" x14ac:dyDescent="0.25">
      <c r="B124" s="46"/>
      <c r="C124" s="47" t="s">
        <v>69</v>
      </c>
      <c r="D124" s="85">
        <v>0</v>
      </c>
      <c r="E124" s="48">
        <v>0</v>
      </c>
      <c r="F124" s="61">
        <v>0</v>
      </c>
      <c r="G124" s="61">
        <f t="shared" si="10"/>
        <v>0</v>
      </c>
      <c r="H124" s="85">
        <f t="shared" si="11"/>
        <v>0</v>
      </c>
      <c r="I124" s="86"/>
      <c r="J124" s="87"/>
      <c r="K124" s="27"/>
      <c r="L124" s="27"/>
    </row>
    <row r="125" spans="2:12" x14ac:dyDescent="0.25">
      <c r="B125" s="46"/>
      <c r="C125" s="47"/>
      <c r="D125" s="47"/>
      <c r="E125" s="61"/>
      <c r="F125" s="61"/>
      <c r="G125" s="61"/>
      <c r="H125" s="85"/>
      <c r="I125" s="86"/>
      <c r="J125" s="87"/>
      <c r="K125" s="27"/>
      <c r="L125" s="27"/>
    </row>
    <row r="126" spans="2:12" x14ac:dyDescent="0.25">
      <c r="B126" s="46"/>
      <c r="C126" s="60" t="s">
        <v>14</v>
      </c>
      <c r="D126" s="135">
        <f>D104</f>
        <v>13500000</v>
      </c>
      <c r="E126" s="89">
        <f>SUM(E105:E124)</f>
        <v>15274500</v>
      </c>
      <c r="F126" s="89">
        <f>SUM(F105:F124)</f>
        <v>1245000</v>
      </c>
      <c r="G126" s="89">
        <f>SUM(G105:G124)</f>
        <v>16519500</v>
      </c>
      <c r="H126" s="90">
        <f>SUM(H105:H118)</f>
        <v>15579500</v>
      </c>
      <c r="I126" s="91">
        <f>G126/D126%</f>
        <v>122.36666666666666</v>
      </c>
      <c r="J126" s="87"/>
      <c r="K126" s="27"/>
      <c r="L126" s="27"/>
    </row>
    <row r="127" spans="2:12" x14ac:dyDescent="0.25">
      <c r="B127" s="46"/>
      <c r="C127" s="47"/>
      <c r="D127" s="47"/>
      <c r="E127" s="61"/>
      <c r="F127" s="62"/>
      <c r="G127" s="61"/>
      <c r="H127" s="85"/>
      <c r="I127" s="85"/>
      <c r="J127" s="87"/>
      <c r="K127" s="27"/>
      <c r="L127" s="27"/>
    </row>
    <row r="128" spans="2:12" x14ac:dyDescent="0.25">
      <c r="B128" s="46" t="s">
        <v>15</v>
      </c>
      <c r="C128" s="60" t="s">
        <v>16</v>
      </c>
      <c r="D128" s="134">
        <v>4500000</v>
      </c>
      <c r="E128" s="61"/>
      <c r="F128" s="62"/>
      <c r="G128" s="61"/>
      <c r="H128" s="85"/>
      <c r="I128" s="85"/>
      <c r="J128" s="87"/>
      <c r="K128" s="27"/>
      <c r="L128" s="27"/>
    </row>
    <row r="129" spans="2:12" x14ac:dyDescent="0.25">
      <c r="B129" s="46"/>
      <c r="C129" s="47" t="s">
        <v>38</v>
      </c>
      <c r="D129" s="85">
        <v>0</v>
      </c>
      <c r="E129" s="48">
        <v>0</v>
      </c>
      <c r="F129" s="61">
        <v>0</v>
      </c>
      <c r="G129" s="61">
        <f t="shared" ref="G129:G145" si="13">E129+F129</f>
        <v>0</v>
      </c>
      <c r="H129" s="85">
        <f t="shared" ref="H129:H145" si="14">G129-D129</f>
        <v>0</v>
      </c>
      <c r="I129" s="86" t="e">
        <f t="shared" ref="I129:I145" si="15">G129/D129%</f>
        <v>#DIV/0!</v>
      </c>
      <c r="J129" s="87"/>
      <c r="K129" s="27"/>
      <c r="L129" s="27"/>
    </row>
    <row r="130" spans="2:12" x14ac:dyDescent="0.25">
      <c r="B130" s="46"/>
      <c r="C130" s="47" t="s">
        <v>39</v>
      </c>
      <c r="D130" s="85">
        <v>0</v>
      </c>
      <c r="E130" s="48">
        <v>374000</v>
      </c>
      <c r="F130" s="61">
        <f>20000</f>
        <v>20000</v>
      </c>
      <c r="G130" s="61">
        <f t="shared" si="13"/>
        <v>394000</v>
      </c>
      <c r="H130" s="85">
        <f t="shared" si="14"/>
        <v>394000</v>
      </c>
      <c r="I130" s="86" t="e">
        <f t="shared" si="15"/>
        <v>#DIV/0!</v>
      </c>
      <c r="J130" s="87"/>
      <c r="K130" s="27"/>
      <c r="L130" s="27"/>
    </row>
    <row r="131" spans="2:12" x14ac:dyDescent="0.25">
      <c r="B131" s="46"/>
      <c r="C131" s="47" t="s">
        <v>40</v>
      </c>
      <c r="D131" s="85">
        <v>0</v>
      </c>
      <c r="E131" s="48">
        <v>775000</v>
      </c>
      <c r="F131" s="61">
        <f>50000+50000</f>
        <v>100000</v>
      </c>
      <c r="G131" s="61">
        <f t="shared" si="13"/>
        <v>875000</v>
      </c>
      <c r="H131" s="85">
        <f t="shared" si="14"/>
        <v>875000</v>
      </c>
      <c r="I131" s="86" t="e">
        <f t="shared" si="15"/>
        <v>#DIV/0!</v>
      </c>
      <c r="J131" s="87"/>
      <c r="K131" s="27"/>
      <c r="L131" s="27"/>
    </row>
    <row r="132" spans="2:12" x14ac:dyDescent="0.25">
      <c r="B132" s="46"/>
      <c r="C132" s="47" t="s">
        <v>41</v>
      </c>
      <c r="D132" s="85">
        <v>0</v>
      </c>
      <c r="E132" s="48">
        <v>120000</v>
      </c>
      <c r="F132" s="61">
        <v>0</v>
      </c>
      <c r="G132" s="61">
        <f t="shared" si="13"/>
        <v>120000</v>
      </c>
      <c r="H132" s="85">
        <f t="shared" si="14"/>
        <v>120000</v>
      </c>
      <c r="I132" s="86" t="e">
        <f t="shared" si="15"/>
        <v>#DIV/0!</v>
      </c>
      <c r="J132" s="87"/>
      <c r="K132" s="27"/>
      <c r="L132" s="27"/>
    </row>
    <row r="133" spans="2:12" x14ac:dyDescent="0.25">
      <c r="B133" s="46"/>
      <c r="C133" s="47" t="s">
        <v>50</v>
      </c>
      <c r="D133" s="85">
        <v>0</v>
      </c>
      <c r="E133" s="48">
        <v>0</v>
      </c>
      <c r="F133" s="61">
        <v>0</v>
      </c>
      <c r="G133" s="61">
        <f t="shared" si="13"/>
        <v>0</v>
      </c>
      <c r="H133" s="85">
        <f t="shared" si="14"/>
        <v>0</v>
      </c>
      <c r="I133" s="86" t="e">
        <f t="shared" si="15"/>
        <v>#DIV/0!</v>
      </c>
      <c r="J133" s="87"/>
      <c r="K133" s="27"/>
      <c r="L133" s="27"/>
    </row>
    <row r="134" spans="2:12" x14ac:dyDescent="0.25">
      <c r="B134" s="46"/>
      <c r="C134" s="47" t="s">
        <v>51</v>
      </c>
      <c r="D134" s="85">
        <v>0</v>
      </c>
      <c r="E134" s="48">
        <v>0</v>
      </c>
      <c r="F134" s="61">
        <v>0</v>
      </c>
      <c r="G134" s="61">
        <f t="shared" si="13"/>
        <v>0</v>
      </c>
      <c r="H134" s="85">
        <f t="shared" si="14"/>
        <v>0</v>
      </c>
      <c r="I134" s="86" t="e">
        <f t="shared" si="15"/>
        <v>#DIV/0!</v>
      </c>
      <c r="J134" s="87"/>
      <c r="K134" s="27"/>
      <c r="L134" s="27"/>
    </row>
    <row r="135" spans="2:12" x14ac:dyDescent="0.25">
      <c r="B135" s="46"/>
      <c r="C135" s="47" t="s">
        <v>49</v>
      </c>
      <c r="D135" s="85">
        <v>0</v>
      </c>
      <c r="E135" s="48">
        <v>0</v>
      </c>
      <c r="F135" s="61">
        <v>0</v>
      </c>
      <c r="G135" s="61">
        <f t="shared" si="13"/>
        <v>0</v>
      </c>
      <c r="H135" s="85">
        <f t="shared" si="14"/>
        <v>0</v>
      </c>
      <c r="I135" s="86" t="e">
        <f t="shared" si="15"/>
        <v>#DIV/0!</v>
      </c>
      <c r="J135" s="87"/>
      <c r="K135" s="27"/>
      <c r="L135" s="27"/>
    </row>
    <row r="136" spans="2:12" x14ac:dyDescent="0.25">
      <c r="B136" s="46"/>
      <c r="C136" s="47" t="s">
        <v>79</v>
      </c>
      <c r="D136" s="85">
        <v>0</v>
      </c>
      <c r="E136" s="48">
        <v>10000</v>
      </c>
      <c r="F136" s="61">
        <v>0</v>
      </c>
      <c r="G136" s="61">
        <f t="shared" si="13"/>
        <v>10000</v>
      </c>
      <c r="H136" s="85">
        <f t="shared" si="14"/>
        <v>10000</v>
      </c>
      <c r="I136" s="86" t="e">
        <f t="shared" si="15"/>
        <v>#DIV/0!</v>
      </c>
      <c r="J136" s="87"/>
      <c r="K136" s="27"/>
      <c r="L136" s="27"/>
    </row>
    <row r="137" spans="2:12" x14ac:dyDescent="0.25">
      <c r="B137" s="46"/>
      <c r="C137" s="47" t="s">
        <v>71</v>
      </c>
      <c r="D137" s="85">
        <v>0</v>
      </c>
      <c r="E137" s="48">
        <v>1112000</v>
      </c>
      <c r="F137" s="61">
        <f>100000+50000</f>
        <v>150000</v>
      </c>
      <c r="G137" s="61">
        <f t="shared" si="13"/>
        <v>1262000</v>
      </c>
      <c r="H137" s="85">
        <f t="shared" si="14"/>
        <v>1262000</v>
      </c>
      <c r="I137" s="86" t="e">
        <f t="shared" si="15"/>
        <v>#DIV/0!</v>
      </c>
      <c r="J137" s="87"/>
      <c r="K137" s="27"/>
      <c r="L137" s="27"/>
    </row>
    <row r="138" spans="2:12" x14ac:dyDescent="0.25">
      <c r="B138" s="46"/>
      <c r="C138" s="47" t="s">
        <v>72</v>
      </c>
      <c r="D138" s="85">
        <v>0</v>
      </c>
      <c r="E138" s="48">
        <v>0</v>
      </c>
      <c r="F138" s="61">
        <v>0</v>
      </c>
      <c r="G138" s="61">
        <f t="shared" si="13"/>
        <v>0</v>
      </c>
      <c r="H138" s="85">
        <f t="shared" si="14"/>
        <v>0</v>
      </c>
      <c r="I138" s="86" t="e">
        <f t="shared" si="15"/>
        <v>#DIV/0!</v>
      </c>
      <c r="J138" s="87"/>
      <c r="K138" s="27"/>
      <c r="L138" s="27"/>
    </row>
    <row r="139" spans="2:12" x14ac:dyDescent="0.25">
      <c r="B139" s="46"/>
      <c r="C139" s="47" t="s">
        <v>70</v>
      </c>
      <c r="D139" s="85">
        <v>0</v>
      </c>
      <c r="E139" s="48">
        <v>0</v>
      </c>
      <c r="F139" s="61">
        <v>0</v>
      </c>
      <c r="G139" s="61">
        <f>E139+F139</f>
        <v>0</v>
      </c>
      <c r="H139" s="85">
        <f t="shared" si="14"/>
        <v>0</v>
      </c>
      <c r="I139" s="86" t="e">
        <f t="shared" si="15"/>
        <v>#DIV/0!</v>
      </c>
      <c r="J139" s="87"/>
      <c r="K139" s="27"/>
      <c r="L139" s="27"/>
    </row>
    <row r="140" spans="2:12" x14ac:dyDescent="0.25">
      <c r="B140" s="46"/>
      <c r="C140" s="47" t="s">
        <v>73</v>
      </c>
      <c r="D140" s="85">
        <v>0</v>
      </c>
      <c r="E140" s="48">
        <v>0</v>
      </c>
      <c r="F140" s="61">
        <v>0</v>
      </c>
      <c r="G140" s="61">
        <f t="shared" si="13"/>
        <v>0</v>
      </c>
      <c r="H140" s="85">
        <f t="shared" si="14"/>
        <v>0</v>
      </c>
      <c r="I140" s="86" t="e">
        <f t="shared" si="15"/>
        <v>#DIV/0!</v>
      </c>
      <c r="J140" s="87"/>
      <c r="K140" s="27"/>
      <c r="L140" s="27"/>
    </row>
    <row r="141" spans="2:12" x14ac:dyDescent="0.25">
      <c r="B141" s="46"/>
      <c r="C141" s="47" t="s">
        <v>74</v>
      </c>
      <c r="D141" s="85">
        <v>0</v>
      </c>
      <c r="E141" s="48">
        <v>0</v>
      </c>
      <c r="F141" s="61"/>
      <c r="G141" s="61">
        <f t="shared" si="13"/>
        <v>0</v>
      </c>
      <c r="H141" s="85">
        <f t="shared" si="14"/>
        <v>0</v>
      </c>
      <c r="I141" s="86" t="e">
        <f t="shared" si="15"/>
        <v>#DIV/0!</v>
      </c>
      <c r="J141" s="87"/>
      <c r="K141" s="27"/>
      <c r="L141" s="27"/>
    </row>
    <row r="142" spans="2:12" x14ac:dyDescent="0.25">
      <c r="B142" s="46"/>
      <c r="C142" s="47" t="s">
        <v>75</v>
      </c>
      <c r="D142" s="85">
        <v>0</v>
      </c>
      <c r="E142" s="48">
        <v>0</v>
      </c>
      <c r="F142" s="61">
        <v>0</v>
      </c>
      <c r="G142" s="61">
        <f t="shared" si="13"/>
        <v>0</v>
      </c>
      <c r="H142" s="85">
        <f t="shared" si="14"/>
        <v>0</v>
      </c>
      <c r="I142" s="86" t="e">
        <f t="shared" si="15"/>
        <v>#DIV/0!</v>
      </c>
      <c r="J142" s="87"/>
      <c r="K142" s="27"/>
      <c r="L142" s="27"/>
    </row>
    <row r="143" spans="2:12" x14ac:dyDescent="0.25">
      <c r="B143" s="46"/>
      <c r="C143" s="47" t="s">
        <v>76</v>
      </c>
      <c r="D143" s="85">
        <v>0</v>
      </c>
      <c r="E143" s="48">
        <v>0</v>
      </c>
      <c r="F143" s="61">
        <v>0</v>
      </c>
      <c r="G143" s="61">
        <f t="shared" si="13"/>
        <v>0</v>
      </c>
      <c r="H143" s="85">
        <f t="shared" si="14"/>
        <v>0</v>
      </c>
      <c r="I143" s="86" t="e">
        <f t="shared" si="15"/>
        <v>#DIV/0!</v>
      </c>
      <c r="J143" s="87"/>
      <c r="K143" s="27"/>
      <c r="L143" s="27"/>
    </row>
    <row r="144" spans="2:12" x14ac:dyDescent="0.25">
      <c r="B144" s="46"/>
      <c r="C144" s="47" t="s">
        <v>77</v>
      </c>
      <c r="D144" s="85">
        <v>0</v>
      </c>
      <c r="E144" s="48">
        <v>0</v>
      </c>
      <c r="F144" s="61">
        <v>0</v>
      </c>
      <c r="G144" s="61">
        <f t="shared" si="13"/>
        <v>0</v>
      </c>
      <c r="H144" s="85">
        <f t="shared" si="14"/>
        <v>0</v>
      </c>
      <c r="I144" s="86" t="e">
        <f t="shared" si="15"/>
        <v>#DIV/0!</v>
      </c>
      <c r="J144" s="87"/>
      <c r="K144" s="27"/>
      <c r="L144" s="27"/>
    </row>
    <row r="145" spans="2:12" x14ac:dyDescent="0.25">
      <c r="B145" s="46"/>
      <c r="C145" s="47" t="s">
        <v>323</v>
      </c>
      <c r="D145" s="85">
        <v>0</v>
      </c>
      <c r="E145" s="48">
        <v>0</v>
      </c>
      <c r="F145" s="61">
        <v>0</v>
      </c>
      <c r="G145" s="61">
        <f t="shared" si="13"/>
        <v>0</v>
      </c>
      <c r="H145" s="85">
        <f t="shared" si="14"/>
        <v>0</v>
      </c>
      <c r="I145" s="86" t="e">
        <f t="shared" si="15"/>
        <v>#DIV/0!</v>
      </c>
      <c r="J145" s="87"/>
      <c r="K145" s="27"/>
      <c r="L145" s="27"/>
    </row>
    <row r="146" spans="2:12" x14ac:dyDescent="0.25">
      <c r="B146" s="46"/>
      <c r="C146" s="47"/>
      <c r="D146" s="85"/>
      <c r="E146" s="61"/>
      <c r="F146" s="61"/>
      <c r="G146" s="61"/>
      <c r="H146" s="85"/>
      <c r="I146" s="85"/>
      <c r="J146" s="87"/>
      <c r="K146" s="27"/>
      <c r="L146" s="27"/>
    </row>
    <row r="147" spans="2:12" x14ac:dyDescent="0.25">
      <c r="B147" s="46"/>
      <c r="C147" s="60" t="s">
        <v>17</v>
      </c>
      <c r="D147" s="136">
        <f>D128</f>
        <v>4500000</v>
      </c>
      <c r="E147" s="89">
        <f>SUM(E129:E145)</f>
        <v>2391000</v>
      </c>
      <c r="F147" s="89">
        <f>SUM(F129:F145)</f>
        <v>270000</v>
      </c>
      <c r="G147" s="89">
        <f>SUM(G129:G145)</f>
        <v>2661000</v>
      </c>
      <c r="H147" s="90">
        <f>SUM(H129:H145)</f>
        <v>2661000</v>
      </c>
      <c r="I147" s="91">
        <f>G147/D147%</f>
        <v>59.133333333333333</v>
      </c>
      <c r="J147" s="87"/>
      <c r="K147" s="27"/>
      <c r="L147" s="27"/>
    </row>
    <row r="148" spans="2:12" x14ac:dyDescent="0.25">
      <c r="B148" s="46"/>
      <c r="C148" s="47"/>
      <c r="D148" s="47"/>
      <c r="E148" s="61"/>
      <c r="F148" s="62"/>
      <c r="G148" s="61"/>
      <c r="H148" s="85"/>
      <c r="I148" s="85"/>
      <c r="J148" s="87"/>
      <c r="K148" s="27"/>
      <c r="L148" s="27"/>
    </row>
    <row r="149" spans="2:12" x14ac:dyDescent="0.25">
      <c r="B149" s="46" t="s">
        <v>18</v>
      </c>
      <c r="C149" s="60" t="s">
        <v>19</v>
      </c>
      <c r="D149" s="134">
        <v>0</v>
      </c>
      <c r="E149" s="61"/>
      <c r="F149" s="62"/>
      <c r="G149" s="61"/>
      <c r="H149" s="85"/>
      <c r="I149" s="85"/>
      <c r="J149" s="87"/>
      <c r="K149" s="27"/>
      <c r="L149" s="27"/>
    </row>
    <row r="150" spans="2:12" x14ac:dyDescent="0.25">
      <c r="B150" s="46"/>
      <c r="C150" s="47" t="s">
        <v>42</v>
      </c>
      <c r="D150" s="85">
        <v>0</v>
      </c>
      <c r="E150" s="48">
        <v>0</v>
      </c>
      <c r="F150" s="61">
        <v>0</v>
      </c>
      <c r="G150" s="61">
        <f>E150+F150</f>
        <v>0</v>
      </c>
      <c r="H150" s="85">
        <f t="shared" ref="H150:H163" si="16">G150-D150</f>
        <v>0</v>
      </c>
      <c r="I150" s="86" t="e">
        <f t="shared" ref="I150:I163" si="17">G150/D150%</f>
        <v>#DIV/0!</v>
      </c>
      <c r="J150" s="87"/>
      <c r="K150" s="27"/>
      <c r="L150" s="27"/>
    </row>
    <row r="151" spans="2:12" x14ac:dyDescent="0.25">
      <c r="B151" s="46"/>
      <c r="C151" s="47" t="s">
        <v>43</v>
      </c>
      <c r="D151" s="85">
        <v>0</v>
      </c>
      <c r="E151" s="48">
        <v>0</v>
      </c>
      <c r="F151" s="61">
        <v>0</v>
      </c>
      <c r="G151" s="61">
        <f t="shared" ref="G151:G163" si="18">E151+F151</f>
        <v>0</v>
      </c>
      <c r="H151" s="85">
        <f t="shared" si="16"/>
        <v>0</v>
      </c>
      <c r="I151" s="86" t="e">
        <f t="shared" si="17"/>
        <v>#DIV/0!</v>
      </c>
      <c r="J151" s="87"/>
      <c r="K151" s="27"/>
      <c r="L151" s="27"/>
    </row>
    <row r="152" spans="2:12" x14ac:dyDescent="0.25">
      <c r="B152" s="46"/>
      <c r="C152" s="47" t="s">
        <v>44</v>
      </c>
      <c r="D152" s="85">
        <v>0</v>
      </c>
      <c r="E152" s="48">
        <v>0</v>
      </c>
      <c r="F152" s="61">
        <v>0</v>
      </c>
      <c r="G152" s="61">
        <f t="shared" si="18"/>
        <v>0</v>
      </c>
      <c r="H152" s="85">
        <f t="shared" si="16"/>
        <v>0</v>
      </c>
      <c r="I152" s="86" t="e">
        <f t="shared" si="17"/>
        <v>#DIV/0!</v>
      </c>
      <c r="J152" s="87"/>
      <c r="K152" s="27"/>
      <c r="L152" s="27"/>
    </row>
    <row r="153" spans="2:12" x14ac:dyDescent="0.25">
      <c r="B153" s="46"/>
      <c r="C153" s="47" t="s">
        <v>45</v>
      </c>
      <c r="D153" s="85">
        <v>0</v>
      </c>
      <c r="E153" s="48">
        <v>0</v>
      </c>
      <c r="F153" s="61">
        <v>0</v>
      </c>
      <c r="G153" s="61">
        <f t="shared" si="18"/>
        <v>0</v>
      </c>
      <c r="H153" s="85">
        <f t="shared" si="16"/>
        <v>0</v>
      </c>
      <c r="I153" s="86" t="e">
        <f t="shared" si="17"/>
        <v>#DIV/0!</v>
      </c>
      <c r="J153" s="87"/>
      <c r="K153" s="27"/>
      <c r="L153" s="27"/>
    </row>
    <row r="154" spans="2:12" x14ac:dyDescent="0.25">
      <c r="B154" s="46"/>
      <c r="C154" s="47" t="s">
        <v>46</v>
      </c>
      <c r="D154" s="85">
        <v>0</v>
      </c>
      <c r="E154" s="48">
        <v>0</v>
      </c>
      <c r="F154" s="92">
        <v>0</v>
      </c>
      <c r="G154" s="61">
        <f t="shared" si="18"/>
        <v>0</v>
      </c>
      <c r="H154" s="85">
        <f t="shared" si="16"/>
        <v>0</v>
      </c>
      <c r="I154" s="86" t="e">
        <f t="shared" si="17"/>
        <v>#DIV/0!</v>
      </c>
      <c r="J154" s="87"/>
      <c r="K154" s="27"/>
      <c r="L154" s="27"/>
    </row>
    <row r="155" spans="2:12" x14ac:dyDescent="0.25">
      <c r="B155" s="46"/>
      <c r="C155" s="47" t="s">
        <v>88</v>
      </c>
      <c r="D155" s="85">
        <v>0</v>
      </c>
      <c r="E155" s="48">
        <v>0</v>
      </c>
      <c r="F155" s="61">
        <v>0</v>
      </c>
      <c r="G155" s="61">
        <f t="shared" si="18"/>
        <v>0</v>
      </c>
      <c r="H155" s="85">
        <f t="shared" si="16"/>
        <v>0</v>
      </c>
      <c r="I155" s="86" t="e">
        <f t="shared" si="17"/>
        <v>#DIV/0!</v>
      </c>
      <c r="J155" s="87"/>
      <c r="K155" s="27"/>
      <c r="L155" s="27"/>
    </row>
    <row r="156" spans="2:12" x14ac:dyDescent="0.25">
      <c r="B156" s="46"/>
      <c r="C156" s="47" t="s">
        <v>80</v>
      </c>
      <c r="D156" s="85">
        <v>0</v>
      </c>
      <c r="E156" s="48">
        <v>0</v>
      </c>
      <c r="F156" s="61">
        <v>0</v>
      </c>
      <c r="G156" s="61">
        <f t="shared" si="18"/>
        <v>0</v>
      </c>
      <c r="H156" s="85">
        <f t="shared" si="16"/>
        <v>0</v>
      </c>
      <c r="I156" s="86" t="e">
        <f t="shared" si="17"/>
        <v>#DIV/0!</v>
      </c>
      <c r="J156" s="87"/>
      <c r="K156" s="27"/>
      <c r="L156" s="27"/>
    </row>
    <row r="157" spans="2:12" x14ac:dyDescent="0.25">
      <c r="B157" s="46"/>
      <c r="C157" s="47" t="s">
        <v>86</v>
      </c>
      <c r="D157" s="85">
        <v>0</v>
      </c>
      <c r="E157" s="48">
        <v>0</v>
      </c>
      <c r="F157" s="61">
        <v>0</v>
      </c>
      <c r="G157" s="61">
        <f t="shared" si="18"/>
        <v>0</v>
      </c>
      <c r="H157" s="85">
        <f t="shared" si="16"/>
        <v>0</v>
      </c>
      <c r="I157" s="86" t="e">
        <f t="shared" si="17"/>
        <v>#DIV/0!</v>
      </c>
      <c r="J157" s="87"/>
      <c r="K157" s="27"/>
      <c r="L157" s="27"/>
    </row>
    <row r="158" spans="2:12" x14ac:dyDescent="0.25">
      <c r="B158" s="46"/>
      <c r="C158" s="47" t="s">
        <v>87</v>
      </c>
      <c r="D158" s="85">
        <v>0</v>
      </c>
      <c r="E158" s="48">
        <v>816000</v>
      </c>
      <c r="F158" s="61">
        <v>0</v>
      </c>
      <c r="G158" s="61">
        <f t="shared" si="18"/>
        <v>816000</v>
      </c>
      <c r="H158" s="85">
        <f t="shared" si="16"/>
        <v>816000</v>
      </c>
      <c r="I158" s="86" t="e">
        <f t="shared" si="17"/>
        <v>#DIV/0!</v>
      </c>
      <c r="J158" s="87"/>
      <c r="K158" s="27"/>
      <c r="L158" s="27"/>
    </row>
    <row r="159" spans="2:12" x14ac:dyDescent="0.25">
      <c r="B159" s="46"/>
      <c r="C159" s="47" t="s">
        <v>81</v>
      </c>
      <c r="D159" s="85">
        <v>0</v>
      </c>
      <c r="E159" s="48">
        <v>0</v>
      </c>
      <c r="F159" s="61">
        <v>0</v>
      </c>
      <c r="G159" s="61">
        <f t="shared" si="18"/>
        <v>0</v>
      </c>
      <c r="H159" s="85">
        <f t="shared" si="16"/>
        <v>0</v>
      </c>
      <c r="I159" s="86" t="e">
        <f t="shared" si="17"/>
        <v>#DIV/0!</v>
      </c>
      <c r="J159" s="87"/>
      <c r="K159" s="27"/>
      <c r="L159" s="27"/>
    </row>
    <row r="160" spans="2:12" x14ac:dyDescent="0.25">
      <c r="B160" s="46"/>
      <c r="C160" s="47" t="s">
        <v>82</v>
      </c>
      <c r="D160" s="85">
        <v>0</v>
      </c>
      <c r="E160" s="48">
        <v>114285</v>
      </c>
      <c r="F160" s="61">
        <v>0</v>
      </c>
      <c r="G160" s="61">
        <f t="shared" si="18"/>
        <v>114285</v>
      </c>
      <c r="H160" s="85">
        <f t="shared" si="16"/>
        <v>114285</v>
      </c>
      <c r="I160" s="86" t="e">
        <f t="shared" si="17"/>
        <v>#DIV/0!</v>
      </c>
      <c r="J160" s="87"/>
      <c r="K160" s="27"/>
      <c r="L160" s="27"/>
    </row>
    <row r="161" spans="2:12" x14ac:dyDescent="0.25">
      <c r="B161" s="46"/>
      <c r="C161" s="47" t="s">
        <v>83</v>
      </c>
      <c r="D161" s="85">
        <v>0</v>
      </c>
      <c r="E161" s="48">
        <v>0</v>
      </c>
      <c r="F161" s="61">
        <v>0</v>
      </c>
      <c r="G161" s="61">
        <f t="shared" si="18"/>
        <v>0</v>
      </c>
      <c r="H161" s="85">
        <f t="shared" si="16"/>
        <v>0</v>
      </c>
      <c r="I161" s="86" t="e">
        <f t="shared" si="17"/>
        <v>#DIV/0!</v>
      </c>
      <c r="J161" s="87"/>
      <c r="K161" s="27"/>
      <c r="L161" s="27"/>
    </row>
    <row r="162" spans="2:12" x14ac:dyDescent="0.25">
      <c r="B162" s="46"/>
      <c r="C162" s="47" t="s">
        <v>84</v>
      </c>
      <c r="D162" s="85">
        <v>0</v>
      </c>
      <c r="E162" s="48">
        <v>0</v>
      </c>
      <c r="F162" s="61">
        <v>0</v>
      </c>
      <c r="G162" s="61">
        <f t="shared" si="18"/>
        <v>0</v>
      </c>
      <c r="H162" s="85">
        <f t="shared" si="16"/>
        <v>0</v>
      </c>
      <c r="I162" s="86" t="e">
        <f t="shared" si="17"/>
        <v>#DIV/0!</v>
      </c>
      <c r="J162" s="87"/>
      <c r="K162" s="27"/>
      <c r="L162" s="27"/>
    </row>
    <row r="163" spans="2:12" x14ac:dyDescent="0.25">
      <c r="B163" s="46"/>
      <c r="C163" s="47" t="s">
        <v>85</v>
      </c>
      <c r="D163" s="85">
        <v>0</v>
      </c>
      <c r="E163" s="48">
        <v>0</v>
      </c>
      <c r="F163" s="61">
        <v>0</v>
      </c>
      <c r="G163" s="61">
        <f t="shared" si="18"/>
        <v>0</v>
      </c>
      <c r="H163" s="85">
        <f t="shared" si="16"/>
        <v>0</v>
      </c>
      <c r="I163" s="86" t="e">
        <f t="shared" si="17"/>
        <v>#DIV/0!</v>
      </c>
      <c r="J163" s="87"/>
      <c r="K163" s="27"/>
      <c r="L163" s="27"/>
    </row>
    <row r="164" spans="2:12" x14ac:dyDescent="0.25">
      <c r="B164" s="46"/>
      <c r="C164" s="47"/>
      <c r="D164" s="85"/>
      <c r="E164" s="61"/>
      <c r="F164" s="61"/>
      <c r="G164" s="61"/>
      <c r="H164" s="85"/>
      <c r="I164" s="85"/>
      <c r="J164" s="87"/>
      <c r="K164" s="27"/>
      <c r="L164" s="27"/>
    </row>
    <row r="165" spans="2:12" x14ac:dyDescent="0.25">
      <c r="B165" s="46"/>
      <c r="C165" s="60" t="s">
        <v>20</v>
      </c>
      <c r="D165" s="136">
        <f>D149</f>
        <v>0</v>
      </c>
      <c r="E165" s="89">
        <f>SUM(E150:E163)</f>
        <v>930285</v>
      </c>
      <c r="F165" s="89">
        <f>SUM(F150:F163)</f>
        <v>0</v>
      </c>
      <c r="G165" s="89">
        <f>SUM(G150:G163)</f>
        <v>930285</v>
      </c>
      <c r="H165" s="90">
        <f>SUM(H150:H159)</f>
        <v>816000</v>
      </c>
      <c r="I165" s="91" t="e">
        <f>G165/D165%</f>
        <v>#DIV/0!</v>
      </c>
      <c r="J165" s="87"/>
      <c r="K165" s="27"/>
      <c r="L165" s="27"/>
    </row>
    <row r="166" spans="2:12" x14ac:dyDescent="0.25">
      <c r="B166" s="46"/>
      <c r="C166" s="47"/>
      <c r="D166" s="47"/>
      <c r="E166" s="61"/>
      <c r="F166" s="62"/>
      <c r="G166" s="61"/>
      <c r="H166" s="85"/>
      <c r="I166" s="85"/>
      <c r="J166" s="87"/>
      <c r="K166" s="27"/>
      <c r="L166" s="27"/>
    </row>
    <row r="167" spans="2:12" ht="15.75" thickBot="1" x14ac:dyDescent="0.3">
      <c r="B167" s="114"/>
      <c r="C167" s="115" t="s">
        <v>21</v>
      </c>
      <c r="D167" s="137">
        <f>D126+D147+D165</f>
        <v>18000000</v>
      </c>
      <c r="E167" s="138">
        <f>E126+E147+E165</f>
        <v>18595785</v>
      </c>
      <c r="F167" s="139">
        <f>F126+F147+F165</f>
        <v>1515000</v>
      </c>
      <c r="G167" s="138">
        <f>G126+G147+G165</f>
        <v>20110785</v>
      </c>
      <c r="H167" s="140">
        <f>H126+H147+H165</f>
        <v>19056500</v>
      </c>
      <c r="I167" s="141">
        <f>G167/D167%</f>
        <v>111.72658333333334</v>
      </c>
      <c r="J167" s="142"/>
      <c r="K167" s="27"/>
      <c r="L167" s="27"/>
    </row>
    <row r="168" spans="2:12" x14ac:dyDescent="0.25">
      <c r="B168" s="75"/>
      <c r="C168" s="75"/>
      <c r="D168" s="75"/>
      <c r="E168" s="75"/>
      <c r="F168" s="75"/>
      <c r="G168" s="76"/>
      <c r="H168" s="75"/>
      <c r="I168" s="75"/>
      <c r="J168" s="75"/>
      <c r="K168" s="27"/>
      <c r="L168" s="27"/>
    </row>
    <row r="169" spans="2:12" x14ac:dyDescent="0.25">
      <c r="B169" s="75"/>
      <c r="C169" s="75"/>
      <c r="D169" s="75"/>
      <c r="E169" s="75"/>
      <c r="F169" s="75"/>
      <c r="G169" s="76"/>
      <c r="H169" s="75"/>
      <c r="I169" s="75"/>
      <c r="J169" s="75"/>
      <c r="K169" s="27"/>
      <c r="L169" s="27"/>
    </row>
    <row r="170" spans="2:12" x14ac:dyDescent="0.25">
      <c r="B170" s="75"/>
      <c r="C170" s="75"/>
      <c r="D170" s="75"/>
      <c r="E170" s="122" t="s">
        <v>25</v>
      </c>
      <c r="F170" s="123" t="s">
        <v>26</v>
      </c>
      <c r="G170" s="124" t="e">
        <f>#REF!</f>
        <v>#REF!</v>
      </c>
      <c r="H170" s="75"/>
      <c r="I170" s="75"/>
      <c r="J170" s="75"/>
      <c r="K170" s="27"/>
      <c r="L170" s="27"/>
    </row>
    <row r="171" spans="2:12" ht="19.5" x14ac:dyDescent="0.55000000000000004">
      <c r="B171" s="75"/>
      <c r="C171" s="75"/>
      <c r="D171" s="75"/>
      <c r="E171" s="122" t="s">
        <v>29</v>
      </c>
      <c r="F171" s="123" t="s">
        <v>26</v>
      </c>
      <c r="G171" s="126">
        <v>0</v>
      </c>
      <c r="H171" s="75" t="s">
        <v>28</v>
      </c>
      <c r="I171" s="75"/>
      <c r="J171" s="75"/>
      <c r="K171" s="27"/>
      <c r="L171" s="27"/>
    </row>
    <row r="172" spans="2:12" ht="15.75" thickBot="1" x14ac:dyDescent="0.3">
      <c r="B172" s="75"/>
      <c r="C172" s="75"/>
      <c r="D172" s="75"/>
      <c r="E172" s="122" t="s">
        <v>30</v>
      </c>
      <c r="F172" s="123"/>
      <c r="G172" s="127" t="e">
        <f>SUM(G170:G171)</f>
        <v>#REF!</v>
      </c>
      <c r="H172" s="160" t="s">
        <v>126</v>
      </c>
      <c r="I172" s="27"/>
      <c r="J172" s="75"/>
      <c r="K172" s="27"/>
      <c r="L172" s="27"/>
    </row>
    <row r="173" spans="2:12" ht="15.75" thickTop="1" x14ac:dyDescent="0.25">
      <c r="B173" s="27"/>
      <c r="C173" s="27"/>
      <c r="D173" s="27"/>
      <c r="E173" s="27"/>
      <c r="F173" s="27"/>
      <c r="G173" s="27"/>
      <c r="H173" s="403" t="str">
        <f>H91</f>
        <v>Jalang'E, 01 April 2019</v>
      </c>
      <c r="I173" s="403"/>
      <c r="J173" s="27"/>
      <c r="K173" s="27"/>
      <c r="L173" s="27"/>
    </row>
    <row r="175" spans="2:12" x14ac:dyDescent="0.25">
      <c r="G175" s="166" t="e">
        <f>G167-G172</f>
        <v>#REF!</v>
      </c>
    </row>
  </sheetData>
  <mergeCells count="19">
    <mergeCell ref="B2:I2"/>
    <mergeCell ref="B3:I3"/>
    <mergeCell ref="B4:I4"/>
    <mergeCell ref="B5:B6"/>
    <mergeCell ref="C5:C6"/>
    <mergeCell ref="D5:D6"/>
    <mergeCell ref="E5:G5"/>
    <mergeCell ref="H5:I5"/>
    <mergeCell ref="H173:I173"/>
    <mergeCell ref="J5:J6"/>
    <mergeCell ref="H91:I91"/>
    <mergeCell ref="B99:I99"/>
    <mergeCell ref="B100:I100"/>
    <mergeCell ref="B101:B102"/>
    <mergeCell ref="C101:C102"/>
    <mergeCell ref="D101:D102"/>
    <mergeCell ref="E101:G101"/>
    <mergeCell ref="H101:I101"/>
    <mergeCell ref="J101:J102"/>
  </mergeCells>
  <pageMargins left="1.06" right="0.12" top="0.17" bottom="0.22" header="0.3" footer="0.2"/>
  <pageSetup paperSize="9" scale="61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K174"/>
  <sheetViews>
    <sheetView zoomScale="90" zoomScaleNormal="90" workbookViewId="0">
      <pane ySplit="5" topLeftCell="A69" activePane="bottomLeft" state="frozen"/>
      <selection pane="bottomLeft" activeCell="G24" sqref="G24"/>
    </sheetView>
  </sheetViews>
  <sheetFormatPr defaultRowHeight="15" x14ac:dyDescent="0.25"/>
  <cols>
    <col min="2" max="2" width="3.85546875" customWidth="1"/>
    <col min="3" max="3" width="27.28515625" customWidth="1"/>
    <col min="4" max="4" width="18.7109375" customWidth="1"/>
    <col min="5" max="5" width="18.5703125" customWidth="1"/>
    <col min="6" max="6" width="17.85546875" customWidth="1"/>
    <col min="7" max="7" width="18.7109375" customWidth="1"/>
    <col min="8" max="8" width="18.5703125" customWidth="1"/>
    <col min="9" max="9" width="18.28515625" customWidth="1"/>
    <col min="10" max="10" width="18" customWidth="1"/>
  </cols>
  <sheetData>
    <row r="1" spans="2:11" x14ac:dyDescent="0.25">
      <c r="B1" s="392" t="s">
        <v>332</v>
      </c>
      <c r="C1" s="392"/>
      <c r="D1" s="392"/>
      <c r="E1" s="392"/>
      <c r="F1" s="392"/>
      <c r="G1" s="392"/>
      <c r="H1" s="392"/>
      <c r="I1" s="392"/>
      <c r="J1" s="75"/>
      <c r="K1" s="27"/>
    </row>
    <row r="2" spans="2:11" x14ac:dyDescent="0.25">
      <c r="B2" s="392" t="s">
        <v>338</v>
      </c>
      <c r="C2" s="392"/>
      <c r="D2" s="392"/>
      <c r="E2" s="392"/>
      <c r="F2" s="392"/>
      <c r="G2" s="392"/>
      <c r="H2" s="392"/>
      <c r="I2" s="392"/>
      <c r="J2" s="75"/>
      <c r="K2" s="27"/>
    </row>
    <row r="3" spans="2:11" ht="15.75" thickBot="1" x14ac:dyDescent="0.3">
      <c r="B3" s="393" t="s">
        <v>1</v>
      </c>
      <c r="C3" s="393"/>
      <c r="D3" s="393"/>
      <c r="E3" s="393"/>
      <c r="F3" s="393"/>
      <c r="G3" s="393"/>
      <c r="H3" s="393"/>
      <c r="I3" s="393"/>
      <c r="J3" s="78"/>
      <c r="K3" s="27"/>
    </row>
    <row r="4" spans="2:11" x14ac:dyDescent="0.25">
      <c r="B4" s="394" t="s">
        <v>2</v>
      </c>
      <c r="C4" s="396" t="s">
        <v>3</v>
      </c>
      <c r="D4" s="398" t="s">
        <v>4</v>
      </c>
      <c r="E4" s="400" t="s">
        <v>5</v>
      </c>
      <c r="F4" s="401"/>
      <c r="G4" s="402"/>
      <c r="H4" s="401" t="s">
        <v>6</v>
      </c>
      <c r="I4" s="402"/>
      <c r="J4" s="404" t="s">
        <v>0</v>
      </c>
      <c r="K4" s="27"/>
    </row>
    <row r="5" spans="2:11" ht="15.75" thickBot="1" x14ac:dyDescent="0.3">
      <c r="B5" s="395"/>
      <c r="C5" s="397"/>
      <c r="D5" s="399"/>
      <c r="E5" s="147" t="s">
        <v>328</v>
      </c>
      <c r="F5" s="148" t="s">
        <v>339</v>
      </c>
      <c r="G5" s="79" t="s">
        <v>7</v>
      </c>
      <c r="H5" s="80" t="s">
        <v>8</v>
      </c>
      <c r="I5" s="81" t="s">
        <v>9</v>
      </c>
      <c r="J5" s="405"/>
      <c r="K5" s="27"/>
    </row>
    <row r="6" spans="2:11" x14ac:dyDescent="0.25">
      <c r="B6" s="40"/>
      <c r="C6" s="41" t="s">
        <v>10</v>
      </c>
      <c r="D6" s="82"/>
      <c r="E6" s="42"/>
      <c r="F6" s="42"/>
      <c r="G6" s="41"/>
      <c r="H6" s="42"/>
      <c r="I6" s="42"/>
      <c r="J6" s="83"/>
      <c r="K6" s="27" t="s">
        <v>263</v>
      </c>
    </row>
    <row r="7" spans="2:11" x14ac:dyDescent="0.25">
      <c r="B7" s="43" t="s">
        <v>12</v>
      </c>
      <c r="C7" s="44" t="s">
        <v>13</v>
      </c>
      <c r="D7" s="45"/>
      <c r="E7" s="45"/>
      <c r="F7" s="45"/>
      <c r="G7" s="59"/>
      <c r="H7" s="45"/>
      <c r="I7" s="45"/>
      <c r="J7" s="84"/>
      <c r="K7" s="27"/>
    </row>
    <row r="8" spans="2:11" x14ac:dyDescent="0.25">
      <c r="B8" s="46"/>
      <c r="C8" s="47" t="s">
        <v>36</v>
      </c>
      <c r="D8" s="248">
        <v>8882000</v>
      </c>
      <c r="E8" s="247">
        <v>4909000</v>
      </c>
      <c r="F8" s="61">
        <v>0</v>
      </c>
      <c r="G8" s="61">
        <f>E8+F8</f>
        <v>4909000</v>
      </c>
      <c r="H8" s="85">
        <f t="shared" ref="H8:H27" si="0">G8-D8</f>
        <v>-3973000</v>
      </c>
      <c r="I8" s="86">
        <f t="shared" ref="I8:I21" si="1">G8/D8%</f>
        <v>55.269083539743299</v>
      </c>
      <c r="J8" s="87"/>
      <c r="K8" s="27"/>
    </row>
    <row r="9" spans="2:11" x14ac:dyDescent="0.25">
      <c r="B9" s="46"/>
      <c r="C9" s="47" t="s">
        <v>37</v>
      </c>
      <c r="D9" s="248">
        <v>7608000</v>
      </c>
      <c r="E9" s="247">
        <v>5985000</v>
      </c>
      <c r="F9" s="61">
        <f>65000+55000</f>
        <v>120000</v>
      </c>
      <c r="G9" s="61">
        <f t="shared" ref="G9:G18" si="2">E9+F9</f>
        <v>6105000</v>
      </c>
      <c r="H9" s="85">
        <f t="shared" si="0"/>
        <v>-1503000</v>
      </c>
      <c r="I9" s="86">
        <f t="shared" si="1"/>
        <v>80.244479495268138</v>
      </c>
      <c r="J9" s="87"/>
      <c r="K9" s="27"/>
    </row>
    <row r="10" spans="2:11" x14ac:dyDescent="0.25">
      <c r="B10" s="46"/>
      <c r="C10" s="47" t="s">
        <v>52</v>
      </c>
      <c r="D10" s="248">
        <v>98000</v>
      </c>
      <c r="E10" s="247">
        <v>0</v>
      </c>
      <c r="F10" s="61">
        <v>0</v>
      </c>
      <c r="G10" s="61">
        <f t="shared" si="2"/>
        <v>0</v>
      </c>
      <c r="H10" s="85"/>
      <c r="I10" s="86"/>
      <c r="J10" s="87"/>
      <c r="K10" s="27"/>
    </row>
    <row r="11" spans="2:11" x14ac:dyDescent="0.25">
      <c r="B11" s="46"/>
      <c r="C11" s="47" t="s">
        <v>53</v>
      </c>
      <c r="D11" s="248">
        <v>10112000</v>
      </c>
      <c r="E11" s="247">
        <f>11812998+220000</f>
        <v>12032998</v>
      </c>
      <c r="F11" s="61">
        <v>0</v>
      </c>
      <c r="G11" s="61">
        <f>E11+F11</f>
        <v>12032998</v>
      </c>
      <c r="H11" s="85">
        <f t="shared" si="0"/>
        <v>1920998</v>
      </c>
      <c r="I11" s="86">
        <f t="shared" si="1"/>
        <v>118.99721123417721</v>
      </c>
      <c r="J11" s="87"/>
      <c r="K11" s="27"/>
    </row>
    <row r="12" spans="2:11" x14ac:dyDescent="0.25">
      <c r="B12" s="46"/>
      <c r="C12" s="47" t="s">
        <v>54</v>
      </c>
      <c r="D12" s="248">
        <v>3574000</v>
      </c>
      <c r="E12" s="247">
        <f>4997666-300000</f>
        <v>4697666</v>
      </c>
      <c r="F12" s="61">
        <v>0</v>
      </c>
      <c r="G12" s="61">
        <f t="shared" si="2"/>
        <v>4697666</v>
      </c>
      <c r="H12" s="85">
        <f t="shared" si="0"/>
        <v>1123666</v>
      </c>
      <c r="I12" s="86">
        <f t="shared" si="1"/>
        <v>131.44001119194181</v>
      </c>
      <c r="J12" s="88"/>
      <c r="K12" s="27"/>
    </row>
    <row r="13" spans="2:11" x14ac:dyDescent="0.25">
      <c r="B13" s="46"/>
      <c r="C13" s="47" t="s">
        <v>55</v>
      </c>
      <c r="D13" s="248">
        <v>7226000</v>
      </c>
      <c r="E13" s="247">
        <f>4840000+80000</f>
        <v>4920000</v>
      </c>
      <c r="F13" s="61">
        <v>0</v>
      </c>
      <c r="G13" s="61">
        <f>E13+F13</f>
        <v>4920000</v>
      </c>
      <c r="H13" s="85">
        <f t="shared" si="0"/>
        <v>-2306000</v>
      </c>
      <c r="I13" s="86">
        <f t="shared" si="1"/>
        <v>68.087461942983666</v>
      </c>
      <c r="J13" s="88"/>
      <c r="K13" s="27"/>
    </row>
    <row r="14" spans="2:11" x14ac:dyDescent="0.25">
      <c r="B14" s="46"/>
      <c r="C14" s="47" t="s">
        <v>56</v>
      </c>
      <c r="D14" s="248">
        <v>9705000</v>
      </c>
      <c r="E14" s="247">
        <v>6824555</v>
      </c>
      <c r="F14" s="61">
        <v>0</v>
      </c>
      <c r="G14" s="61">
        <f t="shared" si="2"/>
        <v>6824555</v>
      </c>
      <c r="H14" s="85">
        <f t="shared" si="0"/>
        <v>-2880445</v>
      </c>
      <c r="I14" s="86">
        <f t="shared" si="1"/>
        <v>70.319989696032977</v>
      </c>
      <c r="J14" s="87"/>
      <c r="K14" s="27"/>
    </row>
    <row r="15" spans="2:11" x14ac:dyDescent="0.25">
      <c r="B15" s="46"/>
      <c r="C15" s="47" t="s">
        <v>57</v>
      </c>
      <c r="D15" s="248">
        <v>33798000</v>
      </c>
      <c r="E15" s="247">
        <v>10757219</v>
      </c>
      <c r="F15" s="61">
        <f>500000</f>
        <v>500000</v>
      </c>
      <c r="G15" s="168">
        <f>E15+F15</f>
        <v>11257219</v>
      </c>
      <c r="H15" s="85">
        <f t="shared" si="0"/>
        <v>-22540781</v>
      </c>
      <c r="I15" s="86">
        <f t="shared" si="1"/>
        <v>33.307352506065449</v>
      </c>
      <c r="J15" s="87"/>
      <c r="K15" s="27"/>
    </row>
    <row r="16" spans="2:11" x14ac:dyDescent="0.25">
      <c r="B16" s="46"/>
      <c r="C16" s="47" t="s">
        <v>58</v>
      </c>
      <c r="D16" s="248">
        <v>1376000</v>
      </c>
      <c r="E16" s="247">
        <v>1207826</v>
      </c>
      <c r="F16" s="61">
        <v>0</v>
      </c>
      <c r="G16" s="61">
        <f>E16+F16</f>
        <v>1207826</v>
      </c>
      <c r="H16" s="85">
        <f t="shared" si="0"/>
        <v>-168174</v>
      </c>
      <c r="I16" s="86">
        <f t="shared" si="1"/>
        <v>87.778052325581399</v>
      </c>
      <c r="J16" s="87"/>
      <c r="K16" s="27"/>
    </row>
    <row r="17" spans="2:11" x14ac:dyDescent="0.25">
      <c r="B17" s="46"/>
      <c r="C17" s="47" t="s">
        <v>59</v>
      </c>
      <c r="D17" s="248">
        <v>3542000</v>
      </c>
      <c r="E17" s="247">
        <v>1150000</v>
      </c>
      <c r="F17" s="61">
        <v>0</v>
      </c>
      <c r="G17" s="61">
        <f t="shared" si="2"/>
        <v>1150000</v>
      </c>
      <c r="H17" s="85">
        <f t="shared" si="0"/>
        <v>-2392000</v>
      </c>
      <c r="I17" s="86">
        <f t="shared" si="1"/>
        <v>32.467532467532465</v>
      </c>
      <c r="J17" s="87"/>
      <c r="K17" s="27"/>
    </row>
    <row r="18" spans="2:11" x14ac:dyDescent="0.25">
      <c r="B18" s="46"/>
      <c r="C18" s="47" t="s">
        <v>60</v>
      </c>
      <c r="D18" s="248">
        <v>25770000</v>
      </c>
      <c r="E18" s="247">
        <v>21775000</v>
      </c>
      <c r="F18" s="61">
        <v>410000</v>
      </c>
      <c r="G18" s="61">
        <f t="shared" si="2"/>
        <v>22185000</v>
      </c>
      <c r="H18" s="85">
        <f t="shared" si="0"/>
        <v>-3585000</v>
      </c>
      <c r="I18" s="86">
        <f t="shared" si="1"/>
        <v>86.088474970896385</v>
      </c>
      <c r="J18" s="87"/>
      <c r="K18" s="27"/>
    </row>
    <row r="19" spans="2:11" x14ac:dyDescent="0.25">
      <c r="B19" s="46"/>
      <c r="C19" s="47" t="s">
        <v>61</v>
      </c>
      <c r="D19" s="248">
        <v>29146000</v>
      </c>
      <c r="E19" s="247">
        <v>18838000</v>
      </c>
      <c r="F19" s="61">
        <v>0</v>
      </c>
      <c r="G19" s="61">
        <f>E19+F19</f>
        <v>18838000</v>
      </c>
      <c r="H19" s="85">
        <f t="shared" si="0"/>
        <v>-10308000</v>
      </c>
      <c r="I19" s="86">
        <f t="shared" si="1"/>
        <v>64.633225828587115</v>
      </c>
      <c r="J19" s="87"/>
      <c r="K19" s="27"/>
    </row>
    <row r="20" spans="2:11" x14ac:dyDescent="0.25">
      <c r="B20" s="46"/>
      <c r="C20" s="47" t="s">
        <v>324</v>
      </c>
      <c r="D20" s="248">
        <v>10000000</v>
      </c>
      <c r="E20" s="247">
        <v>16062500</v>
      </c>
      <c r="F20" s="61">
        <v>0</v>
      </c>
      <c r="G20" s="61">
        <f t="shared" ref="G20:G26" si="3">E20+F20</f>
        <v>16062500</v>
      </c>
      <c r="H20" s="85">
        <f>G20-D20</f>
        <v>6062500</v>
      </c>
      <c r="I20" s="86">
        <f>G20/D20%</f>
        <v>160.625</v>
      </c>
      <c r="J20" s="87"/>
      <c r="K20" s="27"/>
    </row>
    <row r="21" spans="2:11" x14ac:dyDescent="0.25">
      <c r="B21" s="46"/>
      <c r="C21" s="47" t="s">
        <v>63</v>
      </c>
      <c r="D21" s="248">
        <v>222000</v>
      </c>
      <c r="E21" s="247">
        <v>0</v>
      </c>
      <c r="F21" s="61">
        <v>0</v>
      </c>
      <c r="G21" s="61">
        <f t="shared" si="3"/>
        <v>0</v>
      </c>
      <c r="H21" s="85">
        <f t="shared" si="0"/>
        <v>-222000</v>
      </c>
      <c r="I21" s="86">
        <f t="shared" si="1"/>
        <v>0</v>
      </c>
      <c r="J21" s="87"/>
      <c r="K21" s="27"/>
    </row>
    <row r="22" spans="2:11" x14ac:dyDescent="0.25">
      <c r="B22" s="46"/>
      <c r="C22" s="47" t="s">
        <v>64</v>
      </c>
      <c r="D22" s="248">
        <v>5236000</v>
      </c>
      <c r="E22" s="247">
        <v>0</v>
      </c>
      <c r="F22" s="61">
        <v>0</v>
      </c>
      <c r="G22" s="61">
        <f t="shared" si="3"/>
        <v>0</v>
      </c>
      <c r="H22" s="85">
        <f>G22-D22</f>
        <v>-5236000</v>
      </c>
      <c r="I22" s="86">
        <f>G22/D22%</f>
        <v>0</v>
      </c>
      <c r="J22" s="87"/>
      <c r="K22" s="27"/>
    </row>
    <row r="23" spans="2:11" x14ac:dyDescent="0.25">
      <c r="B23" s="46"/>
      <c r="C23" s="47" t="s">
        <v>65</v>
      </c>
      <c r="D23" s="248">
        <v>0</v>
      </c>
      <c r="E23" s="247">
        <v>1020000</v>
      </c>
      <c r="F23" s="61">
        <v>0</v>
      </c>
      <c r="G23" s="61">
        <f t="shared" si="3"/>
        <v>1020000</v>
      </c>
      <c r="H23" s="85">
        <f>G23-D23</f>
        <v>1020000</v>
      </c>
      <c r="I23" s="86" t="e">
        <f>G23/D23%</f>
        <v>#DIV/0!</v>
      </c>
      <c r="J23" s="87"/>
      <c r="K23" s="27"/>
    </row>
    <row r="24" spans="2:11" x14ac:dyDescent="0.25">
      <c r="B24" s="46"/>
      <c r="C24" s="47" t="s">
        <v>66</v>
      </c>
      <c r="D24" s="85">
        <v>12705000</v>
      </c>
      <c r="E24" s="247">
        <v>16350000</v>
      </c>
      <c r="F24" s="61">
        <v>0</v>
      </c>
      <c r="G24" s="61">
        <f t="shared" si="3"/>
        <v>16350000</v>
      </c>
      <c r="H24" s="85">
        <f>G24-D24</f>
        <v>3645000</v>
      </c>
      <c r="I24" s="86">
        <f>G24/D24%</f>
        <v>128.68949232585595</v>
      </c>
      <c r="J24" s="87"/>
      <c r="K24" s="27"/>
    </row>
    <row r="25" spans="2:11" x14ac:dyDescent="0.25">
      <c r="B25" s="46"/>
      <c r="C25" s="47" t="s">
        <v>67</v>
      </c>
      <c r="D25" s="248">
        <v>0</v>
      </c>
      <c r="E25" s="247">
        <v>1850000</v>
      </c>
      <c r="F25" s="61">
        <v>0</v>
      </c>
      <c r="G25" s="61">
        <f t="shared" si="3"/>
        <v>1850000</v>
      </c>
      <c r="H25" s="85">
        <f>G25-D25</f>
        <v>1850000</v>
      </c>
      <c r="I25" s="86" t="e">
        <f>G25/D25%</f>
        <v>#DIV/0!</v>
      </c>
      <c r="J25" s="87"/>
      <c r="K25" s="27"/>
    </row>
    <row r="26" spans="2:11" x14ac:dyDescent="0.25">
      <c r="B26" s="46"/>
      <c r="C26" s="47" t="s">
        <v>68</v>
      </c>
      <c r="D26" s="248">
        <v>0</v>
      </c>
      <c r="E26" s="247">
        <v>0</v>
      </c>
      <c r="F26" s="61">
        <v>0</v>
      </c>
      <c r="G26" s="61">
        <f t="shared" si="3"/>
        <v>0</v>
      </c>
      <c r="H26" s="85">
        <f>G26-D26</f>
        <v>0</v>
      </c>
      <c r="I26" s="86" t="e">
        <f>G26/D26%</f>
        <v>#DIV/0!</v>
      </c>
      <c r="J26" s="87"/>
      <c r="K26" s="27"/>
    </row>
    <row r="27" spans="2:11" x14ac:dyDescent="0.25">
      <c r="B27" s="46"/>
      <c r="C27" s="47" t="s">
        <v>69</v>
      </c>
      <c r="D27" s="248">
        <v>16592000</v>
      </c>
      <c r="E27" s="247">
        <v>11760000</v>
      </c>
      <c r="F27" s="61">
        <v>0</v>
      </c>
      <c r="G27" s="61">
        <f>E27+F27</f>
        <v>11760000</v>
      </c>
      <c r="H27" s="85">
        <f t="shared" si="0"/>
        <v>-4832000</v>
      </c>
      <c r="I27" s="86"/>
      <c r="J27" s="87"/>
      <c r="K27" s="27"/>
    </row>
    <row r="28" spans="2:11" x14ac:dyDescent="0.25">
      <c r="B28" s="46"/>
      <c r="C28" s="47"/>
      <c r="D28" s="47"/>
      <c r="E28" s="61"/>
      <c r="F28" s="61"/>
      <c r="G28" s="61"/>
      <c r="H28" s="85"/>
      <c r="I28" s="86"/>
      <c r="J28" s="87"/>
      <c r="K28" s="27"/>
    </row>
    <row r="29" spans="2:11" x14ac:dyDescent="0.25">
      <c r="B29" s="169"/>
      <c r="C29" s="170" t="s">
        <v>14</v>
      </c>
      <c r="D29" s="135">
        <f>SUM(D8:D27)</f>
        <v>185592000</v>
      </c>
      <c r="E29" s="89">
        <f>SUM(E8:E27)</f>
        <v>140139764</v>
      </c>
      <c r="F29" s="89">
        <f>SUM(F8:F27)</f>
        <v>1030000</v>
      </c>
      <c r="G29" s="89">
        <f>SUM(G8:G27)</f>
        <v>141169764</v>
      </c>
      <c r="H29" s="136">
        <f>SUM(H8:H21)</f>
        <v>-40771236</v>
      </c>
      <c r="I29" s="91">
        <f>G29/D29%</f>
        <v>76.064573904047592</v>
      </c>
      <c r="J29" s="171"/>
      <c r="K29" s="149"/>
    </row>
    <row r="30" spans="2:11" x14ac:dyDescent="0.25">
      <c r="B30" s="46"/>
      <c r="C30" s="47"/>
      <c r="D30" s="47"/>
      <c r="E30" s="61"/>
      <c r="F30" s="62"/>
      <c r="G30" s="61"/>
      <c r="H30" s="85"/>
      <c r="I30" s="85"/>
      <c r="J30" s="87"/>
      <c r="K30" s="27"/>
    </row>
    <row r="31" spans="2:11" x14ac:dyDescent="0.25">
      <c r="B31" s="46" t="s">
        <v>15</v>
      </c>
      <c r="C31" s="60" t="s">
        <v>16</v>
      </c>
      <c r="D31" s="47"/>
      <c r="E31" s="61"/>
      <c r="F31" s="62"/>
      <c r="G31" s="61"/>
      <c r="H31" s="85"/>
      <c r="I31" s="85"/>
      <c r="J31" s="87"/>
      <c r="K31" s="27"/>
    </row>
    <row r="32" spans="2:11" x14ac:dyDescent="0.25">
      <c r="B32" s="46"/>
      <c r="C32" s="47" t="s">
        <v>38</v>
      </c>
      <c r="D32" s="250">
        <v>506000</v>
      </c>
      <c r="E32" s="247">
        <v>745000</v>
      </c>
      <c r="F32" s="61">
        <v>0</v>
      </c>
      <c r="G32" s="61">
        <f>E32+F32</f>
        <v>745000</v>
      </c>
      <c r="H32" s="85">
        <f t="shared" ref="H32:H49" si="4">G32-D32</f>
        <v>239000</v>
      </c>
      <c r="I32" s="86">
        <f t="shared" ref="I32:I49" si="5">G32/D32%</f>
        <v>147.23320158102766</v>
      </c>
      <c r="J32" s="87"/>
      <c r="K32" s="27"/>
    </row>
    <row r="33" spans="2:11" x14ac:dyDescent="0.25">
      <c r="B33" s="172"/>
      <c r="C33" s="173" t="s">
        <v>39</v>
      </c>
      <c r="D33" s="250">
        <v>19474000</v>
      </c>
      <c r="E33" s="249">
        <v>15711498</v>
      </c>
      <c r="F33" s="168">
        <f>30000+40000+20000</f>
        <v>90000</v>
      </c>
      <c r="G33" s="168">
        <f t="shared" ref="G33:G49" si="6">E33+F33</f>
        <v>15801498</v>
      </c>
      <c r="H33" s="174">
        <f t="shared" si="4"/>
        <v>-3672502</v>
      </c>
      <c r="I33" s="176">
        <f t="shared" si="5"/>
        <v>81.141511759268766</v>
      </c>
      <c r="J33" s="179"/>
      <c r="K33" s="177"/>
    </row>
    <row r="34" spans="2:11" x14ac:dyDescent="0.25">
      <c r="B34" s="46"/>
      <c r="C34" s="47" t="s">
        <v>40</v>
      </c>
      <c r="D34" s="250">
        <v>7906000</v>
      </c>
      <c r="E34" s="247">
        <v>4483666</v>
      </c>
      <c r="F34" s="61">
        <v>0</v>
      </c>
      <c r="G34" s="61">
        <f>E34+F34</f>
        <v>4483666</v>
      </c>
      <c r="H34" s="85">
        <f t="shared" si="4"/>
        <v>-3422334</v>
      </c>
      <c r="I34" s="86">
        <f>G34/D34%</f>
        <v>56.712193270933469</v>
      </c>
      <c r="J34" s="180"/>
      <c r="K34" s="27"/>
    </row>
    <row r="35" spans="2:11" x14ac:dyDescent="0.25">
      <c r="B35" s="46"/>
      <c r="C35" s="47" t="s">
        <v>41</v>
      </c>
      <c r="D35" s="250">
        <v>2879000</v>
      </c>
      <c r="E35" s="247">
        <v>2695000</v>
      </c>
      <c r="F35" s="61">
        <v>0</v>
      </c>
      <c r="G35" s="61">
        <f t="shared" si="6"/>
        <v>2695000</v>
      </c>
      <c r="H35" s="85">
        <f t="shared" si="4"/>
        <v>-184000</v>
      </c>
      <c r="I35" s="86">
        <f t="shared" si="5"/>
        <v>93.60889197638069</v>
      </c>
      <c r="J35" s="87"/>
      <c r="K35" s="27"/>
    </row>
    <row r="36" spans="2:11" x14ac:dyDescent="0.25">
      <c r="B36" s="46"/>
      <c r="C36" s="47" t="s">
        <v>50</v>
      </c>
      <c r="D36" s="250">
        <v>0</v>
      </c>
      <c r="E36" s="247">
        <v>0</v>
      </c>
      <c r="F36" s="61">
        <v>0</v>
      </c>
      <c r="G36" s="61">
        <f t="shared" si="6"/>
        <v>0</v>
      </c>
      <c r="H36" s="85">
        <f>G36-D36</f>
        <v>0</v>
      </c>
      <c r="I36" s="86" t="e">
        <f>G36/D36%</f>
        <v>#DIV/0!</v>
      </c>
      <c r="J36" s="87"/>
      <c r="K36" s="27"/>
    </row>
    <row r="37" spans="2:11" x14ac:dyDescent="0.25">
      <c r="B37" s="46"/>
      <c r="C37" s="47" t="s">
        <v>51</v>
      </c>
      <c r="D37" s="250">
        <v>0</v>
      </c>
      <c r="E37" s="247">
        <v>5950000</v>
      </c>
      <c r="F37" s="61">
        <v>0</v>
      </c>
      <c r="G37" s="61">
        <f>E37+F37</f>
        <v>5950000</v>
      </c>
      <c r="H37" s="85">
        <f>G37-D37</f>
        <v>5950000</v>
      </c>
      <c r="I37" s="86" t="e">
        <f>G37/D37%</f>
        <v>#DIV/0!</v>
      </c>
      <c r="J37" s="87"/>
      <c r="K37" s="27"/>
    </row>
    <row r="38" spans="2:11" x14ac:dyDescent="0.25">
      <c r="B38" s="46"/>
      <c r="C38" s="47" t="s">
        <v>49</v>
      </c>
      <c r="D38" s="250">
        <v>0</v>
      </c>
      <c r="E38" s="247">
        <v>220000</v>
      </c>
      <c r="F38" s="61">
        <v>0</v>
      </c>
      <c r="G38" s="61">
        <f t="shared" si="6"/>
        <v>220000</v>
      </c>
      <c r="H38" s="85">
        <f>G38-D37</f>
        <v>220000</v>
      </c>
      <c r="I38" s="86" t="e">
        <f>G38/D37%</f>
        <v>#DIV/0!</v>
      </c>
      <c r="J38" s="87"/>
      <c r="K38" s="27"/>
    </row>
    <row r="39" spans="2:11" x14ac:dyDescent="0.25">
      <c r="B39" s="46"/>
      <c r="C39" s="47" t="s">
        <v>79</v>
      </c>
      <c r="D39" s="250">
        <v>839000</v>
      </c>
      <c r="E39" s="247">
        <v>490000</v>
      </c>
      <c r="F39" s="61">
        <v>0</v>
      </c>
      <c r="G39" s="61">
        <f t="shared" si="6"/>
        <v>490000</v>
      </c>
      <c r="H39" s="85">
        <f>G39-D38</f>
        <v>490000</v>
      </c>
      <c r="I39" s="86" t="e">
        <f>G39/D38%</f>
        <v>#DIV/0!</v>
      </c>
      <c r="J39" s="87"/>
      <c r="K39" s="27"/>
    </row>
    <row r="40" spans="2:11" x14ac:dyDescent="0.25">
      <c r="B40" s="46"/>
      <c r="C40" s="47" t="s">
        <v>71</v>
      </c>
      <c r="D40" s="250">
        <v>3897000</v>
      </c>
      <c r="E40" s="247">
        <v>4642000</v>
      </c>
      <c r="F40" s="61">
        <v>0</v>
      </c>
      <c r="G40" s="61">
        <f t="shared" si="6"/>
        <v>4642000</v>
      </c>
      <c r="H40" s="85">
        <f>G40-D39</f>
        <v>3803000</v>
      </c>
      <c r="I40" s="86">
        <f>G40/D39%</f>
        <v>553.2777115613826</v>
      </c>
      <c r="J40" s="87"/>
      <c r="K40" s="27"/>
    </row>
    <row r="41" spans="2:11" x14ac:dyDescent="0.25">
      <c r="B41" s="46"/>
      <c r="C41" s="47" t="s">
        <v>72</v>
      </c>
      <c r="D41" s="250">
        <v>3110000</v>
      </c>
      <c r="E41" s="247">
        <v>5523000</v>
      </c>
      <c r="F41" s="61">
        <v>0</v>
      </c>
      <c r="G41" s="61">
        <f t="shared" si="6"/>
        <v>5523000</v>
      </c>
      <c r="H41" s="85">
        <f>G41-D40</f>
        <v>1626000</v>
      </c>
      <c r="I41" s="86">
        <f>G41/D40%</f>
        <v>141.72440338722095</v>
      </c>
      <c r="J41" s="87"/>
      <c r="K41" s="27"/>
    </row>
    <row r="42" spans="2:11" x14ac:dyDescent="0.25">
      <c r="B42" s="46"/>
      <c r="C42" s="47" t="s">
        <v>70</v>
      </c>
      <c r="D42" s="250">
        <v>884000</v>
      </c>
      <c r="E42" s="247">
        <v>0</v>
      </c>
      <c r="F42" s="61">
        <v>0</v>
      </c>
      <c r="G42" s="61">
        <f t="shared" si="6"/>
        <v>0</v>
      </c>
      <c r="H42" s="85">
        <f t="shared" si="4"/>
        <v>-884000</v>
      </c>
      <c r="I42" s="86">
        <f t="shared" si="5"/>
        <v>0</v>
      </c>
      <c r="J42" s="87"/>
      <c r="K42" s="27"/>
    </row>
    <row r="43" spans="2:11" x14ac:dyDescent="0.25">
      <c r="B43" s="46"/>
      <c r="C43" s="47" t="s">
        <v>73</v>
      </c>
      <c r="D43" s="250">
        <v>529000</v>
      </c>
      <c r="E43" s="247">
        <v>0</v>
      </c>
      <c r="F43" s="61">
        <v>0</v>
      </c>
      <c r="G43" s="61">
        <f t="shared" si="6"/>
        <v>0</v>
      </c>
      <c r="H43" s="85">
        <f t="shared" si="4"/>
        <v>-529000</v>
      </c>
      <c r="I43" s="86">
        <f t="shared" si="5"/>
        <v>0</v>
      </c>
      <c r="J43" s="87"/>
      <c r="K43" s="27"/>
    </row>
    <row r="44" spans="2:11" x14ac:dyDescent="0.25">
      <c r="B44" s="46"/>
      <c r="C44" s="47" t="s">
        <v>74</v>
      </c>
      <c r="D44" s="250">
        <v>0</v>
      </c>
      <c r="E44" s="247">
        <v>0</v>
      </c>
      <c r="F44" s="61">
        <v>0</v>
      </c>
      <c r="G44" s="61">
        <f t="shared" si="6"/>
        <v>0</v>
      </c>
      <c r="H44" s="85">
        <f t="shared" si="4"/>
        <v>0</v>
      </c>
      <c r="I44" s="86" t="e">
        <f t="shared" si="5"/>
        <v>#DIV/0!</v>
      </c>
      <c r="J44" s="87"/>
      <c r="K44" s="27"/>
    </row>
    <row r="45" spans="2:11" x14ac:dyDescent="0.25">
      <c r="B45" s="46"/>
      <c r="C45" s="47" t="s">
        <v>75</v>
      </c>
      <c r="D45" s="250">
        <v>12118000</v>
      </c>
      <c r="E45" s="247">
        <v>13499047</v>
      </c>
      <c r="F45" s="61">
        <v>0</v>
      </c>
      <c r="G45" s="61">
        <f t="shared" si="6"/>
        <v>13499047</v>
      </c>
      <c r="H45" s="85">
        <f t="shared" si="4"/>
        <v>1381047</v>
      </c>
      <c r="I45" s="86">
        <f t="shared" si="5"/>
        <v>111.39665786433405</v>
      </c>
      <c r="J45" s="87"/>
      <c r="K45" s="27"/>
    </row>
    <row r="46" spans="2:11" x14ac:dyDescent="0.25">
      <c r="B46" s="46"/>
      <c r="C46" s="47" t="s">
        <v>76</v>
      </c>
      <c r="D46" s="250">
        <v>0</v>
      </c>
      <c r="E46" s="247">
        <v>0</v>
      </c>
      <c r="F46" s="61">
        <v>0</v>
      </c>
      <c r="G46" s="61">
        <f t="shared" si="6"/>
        <v>0</v>
      </c>
      <c r="H46" s="85">
        <f t="shared" si="4"/>
        <v>0</v>
      </c>
      <c r="I46" s="86" t="e">
        <f t="shared" si="5"/>
        <v>#DIV/0!</v>
      </c>
      <c r="J46" s="87"/>
      <c r="K46" s="27"/>
    </row>
    <row r="47" spans="2:11" x14ac:dyDescent="0.25">
      <c r="B47" s="46"/>
      <c r="C47" s="47" t="s">
        <v>77</v>
      </c>
      <c r="D47" s="250">
        <v>0</v>
      </c>
      <c r="E47" s="247">
        <v>0</v>
      </c>
      <c r="F47" s="61">
        <v>0</v>
      </c>
      <c r="G47" s="61">
        <f t="shared" si="6"/>
        <v>0</v>
      </c>
      <c r="H47" s="85">
        <f t="shared" si="4"/>
        <v>0</v>
      </c>
      <c r="I47" s="86" t="e">
        <f t="shared" si="5"/>
        <v>#DIV/0!</v>
      </c>
      <c r="J47" s="87"/>
      <c r="K47" s="27"/>
    </row>
    <row r="48" spans="2:11" x14ac:dyDescent="0.25">
      <c r="B48" s="46"/>
      <c r="C48" s="47" t="s">
        <v>325</v>
      </c>
      <c r="D48" s="250">
        <v>15281000</v>
      </c>
      <c r="E48" s="247">
        <f>9052761-620000</f>
        <v>8432761</v>
      </c>
      <c r="F48" s="61">
        <v>0</v>
      </c>
      <c r="G48" s="61">
        <f t="shared" si="6"/>
        <v>8432761</v>
      </c>
      <c r="H48" s="85">
        <f t="shared" si="4"/>
        <v>-6848239</v>
      </c>
      <c r="I48" s="86">
        <f t="shared" si="5"/>
        <v>55.184614881225052</v>
      </c>
      <c r="J48" s="87"/>
      <c r="K48" s="27"/>
    </row>
    <row r="49" spans="2:11" x14ac:dyDescent="0.25">
      <c r="B49" s="46"/>
      <c r="C49" s="47" t="s">
        <v>326</v>
      </c>
      <c r="D49" s="250">
        <v>0</v>
      </c>
      <c r="E49" s="247">
        <v>285714</v>
      </c>
      <c r="F49" s="61">
        <v>0</v>
      </c>
      <c r="G49" s="61">
        <f t="shared" si="6"/>
        <v>285714</v>
      </c>
      <c r="H49" s="85">
        <f t="shared" si="4"/>
        <v>285714</v>
      </c>
      <c r="I49" s="86" t="e">
        <f t="shared" si="5"/>
        <v>#DIV/0!</v>
      </c>
      <c r="J49" s="87"/>
      <c r="K49" s="27"/>
    </row>
    <row r="50" spans="2:11" x14ac:dyDescent="0.25">
      <c r="B50" s="46"/>
      <c r="C50" s="47"/>
      <c r="D50" s="85"/>
      <c r="E50" s="61"/>
      <c r="F50" s="61"/>
      <c r="G50" s="61"/>
      <c r="H50" s="85"/>
      <c r="I50" s="85"/>
      <c r="J50" s="87"/>
      <c r="K50" s="27"/>
    </row>
    <row r="51" spans="2:11" x14ac:dyDescent="0.25">
      <c r="B51" s="169"/>
      <c r="C51" s="170" t="s">
        <v>17</v>
      </c>
      <c r="D51" s="136">
        <f>SUM(D32:D49)</f>
        <v>67423000</v>
      </c>
      <c r="E51" s="89">
        <f>SUM(E32:E49)</f>
        <v>62677686</v>
      </c>
      <c r="F51" s="89">
        <f>SUM(F32:F49)</f>
        <v>90000</v>
      </c>
      <c r="G51" s="89">
        <f>SUM(G32:G49)</f>
        <v>62767686</v>
      </c>
      <c r="H51" s="136">
        <f>SUM(H32:H49)</f>
        <v>-1545314</v>
      </c>
      <c r="I51" s="91">
        <f>G51/D51%</f>
        <v>93.095362116785068</v>
      </c>
      <c r="J51" s="171"/>
      <c r="K51" s="149"/>
    </row>
    <row r="52" spans="2:11" x14ac:dyDescent="0.25">
      <c r="B52" s="46"/>
      <c r="C52" s="47"/>
      <c r="D52" s="47"/>
      <c r="E52" s="61"/>
      <c r="F52" s="62"/>
      <c r="G52" s="61"/>
      <c r="H52" s="85"/>
      <c r="I52" s="85"/>
      <c r="J52" s="87"/>
      <c r="K52" s="27"/>
    </row>
    <row r="53" spans="2:11" x14ac:dyDescent="0.25">
      <c r="B53" s="46" t="s">
        <v>18</v>
      </c>
      <c r="C53" s="60" t="s">
        <v>19</v>
      </c>
      <c r="D53" s="47"/>
      <c r="E53" s="61"/>
      <c r="F53" s="62"/>
      <c r="G53" s="61"/>
      <c r="H53" s="85"/>
      <c r="I53" s="85"/>
      <c r="J53" s="87"/>
      <c r="K53" s="27"/>
    </row>
    <row r="54" spans="2:11" x14ac:dyDescent="0.25">
      <c r="B54" s="46"/>
      <c r="C54" s="47" t="s">
        <v>42</v>
      </c>
      <c r="D54" s="248">
        <v>18097000</v>
      </c>
      <c r="E54" s="247">
        <v>431571</v>
      </c>
      <c r="F54" s="61">
        <v>0</v>
      </c>
      <c r="G54" s="61">
        <f>E54+F54</f>
        <v>431571</v>
      </c>
      <c r="H54" s="85">
        <f t="shared" ref="H54:H67" si="7">G54-D54</f>
        <v>-17665429</v>
      </c>
      <c r="I54" s="86">
        <f t="shared" ref="I54:I67" si="8">G54/D54%</f>
        <v>2.384765430734376</v>
      </c>
      <c r="J54" s="87"/>
      <c r="K54" s="27"/>
    </row>
    <row r="55" spans="2:11" x14ac:dyDescent="0.25">
      <c r="B55" s="46"/>
      <c r="C55" s="47" t="s">
        <v>43</v>
      </c>
      <c r="D55" s="248">
        <v>0</v>
      </c>
      <c r="E55" s="247">
        <v>11830000</v>
      </c>
      <c r="F55" s="61">
        <v>2772000</v>
      </c>
      <c r="G55" s="61">
        <f t="shared" ref="G55:G67" si="9">E55+F55</f>
        <v>14602000</v>
      </c>
      <c r="H55" s="85">
        <f t="shared" si="7"/>
        <v>14602000</v>
      </c>
      <c r="I55" s="86" t="e">
        <f t="shared" si="8"/>
        <v>#DIV/0!</v>
      </c>
      <c r="J55" s="87"/>
      <c r="K55" s="27"/>
    </row>
    <row r="56" spans="2:11" x14ac:dyDescent="0.25">
      <c r="B56" s="46"/>
      <c r="C56" s="47" t="s">
        <v>44</v>
      </c>
      <c r="D56" s="248">
        <v>0</v>
      </c>
      <c r="E56" s="247">
        <v>500000</v>
      </c>
      <c r="F56" s="61">
        <v>0</v>
      </c>
      <c r="G56" s="61">
        <f t="shared" si="9"/>
        <v>500000</v>
      </c>
      <c r="H56" s="85">
        <f t="shared" si="7"/>
        <v>500000</v>
      </c>
      <c r="I56" s="86" t="e">
        <f t="shared" si="8"/>
        <v>#DIV/0!</v>
      </c>
      <c r="J56" s="87"/>
      <c r="K56" s="27"/>
    </row>
    <row r="57" spans="2:11" x14ac:dyDescent="0.25">
      <c r="B57" s="46"/>
      <c r="C57" s="47" t="s">
        <v>45</v>
      </c>
      <c r="D57" s="248">
        <v>0</v>
      </c>
      <c r="E57" s="247">
        <v>0</v>
      </c>
      <c r="F57" s="61">
        <v>0</v>
      </c>
      <c r="G57" s="61">
        <f t="shared" si="9"/>
        <v>0</v>
      </c>
      <c r="H57" s="85">
        <f t="shared" si="7"/>
        <v>0</v>
      </c>
      <c r="I57" s="86" t="e">
        <f t="shared" si="8"/>
        <v>#DIV/0!</v>
      </c>
      <c r="J57" s="87"/>
      <c r="K57" s="27"/>
    </row>
    <row r="58" spans="2:11" x14ac:dyDescent="0.25">
      <c r="B58" s="46"/>
      <c r="C58" s="47" t="s">
        <v>46</v>
      </c>
      <c r="D58" s="248">
        <v>0</v>
      </c>
      <c r="E58" s="247">
        <v>0</v>
      </c>
      <c r="F58" s="92">
        <v>0</v>
      </c>
      <c r="G58" s="61">
        <f t="shared" si="9"/>
        <v>0</v>
      </c>
      <c r="H58" s="85">
        <f t="shared" si="7"/>
        <v>0</v>
      </c>
      <c r="I58" s="86" t="e">
        <f t="shared" si="8"/>
        <v>#DIV/0!</v>
      </c>
      <c r="J58" s="87"/>
      <c r="K58" s="27"/>
    </row>
    <row r="59" spans="2:11" x14ac:dyDescent="0.25">
      <c r="B59" s="46"/>
      <c r="C59" s="47" t="s">
        <v>47</v>
      </c>
      <c r="D59" s="248">
        <v>1223000</v>
      </c>
      <c r="E59" s="247">
        <v>0</v>
      </c>
      <c r="F59" s="61">
        <v>0</v>
      </c>
      <c r="G59" s="61">
        <f t="shared" si="9"/>
        <v>0</v>
      </c>
      <c r="H59" s="85">
        <f t="shared" si="7"/>
        <v>-1223000</v>
      </c>
      <c r="I59" s="86">
        <f t="shared" si="8"/>
        <v>0</v>
      </c>
      <c r="J59" s="87"/>
      <c r="K59" s="27"/>
    </row>
    <row r="60" spans="2:11" x14ac:dyDescent="0.25">
      <c r="B60" s="46"/>
      <c r="C60" s="47" t="s">
        <v>129</v>
      </c>
      <c r="D60" s="248">
        <v>0</v>
      </c>
      <c r="E60" s="247">
        <v>0</v>
      </c>
      <c r="F60" s="61">
        <v>0</v>
      </c>
      <c r="G60" s="61">
        <f t="shared" si="9"/>
        <v>0</v>
      </c>
      <c r="H60" s="85">
        <f t="shared" si="7"/>
        <v>0</v>
      </c>
      <c r="I60" s="86" t="e">
        <f t="shared" si="8"/>
        <v>#DIV/0!</v>
      </c>
      <c r="J60" s="87"/>
      <c r="K60" s="27"/>
    </row>
    <row r="61" spans="2:11" x14ac:dyDescent="0.25">
      <c r="B61" s="46"/>
      <c r="C61" s="47" t="s">
        <v>86</v>
      </c>
      <c r="D61" s="248">
        <v>0</v>
      </c>
      <c r="E61" s="247">
        <v>0</v>
      </c>
      <c r="F61" s="61">
        <v>0</v>
      </c>
      <c r="G61" s="61">
        <f t="shared" si="9"/>
        <v>0</v>
      </c>
      <c r="H61" s="85">
        <f t="shared" si="7"/>
        <v>0</v>
      </c>
      <c r="I61" s="86" t="e">
        <f t="shared" si="8"/>
        <v>#DIV/0!</v>
      </c>
      <c r="J61" s="87"/>
      <c r="K61" s="27"/>
    </row>
    <row r="62" spans="2:11" x14ac:dyDescent="0.25">
      <c r="B62" s="46"/>
      <c r="C62" s="47" t="s">
        <v>87</v>
      </c>
      <c r="D62" s="248">
        <v>989000</v>
      </c>
      <c r="E62" s="247">
        <v>0</v>
      </c>
      <c r="F62" s="61">
        <v>0</v>
      </c>
      <c r="G62" s="61">
        <f>E62+F62</f>
        <v>0</v>
      </c>
      <c r="H62" s="85">
        <f>G62-D62</f>
        <v>-989000</v>
      </c>
      <c r="I62" s="86">
        <f>G62/D62%</f>
        <v>0</v>
      </c>
      <c r="J62" s="87"/>
      <c r="K62" s="27"/>
    </row>
    <row r="63" spans="2:11" x14ac:dyDescent="0.25">
      <c r="B63" s="46"/>
      <c r="C63" s="47" t="s">
        <v>81</v>
      </c>
      <c r="D63" s="248">
        <v>0</v>
      </c>
      <c r="E63" s="247">
        <v>0</v>
      </c>
      <c r="F63" s="61">
        <v>0</v>
      </c>
      <c r="G63" s="61">
        <f t="shared" si="9"/>
        <v>0</v>
      </c>
      <c r="H63" s="85">
        <f t="shared" si="7"/>
        <v>0</v>
      </c>
      <c r="I63" s="86" t="e">
        <f t="shared" si="8"/>
        <v>#DIV/0!</v>
      </c>
      <c r="J63" s="87"/>
      <c r="K63" s="27"/>
    </row>
    <row r="64" spans="2:11" x14ac:dyDescent="0.25">
      <c r="B64" s="46"/>
      <c r="C64" s="47" t="s">
        <v>82</v>
      </c>
      <c r="D64" s="248">
        <v>0</v>
      </c>
      <c r="E64" s="247">
        <v>90000</v>
      </c>
      <c r="F64" s="61">
        <v>0</v>
      </c>
      <c r="G64" s="61">
        <f t="shared" si="9"/>
        <v>90000</v>
      </c>
      <c r="H64" s="85">
        <f t="shared" si="7"/>
        <v>90000</v>
      </c>
      <c r="I64" s="86" t="e">
        <f t="shared" si="8"/>
        <v>#DIV/0!</v>
      </c>
      <c r="J64" s="87"/>
      <c r="K64" s="27"/>
    </row>
    <row r="65" spans="2:11" x14ac:dyDescent="0.25">
      <c r="B65" s="46"/>
      <c r="C65" s="47" t="s">
        <v>83</v>
      </c>
      <c r="D65" s="248">
        <v>424000</v>
      </c>
      <c r="E65" s="247">
        <v>0</v>
      </c>
      <c r="F65" s="61">
        <v>0</v>
      </c>
      <c r="G65" s="61">
        <f>E65+F65</f>
        <v>0</v>
      </c>
      <c r="H65" s="85">
        <f>G65-D65</f>
        <v>-424000</v>
      </c>
      <c r="I65" s="86">
        <f>G65/D65%</f>
        <v>0</v>
      </c>
      <c r="J65" s="87"/>
      <c r="K65" s="27"/>
    </row>
    <row r="66" spans="2:11" x14ac:dyDescent="0.25">
      <c r="B66" s="46"/>
      <c r="C66" s="47" t="s">
        <v>142</v>
      </c>
      <c r="D66" s="248">
        <v>0</v>
      </c>
      <c r="E66" s="247">
        <v>1510000</v>
      </c>
      <c r="F66" s="61">
        <v>0</v>
      </c>
      <c r="G66" s="61">
        <f>E66+F66</f>
        <v>1510000</v>
      </c>
      <c r="H66" s="85">
        <f>G66-D66</f>
        <v>1510000</v>
      </c>
      <c r="I66" s="86" t="e">
        <f>G66/D66%</f>
        <v>#DIV/0!</v>
      </c>
      <c r="J66" s="87"/>
      <c r="K66" s="27"/>
    </row>
    <row r="67" spans="2:11" x14ac:dyDescent="0.25">
      <c r="B67" s="46"/>
      <c r="C67" s="47" t="s">
        <v>85</v>
      </c>
      <c r="D67" s="246">
        <v>0</v>
      </c>
      <c r="E67" s="48">
        <v>0</v>
      </c>
      <c r="F67" s="61">
        <v>0</v>
      </c>
      <c r="G67" s="61">
        <f t="shared" si="9"/>
        <v>0</v>
      </c>
      <c r="H67" s="85">
        <f t="shared" si="7"/>
        <v>0</v>
      </c>
      <c r="I67" s="86" t="e">
        <f t="shared" si="8"/>
        <v>#DIV/0!</v>
      </c>
      <c r="J67" s="87"/>
      <c r="K67" s="27"/>
    </row>
    <row r="68" spans="2:11" x14ac:dyDescent="0.25">
      <c r="B68" s="46"/>
      <c r="C68" s="47"/>
      <c r="D68" s="85"/>
      <c r="E68" s="61"/>
      <c r="F68" s="61"/>
      <c r="G68" s="61"/>
      <c r="H68" s="85"/>
      <c r="I68" s="85"/>
      <c r="J68" s="87"/>
      <c r="K68" s="27"/>
    </row>
    <row r="69" spans="2:11" x14ac:dyDescent="0.25">
      <c r="B69" s="169"/>
      <c r="C69" s="170" t="s">
        <v>20</v>
      </c>
      <c r="D69" s="136">
        <f>SUM(D54:D67)</f>
        <v>20733000</v>
      </c>
      <c r="E69" s="89">
        <f>SUM(E54:E67)</f>
        <v>14361571</v>
      </c>
      <c r="F69" s="89">
        <f>SUM(F54:F67)</f>
        <v>2772000</v>
      </c>
      <c r="G69" s="89">
        <f>SUM(G54:G67)</f>
        <v>17133571</v>
      </c>
      <c r="H69" s="136">
        <f>SUM(H54:H63)</f>
        <v>-4775429</v>
      </c>
      <c r="I69" s="91">
        <f>G69/D69%</f>
        <v>82.639130854193795</v>
      </c>
      <c r="J69" s="171"/>
      <c r="K69" s="149"/>
    </row>
    <row r="70" spans="2:11" x14ac:dyDescent="0.25">
      <c r="B70" s="46"/>
      <c r="C70" s="47"/>
      <c r="D70" s="47"/>
      <c r="E70" s="61"/>
      <c r="F70" s="62"/>
      <c r="G70" s="61"/>
      <c r="H70" s="85"/>
      <c r="I70" s="85"/>
      <c r="J70" s="87"/>
      <c r="K70" s="27"/>
    </row>
    <row r="71" spans="2:11" ht="15.75" thickBot="1" x14ac:dyDescent="0.3">
      <c r="B71" s="46"/>
      <c r="C71" s="60" t="s">
        <v>21</v>
      </c>
      <c r="D71" s="93">
        <f>D29+D51+D69</f>
        <v>273748000</v>
      </c>
      <c r="E71" s="94">
        <f>E29+E51+E69</f>
        <v>217179021</v>
      </c>
      <c r="F71" s="95">
        <f>F29+F51+F69</f>
        <v>3892000</v>
      </c>
      <c r="G71" s="94">
        <f>G29+G51+G69</f>
        <v>221071021</v>
      </c>
      <c r="H71" s="96">
        <f>H29+H51+H69</f>
        <v>-47091979</v>
      </c>
      <c r="I71" s="97">
        <f>G71/D71%</f>
        <v>80.757127358008091</v>
      </c>
      <c r="J71" s="87"/>
      <c r="K71" s="27"/>
    </row>
    <row r="72" spans="2:11" ht="15.75" thickTop="1" x14ac:dyDescent="0.25">
      <c r="B72" s="69"/>
      <c r="C72" s="98"/>
      <c r="D72" s="99"/>
      <c r="E72" s="100"/>
      <c r="F72" s="101"/>
      <c r="G72" s="100"/>
      <c r="H72" s="102"/>
      <c r="I72" s="103"/>
      <c r="J72" s="104"/>
      <c r="K72" s="27"/>
    </row>
    <row r="73" spans="2:11" x14ac:dyDescent="0.25">
      <c r="B73" s="69"/>
      <c r="C73" s="98" t="s">
        <v>22</v>
      </c>
      <c r="D73" s="105"/>
      <c r="E73" s="106"/>
      <c r="F73" s="107"/>
      <c r="G73" s="106"/>
      <c r="H73" s="108"/>
      <c r="I73" s="109"/>
      <c r="J73" s="104"/>
      <c r="K73" s="27"/>
    </row>
    <row r="74" spans="2:11" x14ac:dyDescent="0.25">
      <c r="B74" s="69" t="s">
        <v>12</v>
      </c>
      <c r="C74" s="98" t="s">
        <v>23</v>
      </c>
      <c r="D74" s="105">
        <v>13500000</v>
      </c>
      <c r="E74" s="106">
        <f>E125</f>
        <v>16990000</v>
      </c>
      <c r="F74" s="107">
        <f>F125</f>
        <v>460000</v>
      </c>
      <c r="G74" s="106">
        <f>E74+F74</f>
        <v>17450000</v>
      </c>
      <c r="H74" s="108">
        <f>G74-D74</f>
        <v>3950000</v>
      </c>
      <c r="I74" s="110">
        <f>G74/D74%</f>
        <v>129.25925925925927</v>
      </c>
      <c r="J74" s="104"/>
      <c r="K74" s="27"/>
    </row>
    <row r="75" spans="2:11" x14ac:dyDescent="0.25">
      <c r="B75" s="69"/>
      <c r="C75" s="98"/>
      <c r="D75" s="105"/>
      <c r="E75" s="106"/>
      <c r="F75" s="107"/>
      <c r="G75" s="106"/>
      <c r="H75" s="108"/>
      <c r="I75" s="110"/>
      <c r="J75" s="104"/>
      <c r="K75" s="27"/>
    </row>
    <row r="76" spans="2:11" x14ac:dyDescent="0.25">
      <c r="B76" s="69" t="s">
        <v>15</v>
      </c>
      <c r="C76" s="98" t="s">
        <v>16</v>
      </c>
      <c r="D76" s="105">
        <v>4500000</v>
      </c>
      <c r="E76" s="106">
        <f>E146</f>
        <v>3745000</v>
      </c>
      <c r="F76" s="107">
        <f>F146</f>
        <v>100000</v>
      </c>
      <c r="G76" s="106">
        <f>E76+F76</f>
        <v>3845000</v>
      </c>
      <c r="H76" s="108">
        <f>G76-D76</f>
        <v>-655000</v>
      </c>
      <c r="I76" s="110">
        <f>G76/D76%</f>
        <v>85.444444444444443</v>
      </c>
      <c r="J76" s="104"/>
      <c r="K76" s="27"/>
    </row>
    <row r="77" spans="2:11" x14ac:dyDescent="0.25">
      <c r="B77" s="69"/>
      <c r="C77" s="98"/>
      <c r="D77" s="105"/>
      <c r="E77" s="106"/>
      <c r="F77" s="107"/>
      <c r="G77" s="106"/>
      <c r="H77" s="108"/>
      <c r="I77" s="110"/>
      <c r="J77" s="104"/>
      <c r="K77" s="27"/>
    </row>
    <row r="78" spans="2:11" x14ac:dyDescent="0.25">
      <c r="B78" s="69" t="s">
        <v>18</v>
      </c>
      <c r="C78" s="98" t="s">
        <v>19</v>
      </c>
      <c r="D78" s="105">
        <v>0</v>
      </c>
      <c r="E78" s="106">
        <f>E164</f>
        <v>0</v>
      </c>
      <c r="F78" s="107">
        <f>F164</f>
        <v>0</v>
      </c>
      <c r="G78" s="106">
        <f>E78+F78</f>
        <v>0</v>
      </c>
      <c r="H78" s="108">
        <f>G78-D78</f>
        <v>0</v>
      </c>
      <c r="I78" s="110" t="e">
        <f>G78/D78%</f>
        <v>#DIV/0!</v>
      </c>
      <c r="J78" s="104"/>
      <c r="K78" s="27"/>
    </row>
    <row r="79" spans="2:11" ht="15.75" thickBot="1" x14ac:dyDescent="0.3">
      <c r="B79" s="69"/>
      <c r="C79" s="98"/>
      <c r="D79" s="111"/>
      <c r="E79" s="112"/>
      <c r="F79" s="113"/>
      <c r="G79" s="112"/>
      <c r="H79" s="96"/>
      <c r="I79" s="97"/>
      <c r="J79" s="104"/>
      <c r="K79" s="27"/>
    </row>
    <row r="80" spans="2:11" ht="16.5" thickTop="1" thickBot="1" x14ac:dyDescent="0.3">
      <c r="B80" s="114"/>
      <c r="C80" s="115" t="s">
        <v>24</v>
      </c>
      <c r="D80" s="116">
        <f>SUM(D74:D78)</f>
        <v>18000000</v>
      </c>
      <c r="E80" s="117">
        <f>SUM(E74:E78)</f>
        <v>20735000</v>
      </c>
      <c r="F80" s="118">
        <f>SUM(F74:F78)</f>
        <v>560000</v>
      </c>
      <c r="G80" s="117">
        <f>SUM(G74:G78)</f>
        <v>21295000</v>
      </c>
      <c r="H80" s="119">
        <f>SUM(H74:H78)</f>
        <v>3295000</v>
      </c>
      <c r="I80" s="120">
        <f>G80/D80%</f>
        <v>118.30555555555556</v>
      </c>
      <c r="J80" s="121"/>
      <c r="K80" s="27"/>
    </row>
    <row r="81" spans="2:11" x14ac:dyDescent="0.25">
      <c r="B81" s="75"/>
      <c r="C81" s="75"/>
      <c r="D81" s="75"/>
      <c r="E81" s="75"/>
      <c r="F81" s="75"/>
      <c r="G81" s="76"/>
      <c r="H81" s="75"/>
      <c r="I81" s="75"/>
      <c r="J81" s="75"/>
      <c r="K81" s="27"/>
    </row>
    <row r="82" spans="2:11" x14ac:dyDescent="0.25">
      <c r="B82" s="75"/>
      <c r="C82" s="75"/>
      <c r="D82" s="75"/>
      <c r="E82" s="122" t="s">
        <v>25</v>
      </c>
      <c r="F82" s="242" t="s">
        <v>26</v>
      </c>
      <c r="G82" s="124" t="e">
        <f>#REF!</f>
        <v>#REF!</v>
      </c>
      <c r="H82" s="75"/>
      <c r="I82" s="75"/>
      <c r="J82" s="75"/>
      <c r="K82" s="27"/>
    </row>
    <row r="83" spans="2:11" x14ac:dyDescent="0.25">
      <c r="B83" s="75"/>
      <c r="C83" s="75"/>
      <c r="D83" s="75"/>
      <c r="E83" s="122" t="s">
        <v>132</v>
      </c>
      <c r="F83" s="242" t="s">
        <v>26</v>
      </c>
      <c r="G83" s="124" t="e">
        <f>#REF!</f>
        <v>#REF!</v>
      </c>
      <c r="H83" s="75"/>
      <c r="I83" s="75"/>
      <c r="J83" s="75"/>
      <c r="K83" s="27"/>
    </row>
    <row r="84" spans="2:11" x14ac:dyDescent="0.25">
      <c r="B84" s="75"/>
      <c r="C84" s="75"/>
      <c r="D84" s="75"/>
      <c r="E84" s="122" t="s">
        <v>27</v>
      </c>
      <c r="F84" s="242" t="s">
        <v>26</v>
      </c>
      <c r="G84" s="125">
        <f>197000+174000+291500+146000+105000+36000+45000+91000+98000</f>
        <v>1183500</v>
      </c>
      <c r="H84" s="75"/>
      <c r="I84" s="75"/>
      <c r="J84" s="75"/>
      <c r="K84" s="27"/>
    </row>
    <row r="85" spans="2:11" ht="19.5" x14ac:dyDescent="0.55000000000000004">
      <c r="B85" s="75"/>
      <c r="C85" s="75"/>
      <c r="D85" s="75"/>
      <c r="E85" s="122" t="s">
        <v>29</v>
      </c>
      <c r="F85" s="242" t="s">
        <v>26</v>
      </c>
      <c r="G85" s="126">
        <f>270000+75000+285000+50000</f>
        <v>680000</v>
      </c>
      <c r="H85" s="75" t="s">
        <v>28</v>
      </c>
      <c r="I85" s="75"/>
      <c r="J85" s="75"/>
      <c r="K85" s="27"/>
    </row>
    <row r="86" spans="2:11" ht="15.75" thickBot="1" x14ac:dyDescent="0.3">
      <c r="B86" s="75"/>
      <c r="C86" s="75"/>
      <c r="D86" s="75"/>
      <c r="E86" s="122" t="s">
        <v>30</v>
      </c>
      <c r="F86" s="123"/>
      <c r="G86" s="127" t="e">
        <f>SUM(G82:G85)</f>
        <v>#REF!</v>
      </c>
      <c r="H86" s="160" t="s">
        <v>126</v>
      </c>
      <c r="I86" s="27"/>
      <c r="J86" s="75"/>
      <c r="K86" s="27"/>
    </row>
    <row r="87" spans="2:11" ht="15.75" thickTop="1" x14ac:dyDescent="0.25">
      <c r="B87" s="75"/>
      <c r="C87" s="75"/>
      <c r="D87" s="75"/>
      <c r="E87" s="122"/>
      <c r="F87" s="123"/>
      <c r="G87" s="159" t="s">
        <v>263</v>
      </c>
      <c r="H87" s="27"/>
      <c r="I87" s="27"/>
      <c r="J87" s="75"/>
      <c r="K87" s="27"/>
    </row>
    <row r="88" spans="2:11" ht="15.75" thickBot="1" x14ac:dyDescent="0.3">
      <c r="B88" s="161" t="s">
        <v>128</v>
      </c>
      <c r="C88" s="161" t="s">
        <v>321</v>
      </c>
      <c r="D88" s="149"/>
      <c r="E88" s="162"/>
      <c r="F88" s="243" t="s">
        <v>26</v>
      </c>
      <c r="G88" s="244">
        <f>2400000+1500000</f>
        <v>3900000</v>
      </c>
      <c r="H88" s="165" t="s">
        <v>126</v>
      </c>
      <c r="I88" s="149"/>
      <c r="J88" s="245">
        <f>SUM(G88:G89)</f>
        <v>13147500</v>
      </c>
      <c r="K88" s="160" t="s">
        <v>35</v>
      </c>
    </row>
    <row r="89" spans="2:11" ht="16.5" thickTop="1" thickBot="1" x14ac:dyDescent="0.3">
      <c r="B89" s="161"/>
      <c r="C89" s="161" t="s">
        <v>322</v>
      </c>
      <c r="D89" s="162"/>
      <c r="E89" s="161"/>
      <c r="F89" s="243" t="s">
        <v>26</v>
      </c>
      <c r="G89" s="164">
        <f>3500000+1500000+3000000+1247500</f>
        <v>9247500</v>
      </c>
      <c r="H89" s="165" t="s">
        <v>126</v>
      </c>
      <c r="I89" s="149"/>
      <c r="J89" s="162"/>
      <c r="K89" s="149"/>
    </row>
    <row r="90" spans="2:11" ht="15.75" thickTop="1" x14ac:dyDescent="0.25">
      <c r="B90" s="27"/>
      <c r="C90" s="27"/>
      <c r="D90" s="27"/>
      <c r="E90" s="27"/>
      <c r="F90" s="27"/>
      <c r="G90" s="27"/>
      <c r="H90" s="403" t="s">
        <v>341</v>
      </c>
      <c r="I90" s="403"/>
      <c r="J90" s="27"/>
      <c r="K90" s="27"/>
    </row>
    <row r="91" spans="2:11" x14ac:dyDescent="0.25">
      <c r="B91" s="27"/>
      <c r="C91" s="27"/>
      <c r="D91" s="27"/>
      <c r="E91" s="27"/>
      <c r="F91" s="27"/>
      <c r="G91" s="166" t="e">
        <f>G71-G82</f>
        <v>#REF!</v>
      </c>
      <c r="H91" s="27"/>
      <c r="I91" s="27"/>
      <c r="J91" s="27"/>
      <c r="K91" s="27"/>
    </row>
    <row r="92" spans="2:11" ht="15.75" thickBot="1" x14ac:dyDescent="0.3">
      <c r="B92" s="27"/>
      <c r="C92" s="27"/>
      <c r="D92" s="27"/>
      <c r="E92" s="27"/>
      <c r="F92" s="27"/>
      <c r="G92" s="27" t="s">
        <v>133</v>
      </c>
      <c r="H92" s="27"/>
      <c r="I92" s="27"/>
      <c r="J92" s="128" t="e">
        <f>G82+G85</f>
        <v>#REF!</v>
      </c>
      <c r="K92" s="178" t="s">
        <v>127</v>
      </c>
    </row>
    <row r="93" spans="2:11" ht="15.75" thickTop="1" x14ac:dyDescent="0.25">
      <c r="B93" s="27"/>
      <c r="C93" s="27"/>
      <c r="D93" s="27"/>
      <c r="E93" s="27"/>
      <c r="F93" s="27"/>
      <c r="G93" s="27"/>
      <c r="H93" s="27"/>
      <c r="I93" s="27"/>
      <c r="J93" s="166"/>
      <c r="K93" s="27"/>
    </row>
    <row r="94" spans="2:11" ht="15.75" thickBot="1" x14ac:dyDescent="0.3">
      <c r="B94" s="27"/>
      <c r="C94" s="27"/>
      <c r="D94" s="27"/>
      <c r="E94" s="27"/>
      <c r="F94" s="27"/>
      <c r="G94" s="27"/>
      <c r="H94" s="27"/>
      <c r="I94" s="27"/>
      <c r="J94" s="128" t="e">
        <f>G86+G88+G89</f>
        <v>#REF!</v>
      </c>
      <c r="K94" s="178" t="s">
        <v>130</v>
      </c>
    </row>
    <row r="95" spans="2:11" ht="15.75" thickTop="1" x14ac:dyDescent="0.25">
      <c r="B95" s="27"/>
      <c r="C95" s="27"/>
      <c r="D95" s="27"/>
      <c r="E95" s="27"/>
      <c r="F95" s="27"/>
      <c r="G95" s="27"/>
      <c r="H95" s="27"/>
      <c r="I95" s="27"/>
      <c r="J95" s="27"/>
      <c r="K95" s="27"/>
    </row>
    <row r="96" spans="2:11" x14ac:dyDescent="0.25">
      <c r="B96" s="129"/>
      <c r="C96" s="129"/>
      <c r="D96" s="129"/>
      <c r="E96" s="129"/>
      <c r="F96" s="129"/>
      <c r="G96" s="129"/>
      <c r="H96" s="129"/>
      <c r="I96" s="129"/>
      <c r="J96" s="129"/>
      <c r="K96" s="27"/>
    </row>
    <row r="97" spans="2:11" x14ac:dyDescent="0.25">
      <c r="B97" s="27"/>
      <c r="C97" s="27"/>
      <c r="D97" s="27"/>
      <c r="E97" s="27"/>
      <c r="F97" s="27"/>
      <c r="G97" s="27"/>
      <c r="H97" s="27"/>
      <c r="I97" s="27"/>
      <c r="J97" s="75"/>
      <c r="K97" s="27"/>
    </row>
    <row r="98" spans="2:11" x14ac:dyDescent="0.25">
      <c r="B98" s="406" t="s">
        <v>333</v>
      </c>
      <c r="C98" s="406"/>
      <c r="D98" s="406"/>
      <c r="E98" s="406"/>
      <c r="F98" s="406"/>
      <c r="G98" s="406"/>
      <c r="H98" s="406"/>
      <c r="I98" s="406"/>
      <c r="J98" s="75"/>
      <c r="K98" s="27"/>
    </row>
    <row r="99" spans="2:11" ht="15.75" thickBot="1" x14ac:dyDescent="0.3">
      <c r="B99" s="406" t="s">
        <v>340</v>
      </c>
      <c r="C99" s="406"/>
      <c r="D99" s="406"/>
      <c r="E99" s="406"/>
      <c r="F99" s="406"/>
      <c r="G99" s="406"/>
      <c r="H99" s="406"/>
      <c r="I99" s="406"/>
      <c r="J99" s="78"/>
      <c r="K99" s="27"/>
    </row>
    <row r="100" spans="2:11" x14ac:dyDescent="0.25">
      <c r="B100" s="407" t="s">
        <v>2</v>
      </c>
      <c r="C100" s="409" t="s">
        <v>3</v>
      </c>
      <c r="D100" s="411" t="s">
        <v>4</v>
      </c>
      <c r="E100" s="413" t="s">
        <v>5</v>
      </c>
      <c r="F100" s="414"/>
      <c r="G100" s="415"/>
      <c r="H100" s="413" t="s">
        <v>6</v>
      </c>
      <c r="I100" s="415"/>
      <c r="J100" s="416" t="s">
        <v>0</v>
      </c>
      <c r="K100" s="27"/>
    </row>
    <row r="101" spans="2:11" ht="15.75" thickBot="1" x14ac:dyDescent="0.3">
      <c r="B101" s="408"/>
      <c r="C101" s="410"/>
      <c r="D101" s="412"/>
      <c r="E101" s="145" t="str">
        <f>E5</f>
        <v>PENJ. S/D TGL. 29</v>
      </c>
      <c r="F101" s="146" t="str">
        <f>F5</f>
        <v>PENJ. TGL. 30</v>
      </c>
      <c r="G101" s="130" t="s">
        <v>7</v>
      </c>
      <c r="H101" s="131" t="s">
        <v>8</v>
      </c>
      <c r="I101" s="130" t="s">
        <v>9</v>
      </c>
      <c r="J101" s="417"/>
      <c r="K101" s="27"/>
    </row>
    <row r="102" spans="2:11" ht="15.75" thickTop="1" x14ac:dyDescent="0.25">
      <c r="B102" s="132"/>
      <c r="C102" s="133" t="s">
        <v>11</v>
      </c>
      <c r="D102" s="82"/>
      <c r="E102" s="42"/>
      <c r="F102" s="42"/>
      <c r="G102" s="41"/>
      <c r="H102" s="42"/>
      <c r="I102" s="42"/>
      <c r="J102" s="83"/>
      <c r="K102" s="27"/>
    </row>
    <row r="103" spans="2:11" x14ac:dyDescent="0.25">
      <c r="B103" s="43" t="s">
        <v>12</v>
      </c>
      <c r="C103" s="44" t="s">
        <v>13</v>
      </c>
      <c r="D103" s="134">
        <v>13500000</v>
      </c>
      <c r="E103" s="45"/>
      <c r="F103" s="45"/>
      <c r="G103" s="59"/>
      <c r="H103" s="45"/>
      <c r="I103" s="45"/>
      <c r="J103" s="84"/>
      <c r="K103" s="27"/>
    </row>
    <row r="104" spans="2:11" x14ac:dyDescent="0.25">
      <c r="B104" s="46"/>
      <c r="C104" s="47" t="s">
        <v>36</v>
      </c>
      <c r="D104" s="85">
        <v>0</v>
      </c>
      <c r="E104" s="48">
        <v>9758000</v>
      </c>
      <c r="F104" s="61">
        <f>70000+70000+100000+120000</f>
        <v>360000</v>
      </c>
      <c r="G104" s="61">
        <f>E104+F104</f>
        <v>10118000</v>
      </c>
      <c r="H104" s="85">
        <f>G104-D104</f>
        <v>10118000</v>
      </c>
      <c r="I104" s="86" t="e">
        <f>G104/D104%</f>
        <v>#DIV/0!</v>
      </c>
      <c r="J104" s="87"/>
      <c r="K104" s="27"/>
    </row>
    <row r="105" spans="2:11" x14ac:dyDescent="0.25">
      <c r="B105" s="46"/>
      <c r="C105" s="47" t="s">
        <v>37</v>
      </c>
      <c r="D105" s="85">
        <v>0</v>
      </c>
      <c r="E105" s="48">
        <v>308000</v>
      </c>
      <c r="F105" s="61">
        <v>0</v>
      </c>
      <c r="G105" s="61">
        <f t="shared" ref="G105:G123" si="10">E105+F105</f>
        <v>308000</v>
      </c>
      <c r="H105" s="85">
        <f>G105-D105</f>
        <v>308000</v>
      </c>
      <c r="I105" s="86" t="e">
        <f>G105/D105%</f>
        <v>#DIV/0!</v>
      </c>
      <c r="J105" s="87"/>
      <c r="K105" s="27"/>
    </row>
    <row r="106" spans="2:11" x14ac:dyDescent="0.25">
      <c r="B106" s="46"/>
      <c r="C106" s="47" t="s">
        <v>52</v>
      </c>
      <c r="D106" s="85">
        <v>0</v>
      </c>
      <c r="E106" s="48">
        <v>0</v>
      </c>
      <c r="F106" s="61">
        <v>0</v>
      </c>
      <c r="G106" s="61">
        <f t="shared" si="10"/>
        <v>0</v>
      </c>
      <c r="H106" s="85"/>
      <c r="I106" s="86"/>
      <c r="J106" s="87"/>
      <c r="K106" s="27"/>
    </row>
    <row r="107" spans="2:11" x14ac:dyDescent="0.25">
      <c r="B107" s="46"/>
      <c r="C107" s="47" t="s">
        <v>53</v>
      </c>
      <c r="D107" s="85">
        <v>0</v>
      </c>
      <c r="E107" s="48">
        <v>2273000</v>
      </c>
      <c r="F107" s="61">
        <f>50000</f>
        <v>50000</v>
      </c>
      <c r="G107" s="61">
        <f t="shared" si="10"/>
        <v>2323000</v>
      </c>
      <c r="H107" s="85">
        <f t="shared" ref="H107:H123" si="11">G107-D107</f>
        <v>2323000</v>
      </c>
      <c r="I107" s="86" t="e">
        <f t="shared" ref="I107:I122" si="12">G107/D107%</f>
        <v>#DIV/0!</v>
      </c>
      <c r="J107" s="87"/>
      <c r="K107" s="27"/>
    </row>
    <row r="108" spans="2:11" x14ac:dyDescent="0.25">
      <c r="B108" s="46"/>
      <c r="C108" s="47" t="s">
        <v>54</v>
      </c>
      <c r="D108" s="85"/>
      <c r="E108" s="48">
        <v>120000</v>
      </c>
      <c r="F108" s="61">
        <v>0</v>
      </c>
      <c r="G108" s="61">
        <f t="shared" si="10"/>
        <v>120000</v>
      </c>
      <c r="H108" s="85">
        <f t="shared" si="11"/>
        <v>120000</v>
      </c>
      <c r="I108" s="86" t="e">
        <f t="shared" si="12"/>
        <v>#DIV/0!</v>
      </c>
      <c r="J108" s="88"/>
      <c r="K108" s="27"/>
    </row>
    <row r="109" spans="2:11" x14ac:dyDescent="0.25">
      <c r="B109" s="46"/>
      <c r="C109" s="47" t="s">
        <v>55</v>
      </c>
      <c r="D109" s="85">
        <v>0</v>
      </c>
      <c r="E109" s="48">
        <v>624000</v>
      </c>
      <c r="F109" s="61">
        <v>0</v>
      </c>
      <c r="G109" s="61">
        <f t="shared" si="10"/>
        <v>624000</v>
      </c>
      <c r="H109" s="85">
        <f t="shared" si="11"/>
        <v>624000</v>
      </c>
      <c r="I109" s="86" t="e">
        <f t="shared" si="12"/>
        <v>#DIV/0!</v>
      </c>
      <c r="J109" s="88"/>
      <c r="K109" s="27"/>
    </row>
    <row r="110" spans="2:11" x14ac:dyDescent="0.25">
      <c r="B110" s="46"/>
      <c r="C110" s="47" t="s">
        <v>56</v>
      </c>
      <c r="D110" s="85">
        <v>0</v>
      </c>
      <c r="E110" s="48">
        <v>0</v>
      </c>
      <c r="F110" s="61">
        <v>0</v>
      </c>
      <c r="G110" s="61">
        <f t="shared" si="10"/>
        <v>0</v>
      </c>
      <c r="H110" s="85">
        <f t="shared" si="11"/>
        <v>0</v>
      </c>
      <c r="I110" s="86" t="e">
        <f t="shared" si="12"/>
        <v>#DIV/0!</v>
      </c>
      <c r="J110" s="87"/>
      <c r="K110" s="27"/>
    </row>
    <row r="111" spans="2:11" x14ac:dyDescent="0.25">
      <c r="B111" s="46"/>
      <c r="C111" s="47" t="s">
        <v>57</v>
      </c>
      <c r="D111" s="85">
        <v>0</v>
      </c>
      <c r="E111" s="48">
        <v>2292000</v>
      </c>
      <c r="F111" s="61">
        <f>50000</f>
        <v>50000</v>
      </c>
      <c r="G111" s="61">
        <f t="shared" si="10"/>
        <v>2342000</v>
      </c>
      <c r="H111" s="85">
        <f t="shared" si="11"/>
        <v>2342000</v>
      </c>
      <c r="I111" s="86" t="e">
        <f t="shared" si="12"/>
        <v>#DIV/0!</v>
      </c>
      <c r="J111" s="87"/>
      <c r="K111" s="27"/>
    </row>
    <row r="112" spans="2:11" x14ac:dyDescent="0.25">
      <c r="B112" s="46"/>
      <c r="C112" s="47" t="s">
        <v>58</v>
      </c>
      <c r="D112" s="85">
        <v>0</v>
      </c>
      <c r="E112" s="48">
        <v>836000</v>
      </c>
      <c r="F112" s="61">
        <v>0</v>
      </c>
      <c r="G112" s="61">
        <f t="shared" si="10"/>
        <v>836000</v>
      </c>
      <c r="H112" s="85">
        <f t="shared" si="11"/>
        <v>836000</v>
      </c>
      <c r="I112" s="86" t="e">
        <f t="shared" si="12"/>
        <v>#DIV/0!</v>
      </c>
      <c r="J112" s="87"/>
      <c r="K112" s="27"/>
    </row>
    <row r="113" spans="2:11" x14ac:dyDescent="0.25">
      <c r="B113" s="46"/>
      <c r="C113" s="47" t="s">
        <v>59</v>
      </c>
      <c r="D113" s="85">
        <v>0</v>
      </c>
      <c r="E113" s="48">
        <v>155000</v>
      </c>
      <c r="F113" s="61">
        <v>0</v>
      </c>
      <c r="G113" s="61">
        <f t="shared" si="10"/>
        <v>155000</v>
      </c>
      <c r="H113" s="85">
        <f t="shared" si="11"/>
        <v>155000</v>
      </c>
      <c r="I113" s="86" t="e">
        <f t="shared" si="12"/>
        <v>#DIV/0!</v>
      </c>
      <c r="J113" s="87"/>
      <c r="K113" s="27"/>
    </row>
    <row r="114" spans="2:11" x14ac:dyDescent="0.25">
      <c r="B114" s="46"/>
      <c r="C114" s="47" t="s">
        <v>60</v>
      </c>
      <c r="D114" s="85">
        <v>0</v>
      </c>
      <c r="E114" s="48">
        <v>334000</v>
      </c>
      <c r="F114" s="61">
        <v>0</v>
      </c>
      <c r="G114" s="61">
        <f t="shared" si="10"/>
        <v>334000</v>
      </c>
      <c r="H114" s="85">
        <f t="shared" si="11"/>
        <v>334000</v>
      </c>
      <c r="I114" s="86" t="e">
        <f t="shared" si="12"/>
        <v>#DIV/0!</v>
      </c>
      <c r="J114" s="87"/>
      <c r="K114" s="27"/>
    </row>
    <row r="115" spans="2:11" x14ac:dyDescent="0.25">
      <c r="B115" s="46"/>
      <c r="C115" s="47" t="s">
        <v>61</v>
      </c>
      <c r="D115" s="85">
        <v>0</v>
      </c>
      <c r="E115" s="48">
        <v>0</v>
      </c>
      <c r="F115" s="61">
        <v>0</v>
      </c>
      <c r="G115" s="61">
        <f t="shared" si="10"/>
        <v>0</v>
      </c>
      <c r="H115" s="85">
        <f t="shared" si="11"/>
        <v>0</v>
      </c>
      <c r="I115" s="86" t="e">
        <f t="shared" si="12"/>
        <v>#DIV/0!</v>
      </c>
      <c r="J115" s="87"/>
      <c r="K115" s="27"/>
    </row>
    <row r="116" spans="2:11" x14ac:dyDescent="0.25">
      <c r="B116" s="46"/>
      <c r="C116" s="47" t="s">
        <v>324</v>
      </c>
      <c r="D116" s="85">
        <v>0</v>
      </c>
      <c r="E116" s="48">
        <v>0</v>
      </c>
      <c r="F116" s="61">
        <v>0</v>
      </c>
      <c r="G116" s="61">
        <f t="shared" si="10"/>
        <v>0</v>
      </c>
      <c r="H116" s="85">
        <f t="shared" si="11"/>
        <v>0</v>
      </c>
      <c r="I116" s="86" t="e">
        <f t="shared" si="12"/>
        <v>#DIV/0!</v>
      </c>
      <c r="J116" s="87"/>
      <c r="K116" s="27"/>
    </row>
    <row r="117" spans="2:11" x14ac:dyDescent="0.25">
      <c r="B117" s="46"/>
      <c r="C117" s="47" t="s">
        <v>63</v>
      </c>
      <c r="D117" s="85">
        <v>0</v>
      </c>
      <c r="E117" s="48">
        <v>0</v>
      </c>
      <c r="F117" s="61">
        <v>0</v>
      </c>
      <c r="G117" s="61">
        <f t="shared" si="10"/>
        <v>0</v>
      </c>
      <c r="H117" s="85">
        <f t="shared" si="11"/>
        <v>0</v>
      </c>
      <c r="I117" s="86" t="e">
        <f t="shared" si="12"/>
        <v>#DIV/0!</v>
      </c>
      <c r="J117" s="87"/>
      <c r="K117" s="27"/>
    </row>
    <row r="118" spans="2:11" x14ac:dyDescent="0.25">
      <c r="B118" s="46"/>
      <c r="C118" s="47" t="s">
        <v>64</v>
      </c>
      <c r="D118" s="85">
        <v>0</v>
      </c>
      <c r="E118" s="48">
        <v>0</v>
      </c>
      <c r="F118" s="61">
        <v>0</v>
      </c>
      <c r="G118" s="61">
        <f t="shared" si="10"/>
        <v>0</v>
      </c>
      <c r="H118" s="85">
        <f t="shared" si="11"/>
        <v>0</v>
      </c>
      <c r="I118" s="86" t="e">
        <f t="shared" si="12"/>
        <v>#DIV/0!</v>
      </c>
      <c r="J118" s="87"/>
      <c r="K118" s="27"/>
    </row>
    <row r="119" spans="2:11" x14ac:dyDescent="0.25">
      <c r="B119" s="46"/>
      <c r="C119" s="47" t="s">
        <v>65</v>
      </c>
      <c r="D119" s="85">
        <v>0</v>
      </c>
      <c r="E119" s="48">
        <v>200000</v>
      </c>
      <c r="F119" s="61">
        <v>0</v>
      </c>
      <c r="G119" s="61">
        <f t="shared" si="10"/>
        <v>200000</v>
      </c>
      <c r="H119" s="85">
        <f t="shared" si="11"/>
        <v>200000</v>
      </c>
      <c r="I119" s="86" t="e">
        <f t="shared" si="12"/>
        <v>#DIV/0!</v>
      </c>
      <c r="J119" s="87"/>
      <c r="K119" s="27"/>
    </row>
    <row r="120" spans="2:11" x14ac:dyDescent="0.25">
      <c r="B120" s="46"/>
      <c r="C120" s="47" t="s">
        <v>66</v>
      </c>
      <c r="D120" s="85">
        <v>0</v>
      </c>
      <c r="E120" s="48">
        <v>90000</v>
      </c>
      <c r="F120" s="61">
        <v>0</v>
      </c>
      <c r="G120" s="61">
        <f t="shared" si="10"/>
        <v>90000</v>
      </c>
      <c r="H120" s="85">
        <f t="shared" si="11"/>
        <v>90000</v>
      </c>
      <c r="I120" s="86" t="e">
        <f t="shared" si="12"/>
        <v>#DIV/0!</v>
      </c>
      <c r="J120" s="87"/>
      <c r="K120" s="27"/>
    </row>
    <row r="121" spans="2:11" x14ac:dyDescent="0.25">
      <c r="B121" s="46"/>
      <c r="C121" s="47" t="s">
        <v>67</v>
      </c>
      <c r="D121" s="85">
        <v>0</v>
      </c>
      <c r="E121" s="48">
        <v>0</v>
      </c>
      <c r="F121" s="61">
        <v>0</v>
      </c>
      <c r="G121" s="61">
        <f t="shared" si="10"/>
        <v>0</v>
      </c>
      <c r="H121" s="85">
        <f t="shared" si="11"/>
        <v>0</v>
      </c>
      <c r="I121" s="86" t="e">
        <f t="shared" si="12"/>
        <v>#DIV/0!</v>
      </c>
      <c r="J121" s="87"/>
      <c r="K121" s="27"/>
    </row>
    <row r="122" spans="2:11" x14ac:dyDescent="0.25">
      <c r="B122" s="46"/>
      <c r="C122" s="47" t="s">
        <v>68</v>
      </c>
      <c r="D122" s="85">
        <v>0</v>
      </c>
      <c r="E122" s="48">
        <v>0</v>
      </c>
      <c r="F122" s="61">
        <v>0</v>
      </c>
      <c r="G122" s="61">
        <f t="shared" si="10"/>
        <v>0</v>
      </c>
      <c r="H122" s="85">
        <f t="shared" si="11"/>
        <v>0</v>
      </c>
      <c r="I122" s="86" t="e">
        <f t="shared" si="12"/>
        <v>#DIV/0!</v>
      </c>
      <c r="J122" s="87"/>
      <c r="K122" s="27"/>
    </row>
    <row r="123" spans="2:11" x14ac:dyDescent="0.25">
      <c r="B123" s="46"/>
      <c r="C123" s="47" t="s">
        <v>69</v>
      </c>
      <c r="D123" s="85">
        <v>0</v>
      </c>
      <c r="E123" s="48">
        <v>0</v>
      </c>
      <c r="F123" s="61">
        <v>0</v>
      </c>
      <c r="G123" s="61">
        <f t="shared" si="10"/>
        <v>0</v>
      </c>
      <c r="H123" s="85">
        <f t="shared" si="11"/>
        <v>0</v>
      </c>
      <c r="I123" s="86"/>
      <c r="J123" s="87"/>
      <c r="K123" s="27"/>
    </row>
    <row r="124" spans="2:11" x14ac:dyDescent="0.25">
      <c r="B124" s="46"/>
      <c r="C124" s="47"/>
      <c r="D124" s="47"/>
      <c r="E124" s="61"/>
      <c r="F124" s="61"/>
      <c r="G124" s="61"/>
      <c r="H124" s="85"/>
      <c r="I124" s="86"/>
      <c r="J124" s="87"/>
      <c r="K124" s="27"/>
    </row>
    <row r="125" spans="2:11" x14ac:dyDescent="0.25">
      <c r="B125" s="46"/>
      <c r="C125" s="60" t="s">
        <v>14</v>
      </c>
      <c r="D125" s="135">
        <f>D103</f>
        <v>13500000</v>
      </c>
      <c r="E125" s="89">
        <f>SUM(E104:E123)</f>
        <v>16990000</v>
      </c>
      <c r="F125" s="89">
        <f>SUM(F104:F123)</f>
        <v>460000</v>
      </c>
      <c r="G125" s="89">
        <f>SUM(G104:G123)</f>
        <v>17450000</v>
      </c>
      <c r="H125" s="90">
        <f>SUM(H104:H117)</f>
        <v>17160000</v>
      </c>
      <c r="I125" s="91">
        <f>G125/D125%</f>
        <v>129.25925925925927</v>
      </c>
      <c r="J125" s="87"/>
      <c r="K125" s="27"/>
    </row>
    <row r="126" spans="2:11" x14ac:dyDescent="0.25">
      <c r="B126" s="46"/>
      <c r="C126" s="47"/>
      <c r="D126" s="47"/>
      <c r="E126" s="61"/>
      <c r="F126" s="62"/>
      <c r="G126" s="61"/>
      <c r="H126" s="85"/>
      <c r="I126" s="85"/>
      <c r="J126" s="87"/>
      <c r="K126" s="27"/>
    </row>
    <row r="127" spans="2:11" x14ac:dyDescent="0.25">
      <c r="B127" s="46" t="s">
        <v>15</v>
      </c>
      <c r="C127" s="60" t="s">
        <v>16</v>
      </c>
      <c r="D127" s="134">
        <v>4500000</v>
      </c>
      <c r="E127" s="61"/>
      <c r="F127" s="62"/>
      <c r="G127" s="61"/>
      <c r="H127" s="85"/>
      <c r="I127" s="85"/>
      <c r="J127" s="87"/>
      <c r="K127" s="27"/>
    </row>
    <row r="128" spans="2:11" x14ac:dyDescent="0.25">
      <c r="B128" s="46"/>
      <c r="C128" s="47" t="s">
        <v>38</v>
      </c>
      <c r="D128" s="85">
        <v>0</v>
      </c>
      <c r="E128" s="48">
        <v>0</v>
      </c>
      <c r="F128" s="61">
        <v>0</v>
      </c>
      <c r="G128" s="61">
        <f t="shared" ref="G128:G144" si="13">E128+F128</f>
        <v>0</v>
      </c>
      <c r="H128" s="85">
        <f t="shared" ref="H128:H144" si="14">G128-D128</f>
        <v>0</v>
      </c>
      <c r="I128" s="86" t="e">
        <f t="shared" ref="I128:I144" si="15">G128/D128%</f>
        <v>#DIV/0!</v>
      </c>
      <c r="J128" s="87"/>
      <c r="K128" s="27"/>
    </row>
    <row r="129" spans="2:11" x14ac:dyDescent="0.25">
      <c r="B129" s="46"/>
      <c r="C129" s="47" t="s">
        <v>39</v>
      </c>
      <c r="D129" s="85">
        <v>0</v>
      </c>
      <c r="E129" s="48">
        <v>603000</v>
      </c>
      <c r="F129" s="61">
        <v>0</v>
      </c>
      <c r="G129" s="61">
        <f t="shared" si="13"/>
        <v>603000</v>
      </c>
      <c r="H129" s="85">
        <f t="shared" si="14"/>
        <v>603000</v>
      </c>
      <c r="I129" s="86" t="e">
        <f t="shared" si="15"/>
        <v>#DIV/0!</v>
      </c>
      <c r="J129" s="87"/>
      <c r="K129" s="27"/>
    </row>
    <row r="130" spans="2:11" x14ac:dyDescent="0.25">
      <c r="B130" s="46"/>
      <c r="C130" s="47" t="s">
        <v>40</v>
      </c>
      <c r="D130" s="85">
        <v>0</v>
      </c>
      <c r="E130" s="48">
        <v>522000</v>
      </c>
      <c r="F130" s="61">
        <f>50000</f>
        <v>50000</v>
      </c>
      <c r="G130" s="61">
        <f t="shared" si="13"/>
        <v>572000</v>
      </c>
      <c r="H130" s="85">
        <f t="shared" si="14"/>
        <v>572000</v>
      </c>
      <c r="I130" s="86" t="e">
        <f t="shared" si="15"/>
        <v>#DIV/0!</v>
      </c>
      <c r="J130" s="87"/>
      <c r="K130" s="27"/>
    </row>
    <row r="131" spans="2:11" x14ac:dyDescent="0.25">
      <c r="B131" s="46"/>
      <c r="C131" s="47" t="s">
        <v>41</v>
      </c>
      <c r="D131" s="85">
        <v>0</v>
      </c>
      <c r="E131" s="48">
        <v>30000</v>
      </c>
      <c r="F131" s="61">
        <v>0</v>
      </c>
      <c r="G131" s="61">
        <f t="shared" si="13"/>
        <v>30000</v>
      </c>
      <c r="H131" s="85">
        <f t="shared" si="14"/>
        <v>30000</v>
      </c>
      <c r="I131" s="86" t="e">
        <f t="shared" si="15"/>
        <v>#DIV/0!</v>
      </c>
      <c r="J131" s="87"/>
      <c r="K131" s="27"/>
    </row>
    <row r="132" spans="2:11" x14ac:dyDescent="0.25">
      <c r="B132" s="46"/>
      <c r="C132" s="47" t="s">
        <v>50</v>
      </c>
      <c r="D132" s="85">
        <v>0</v>
      </c>
      <c r="E132" s="48">
        <v>0</v>
      </c>
      <c r="F132" s="61">
        <v>0</v>
      </c>
      <c r="G132" s="61">
        <f t="shared" si="13"/>
        <v>0</v>
      </c>
      <c r="H132" s="85">
        <f t="shared" si="14"/>
        <v>0</v>
      </c>
      <c r="I132" s="86" t="e">
        <f t="shared" si="15"/>
        <v>#DIV/0!</v>
      </c>
      <c r="J132" s="87"/>
      <c r="K132" s="27"/>
    </row>
    <row r="133" spans="2:11" x14ac:dyDescent="0.25">
      <c r="B133" s="46"/>
      <c r="C133" s="47" t="s">
        <v>51</v>
      </c>
      <c r="D133" s="85">
        <v>0</v>
      </c>
      <c r="E133" s="48">
        <v>50000</v>
      </c>
      <c r="F133" s="61">
        <v>0</v>
      </c>
      <c r="G133" s="61">
        <f t="shared" si="13"/>
        <v>50000</v>
      </c>
      <c r="H133" s="85">
        <f t="shared" si="14"/>
        <v>50000</v>
      </c>
      <c r="I133" s="86" t="e">
        <f t="shared" si="15"/>
        <v>#DIV/0!</v>
      </c>
      <c r="J133" s="87"/>
      <c r="K133" s="27"/>
    </row>
    <row r="134" spans="2:11" x14ac:dyDescent="0.25">
      <c r="B134" s="46"/>
      <c r="C134" s="47" t="s">
        <v>49</v>
      </c>
      <c r="D134" s="85">
        <v>0</v>
      </c>
      <c r="E134" s="48">
        <v>0</v>
      </c>
      <c r="F134" s="61">
        <v>0</v>
      </c>
      <c r="G134" s="61">
        <f t="shared" si="13"/>
        <v>0</v>
      </c>
      <c r="H134" s="85">
        <f t="shared" si="14"/>
        <v>0</v>
      </c>
      <c r="I134" s="86" t="e">
        <f t="shared" si="15"/>
        <v>#DIV/0!</v>
      </c>
      <c r="J134" s="87"/>
      <c r="K134" s="27"/>
    </row>
    <row r="135" spans="2:11" x14ac:dyDescent="0.25">
      <c r="B135" s="46"/>
      <c r="C135" s="47" t="s">
        <v>79</v>
      </c>
      <c r="D135" s="85">
        <v>0</v>
      </c>
      <c r="E135" s="48">
        <v>0</v>
      </c>
      <c r="F135" s="61">
        <v>0</v>
      </c>
      <c r="G135" s="61">
        <f t="shared" si="13"/>
        <v>0</v>
      </c>
      <c r="H135" s="85">
        <f t="shared" si="14"/>
        <v>0</v>
      </c>
      <c r="I135" s="86" t="e">
        <f t="shared" si="15"/>
        <v>#DIV/0!</v>
      </c>
      <c r="J135" s="87"/>
      <c r="K135" s="27"/>
    </row>
    <row r="136" spans="2:11" x14ac:dyDescent="0.25">
      <c r="B136" s="46"/>
      <c r="C136" s="47" t="s">
        <v>71</v>
      </c>
      <c r="D136" s="85">
        <v>0</v>
      </c>
      <c r="E136" s="48">
        <v>2230000</v>
      </c>
      <c r="F136" s="61">
        <f>50000</f>
        <v>50000</v>
      </c>
      <c r="G136" s="61">
        <f t="shared" si="13"/>
        <v>2280000</v>
      </c>
      <c r="H136" s="85">
        <f t="shared" si="14"/>
        <v>2280000</v>
      </c>
      <c r="I136" s="86" t="e">
        <f t="shared" si="15"/>
        <v>#DIV/0!</v>
      </c>
      <c r="J136" s="87"/>
      <c r="K136" s="27"/>
    </row>
    <row r="137" spans="2:11" x14ac:dyDescent="0.25">
      <c r="B137" s="46"/>
      <c r="C137" s="47" t="s">
        <v>72</v>
      </c>
      <c r="D137" s="85">
        <v>0</v>
      </c>
      <c r="E137" s="48">
        <v>310000</v>
      </c>
      <c r="F137" s="61">
        <v>0</v>
      </c>
      <c r="G137" s="61">
        <f t="shared" si="13"/>
        <v>310000</v>
      </c>
      <c r="H137" s="85">
        <f t="shared" si="14"/>
        <v>310000</v>
      </c>
      <c r="I137" s="86" t="e">
        <f t="shared" si="15"/>
        <v>#DIV/0!</v>
      </c>
      <c r="J137" s="87"/>
      <c r="K137" s="27"/>
    </row>
    <row r="138" spans="2:11" x14ac:dyDescent="0.25">
      <c r="B138" s="46"/>
      <c r="C138" s="47" t="s">
        <v>70</v>
      </c>
      <c r="D138" s="85">
        <v>0</v>
      </c>
      <c r="E138" s="48">
        <v>0</v>
      </c>
      <c r="F138" s="61">
        <v>0</v>
      </c>
      <c r="G138" s="61">
        <f>E138+F138</f>
        <v>0</v>
      </c>
      <c r="H138" s="85">
        <f t="shared" si="14"/>
        <v>0</v>
      </c>
      <c r="I138" s="86" t="e">
        <f t="shared" si="15"/>
        <v>#DIV/0!</v>
      </c>
      <c r="J138" s="87"/>
      <c r="K138" s="27"/>
    </row>
    <row r="139" spans="2:11" x14ac:dyDescent="0.25">
      <c r="B139" s="46"/>
      <c r="C139" s="47" t="s">
        <v>73</v>
      </c>
      <c r="D139" s="85">
        <v>0</v>
      </c>
      <c r="E139" s="48">
        <v>0</v>
      </c>
      <c r="F139" s="61">
        <v>0</v>
      </c>
      <c r="G139" s="61">
        <f t="shared" si="13"/>
        <v>0</v>
      </c>
      <c r="H139" s="85">
        <f t="shared" si="14"/>
        <v>0</v>
      </c>
      <c r="I139" s="86" t="e">
        <f t="shared" si="15"/>
        <v>#DIV/0!</v>
      </c>
      <c r="J139" s="87"/>
      <c r="K139" s="27"/>
    </row>
    <row r="140" spans="2:11" x14ac:dyDescent="0.25">
      <c r="B140" s="46"/>
      <c r="C140" s="47" t="s">
        <v>74</v>
      </c>
      <c r="D140" s="85">
        <v>0</v>
      </c>
      <c r="E140" s="48">
        <v>0</v>
      </c>
      <c r="F140" s="61">
        <v>0</v>
      </c>
      <c r="G140" s="61">
        <f t="shared" si="13"/>
        <v>0</v>
      </c>
      <c r="H140" s="85">
        <f t="shared" si="14"/>
        <v>0</v>
      </c>
      <c r="I140" s="86" t="e">
        <f t="shared" si="15"/>
        <v>#DIV/0!</v>
      </c>
      <c r="J140" s="87"/>
      <c r="K140" s="27"/>
    </row>
    <row r="141" spans="2:11" x14ac:dyDescent="0.25">
      <c r="B141" s="46"/>
      <c r="C141" s="47" t="s">
        <v>75</v>
      </c>
      <c r="D141" s="85">
        <v>0</v>
      </c>
      <c r="E141" s="48">
        <v>0</v>
      </c>
      <c r="F141" s="61">
        <v>0</v>
      </c>
      <c r="G141" s="61">
        <f t="shared" si="13"/>
        <v>0</v>
      </c>
      <c r="H141" s="85">
        <f t="shared" si="14"/>
        <v>0</v>
      </c>
      <c r="I141" s="86" t="e">
        <f t="shared" si="15"/>
        <v>#DIV/0!</v>
      </c>
      <c r="J141" s="87"/>
      <c r="K141" s="27"/>
    </row>
    <row r="142" spans="2:11" x14ac:dyDescent="0.25">
      <c r="B142" s="46"/>
      <c r="C142" s="47" t="s">
        <v>76</v>
      </c>
      <c r="D142" s="85">
        <v>0</v>
      </c>
      <c r="E142" s="48">
        <v>0</v>
      </c>
      <c r="F142" s="61">
        <v>0</v>
      </c>
      <c r="G142" s="61">
        <f t="shared" si="13"/>
        <v>0</v>
      </c>
      <c r="H142" s="85">
        <f t="shared" si="14"/>
        <v>0</v>
      </c>
      <c r="I142" s="86" t="e">
        <f t="shared" si="15"/>
        <v>#DIV/0!</v>
      </c>
      <c r="J142" s="87"/>
      <c r="K142" s="27"/>
    </row>
    <row r="143" spans="2:11" x14ac:dyDescent="0.25">
      <c r="B143" s="46"/>
      <c r="C143" s="47" t="s">
        <v>77</v>
      </c>
      <c r="D143" s="85">
        <v>0</v>
      </c>
      <c r="E143" s="48">
        <v>0</v>
      </c>
      <c r="F143" s="61">
        <v>0</v>
      </c>
      <c r="G143" s="61">
        <f t="shared" si="13"/>
        <v>0</v>
      </c>
      <c r="H143" s="85">
        <f t="shared" si="14"/>
        <v>0</v>
      </c>
      <c r="I143" s="86" t="e">
        <f t="shared" si="15"/>
        <v>#DIV/0!</v>
      </c>
      <c r="J143" s="87"/>
      <c r="K143" s="27"/>
    </row>
    <row r="144" spans="2:11" x14ac:dyDescent="0.25">
      <c r="B144" s="46"/>
      <c r="C144" s="47" t="s">
        <v>323</v>
      </c>
      <c r="D144" s="85">
        <v>0</v>
      </c>
      <c r="E144" s="48">
        <v>0</v>
      </c>
      <c r="F144" s="61">
        <v>0</v>
      </c>
      <c r="G144" s="61">
        <f t="shared" si="13"/>
        <v>0</v>
      </c>
      <c r="H144" s="85">
        <f t="shared" si="14"/>
        <v>0</v>
      </c>
      <c r="I144" s="86" t="e">
        <f t="shared" si="15"/>
        <v>#DIV/0!</v>
      </c>
      <c r="J144" s="87"/>
      <c r="K144" s="27"/>
    </row>
    <row r="145" spans="2:11" x14ac:dyDescent="0.25">
      <c r="B145" s="46"/>
      <c r="C145" s="47"/>
      <c r="D145" s="85"/>
      <c r="E145" s="61"/>
      <c r="F145" s="61"/>
      <c r="G145" s="61"/>
      <c r="H145" s="85"/>
      <c r="I145" s="85"/>
      <c r="J145" s="87"/>
      <c r="K145" s="27"/>
    </row>
    <row r="146" spans="2:11" x14ac:dyDescent="0.25">
      <c r="B146" s="46"/>
      <c r="C146" s="60" t="s">
        <v>17</v>
      </c>
      <c r="D146" s="136">
        <f>D127</f>
        <v>4500000</v>
      </c>
      <c r="E146" s="89">
        <f>SUM(E128:E144)</f>
        <v>3745000</v>
      </c>
      <c r="F146" s="89">
        <f>SUM(F128:F144)</f>
        <v>100000</v>
      </c>
      <c r="G146" s="89">
        <f>SUM(G128:G144)</f>
        <v>3845000</v>
      </c>
      <c r="H146" s="90">
        <f>SUM(H128:H144)</f>
        <v>3845000</v>
      </c>
      <c r="I146" s="91">
        <f>G146/D146%</f>
        <v>85.444444444444443</v>
      </c>
      <c r="J146" s="87"/>
      <c r="K146" s="27"/>
    </row>
    <row r="147" spans="2:11" x14ac:dyDescent="0.25">
      <c r="B147" s="46"/>
      <c r="C147" s="47"/>
      <c r="D147" s="47"/>
      <c r="E147" s="61"/>
      <c r="F147" s="62"/>
      <c r="G147" s="61"/>
      <c r="H147" s="85"/>
      <c r="I147" s="85"/>
      <c r="J147" s="87"/>
      <c r="K147" s="27"/>
    </row>
    <row r="148" spans="2:11" x14ac:dyDescent="0.25">
      <c r="B148" s="46" t="s">
        <v>18</v>
      </c>
      <c r="C148" s="60" t="s">
        <v>19</v>
      </c>
      <c r="D148" s="134">
        <v>0</v>
      </c>
      <c r="E148" s="61"/>
      <c r="F148" s="62"/>
      <c r="G148" s="61"/>
      <c r="H148" s="85"/>
      <c r="I148" s="85"/>
      <c r="J148" s="87"/>
      <c r="K148" s="27"/>
    </row>
    <row r="149" spans="2:11" x14ac:dyDescent="0.25">
      <c r="B149" s="46"/>
      <c r="C149" s="47" t="s">
        <v>42</v>
      </c>
      <c r="D149" s="85">
        <v>0</v>
      </c>
      <c r="E149" s="48">
        <v>0</v>
      </c>
      <c r="F149" s="61">
        <v>0</v>
      </c>
      <c r="G149" s="61">
        <f>E149+F149</f>
        <v>0</v>
      </c>
      <c r="H149" s="85">
        <f t="shared" ref="H149:H162" si="16">G149-D149</f>
        <v>0</v>
      </c>
      <c r="I149" s="86" t="e">
        <f t="shared" ref="I149:I162" si="17">G149/D149%</f>
        <v>#DIV/0!</v>
      </c>
      <c r="J149" s="87"/>
      <c r="K149" s="27"/>
    </row>
    <row r="150" spans="2:11" x14ac:dyDescent="0.25">
      <c r="B150" s="46"/>
      <c r="C150" s="47" t="s">
        <v>43</v>
      </c>
      <c r="D150" s="85">
        <v>0</v>
      </c>
      <c r="E150" s="48">
        <v>0</v>
      </c>
      <c r="F150" s="61">
        <v>0</v>
      </c>
      <c r="G150" s="61">
        <f t="shared" ref="G150:G162" si="18">E150+F150</f>
        <v>0</v>
      </c>
      <c r="H150" s="85">
        <f t="shared" si="16"/>
        <v>0</v>
      </c>
      <c r="I150" s="86" t="e">
        <f t="shared" si="17"/>
        <v>#DIV/0!</v>
      </c>
      <c r="J150" s="87"/>
      <c r="K150" s="27"/>
    </row>
    <row r="151" spans="2:11" x14ac:dyDescent="0.25">
      <c r="B151" s="46"/>
      <c r="C151" s="47" t="s">
        <v>44</v>
      </c>
      <c r="D151" s="85">
        <v>0</v>
      </c>
      <c r="E151" s="48">
        <v>0</v>
      </c>
      <c r="F151" s="61">
        <v>0</v>
      </c>
      <c r="G151" s="61">
        <f t="shared" si="18"/>
        <v>0</v>
      </c>
      <c r="H151" s="85">
        <f t="shared" si="16"/>
        <v>0</v>
      </c>
      <c r="I151" s="86" t="e">
        <f t="shared" si="17"/>
        <v>#DIV/0!</v>
      </c>
      <c r="J151" s="87"/>
      <c r="K151" s="27"/>
    </row>
    <row r="152" spans="2:11" x14ac:dyDescent="0.25">
      <c r="B152" s="46"/>
      <c r="C152" s="47" t="s">
        <v>45</v>
      </c>
      <c r="D152" s="85">
        <v>0</v>
      </c>
      <c r="E152" s="48">
        <v>0</v>
      </c>
      <c r="F152" s="61">
        <v>0</v>
      </c>
      <c r="G152" s="61">
        <f t="shared" si="18"/>
        <v>0</v>
      </c>
      <c r="H152" s="85">
        <f t="shared" si="16"/>
        <v>0</v>
      </c>
      <c r="I152" s="86" t="e">
        <f t="shared" si="17"/>
        <v>#DIV/0!</v>
      </c>
      <c r="J152" s="87"/>
      <c r="K152" s="27"/>
    </row>
    <row r="153" spans="2:11" x14ac:dyDescent="0.25">
      <c r="B153" s="46"/>
      <c r="C153" s="47" t="s">
        <v>46</v>
      </c>
      <c r="D153" s="85">
        <v>0</v>
      </c>
      <c r="E153" s="48">
        <v>0</v>
      </c>
      <c r="F153" s="92">
        <v>0</v>
      </c>
      <c r="G153" s="61">
        <f t="shared" si="18"/>
        <v>0</v>
      </c>
      <c r="H153" s="85">
        <f t="shared" si="16"/>
        <v>0</v>
      </c>
      <c r="I153" s="86" t="e">
        <f t="shared" si="17"/>
        <v>#DIV/0!</v>
      </c>
      <c r="J153" s="87"/>
      <c r="K153" s="27"/>
    </row>
    <row r="154" spans="2:11" x14ac:dyDescent="0.25">
      <c r="B154" s="46"/>
      <c r="C154" s="47" t="s">
        <v>88</v>
      </c>
      <c r="D154" s="85">
        <v>0</v>
      </c>
      <c r="E154" s="48">
        <v>0</v>
      </c>
      <c r="F154" s="61">
        <v>0</v>
      </c>
      <c r="G154" s="61">
        <f t="shared" si="18"/>
        <v>0</v>
      </c>
      <c r="H154" s="85">
        <f t="shared" si="16"/>
        <v>0</v>
      </c>
      <c r="I154" s="86" t="e">
        <f t="shared" si="17"/>
        <v>#DIV/0!</v>
      </c>
      <c r="J154" s="87"/>
      <c r="K154" s="27"/>
    </row>
    <row r="155" spans="2:11" x14ac:dyDescent="0.25">
      <c r="B155" s="46"/>
      <c r="C155" s="47" t="s">
        <v>80</v>
      </c>
      <c r="D155" s="85">
        <v>0</v>
      </c>
      <c r="E155" s="48">
        <v>0</v>
      </c>
      <c r="F155" s="61">
        <v>0</v>
      </c>
      <c r="G155" s="61">
        <f t="shared" si="18"/>
        <v>0</v>
      </c>
      <c r="H155" s="85">
        <f t="shared" si="16"/>
        <v>0</v>
      </c>
      <c r="I155" s="86" t="e">
        <f t="shared" si="17"/>
        <v>#DIV/0!</v>
      </c>
      <c r="J155" s="87"/>
      <c r="K155" s="27"/>
    </row>
    <row r="156" spans="2:11" x14ac:dyDescent="0.25">
      <c r="B156" s="46"/>
      <c r="C156" s="47" t="s">
        <v>86</v>
      </c>
      <c r="D156" s="85">
        <v>0</v>
      </c>
      <c r="E156" s="48">
        <v>0</v>
      </c>
      <c r="F156" s="61">
        <v>0</v>
      </c>
      <c r="G156" s="61">
        <f t="shared" si="18"/>
        <v>0</v>
      </c>
      <c r="H156" s="85">
        <f t="shared" si="16"/>
        <v>0</v>
      </c>
      <c r="I156" s="86" t="e">
        <f t="shared" si="17"/>
        <v>#DIV/0!</v>
      </c>
      <c r="J156" s="87"/>
      <c r="K156" s="27"/>
    </row>
    <row r="157" spans="2:11" x14ac:dyDescent="0.25">
      <c r="B157" s="46"/>
      <c r="C157" s="47" t="s">
        <v>87</v>
      </c>
      <c r="D157" s="85">
        <v>0</v>
      </c>
      <c r="E157" s="48">
        <v>0</v>
      </c>
      <c r="F157" s="61">
        <v>0</v>
      </c>
      <c r="G157" s="61">
        <f t="shared" si="18"/>
        <v>0</v>
      </c>
      <c r="H157" s="85">
        <f t="shared" si="16"/>
        <v>0</v>
      </c>
      <c r="I157" s="86" t="e">
        <f t="shared" si="17"/>
        <v>#DIV/0!</v>
      </c>
      <c r="J157" s="87"/>
      <c r="K157" s="27"/>
    </row>
    <row r="158" spans="2:11" x14ac:dyDescent="0.25">
      <c r="B158" s="46"/>
      <c r="C158" s="47" t="s">
        <v>81</v>
      </c>
      <c r="D158" s="85">
        <v>0</v>
      </c>
      <c r="E158" s="48">
        <v>0</v>
      </c>
      <c r="F158" s="61">
        <v>0</v>
      </c>
      <c r="G158" s="61">
        <f t="shared" si="18"/>
        <v>0</v>
      </c>
      <c r="H158" s="85">
        <f t="shared" si="16"/>
        <v>0</v>
      </c>
      <c r="I158" s="86" t="e">
        <f t="shared" si="17"/>
        <v>#DIV/0!</v>
      </c>
      <c r="J158" s="87"/>
      <c r="K158" s="27"/>
    </row>
    <row r="159" spans="2:11" x14ac:dyDescent="0.25">
      <c r="B159" s="46"/>
      <c r="C159" s="47" t="s">
        <v>82</v>
      </c>
      <c r="D159" s="85">
        <v>0</v>
      </c>
      <c r="E159" s="48">
        <v>0</v>
      </c>
      <c r="F159" s="61">
        <v>0</v>
      </c>
      <c r="G159" s="61">
        <f t="shared" si="18"/>
        <v>0</v>
      </c>
      <c r="H159" s="85">
        <f t="shared" si="16"/>
        <v>0</v>
      </c>
      <c r="I159" s="86" t="e">
        <f t="shared" si="17"/>
        <v>#DIV/0!</v>
      </c>
      <c r="J159" s="87"/>
      <c r="K159" s="27"/>
    </row>
    <row r="160" spans="2:11" x14ac:dyDescent="0.25">
      <c r="B160" s="46"/>
      <c r="C160" s="47" t="s">
        <v>83</v>
      </c>
      <c r="D160" s="85">
        <v>0</v>
      </c>
      <c r="E160" s="48">
        <v>0</v>
      </c>
      <c r="F160" s="61">
        <v>0</v>
      </c>
      <c r="G160" s="61">
        <f t="shared" si="18"/>
        <v>0</v>
      </c>
      <c r="H160" s="85">
        <f t="shared" si="16"/>
        <v>0</v>
      </c>
      <c r="I160" s="86" t="e">
        <f t="shared" si="17"/>
        <v>#DIV/0!</v>
      </c>
      <c r="J160" s="87"/>
      <c r="K160" s="27"/>
    </row>
    <row r="161" spans="2:11" x14ac:dyDescent="0.25">
      <c r="B161" s="46"/>
      <c r="C161" s="47" t="s">
        <v>84</v>
      </c>
      <c r="D161" s="85">
        <v>0</v>
      </c>
      <c r="E161" s="48">
        <v>0</v>
      </c>
      <c r="F161" s="61">
        <v>0</v>
      </c>
      <c r="G161" s="61">
        <f t="shared" si="18"/>
        <v>0</v>
      </c>
      <c r="H161" s="85">
        <f t="shared" si="16"/>
        <v>0</v>
      </c>
      <c r="I161" s="86" t="e">
        <f t="shared" si="17"/>
        <v>#DIV/0!</v>
      </c>
      <c r="J161" s="87"/>
      <c r="K161" s="27"/>
    </row>
    <row r="162" spans="2:11" x14ac:dyDescent="0.25">
      <c r="B162" s="46"/>
      <c r="C162" s="47" t="s">
        <v>85</v>
      </c>
      <c r="D162" s="85">
        <v>0</v>
      </c>
      <c r="E162" s="48">
        <v>0</v>
      </c>
      <c r="F162" s="61">
        <v>0</v>
      </c>
      <c r="G162" s="61">
        <f t="shared" si="18"/>
        <v>0</v>
      </c>
      <c r="H162" s="85">
        <f t="shared" si="16"/>
        <v>0</v>
      </c>
      <c r="I162" s="86" t="e">
        <f t="shared" si="17"/>
        <v>#DIV/0!</v>
      </c>
      <c r="J162" s="87"/>
      <c r="K162" s="27"/>
    </row>
    <row r="163" spans="2:11" x14ac:dyDescent="0.25">
      <c r="B163" s="46"/>
      <c r="C163" s="47"/>
      <c r="D163" s="85"/>
      <c r="E163" s="61"/>
      <c r="F163" s="61"/>
      <c r="G163" s="61"/>
      <c r="H163" s="85"/>
      <c r="I163" s="85"/>
      <c r="J163" s="87"/>
      <c r="K163" s="27"/>
    </row>
    <row r="164" spans="2:11" x14ac:dyDescent="0.25">
      <c r="B164" s="46"/>
      <c r="C164" s="60" t="s">
        <v>20</v>
      </c>
      <c r="D164" s="136">
        <f>D148</f>
        <v>0</v>
      </c>
      <c r="E164" s="89">
        <f>SUM(E149:E162)</f>
        <v>0</v>
      </c>
      <c r="F164" s="89">
        <f>SUM(F149:F162)</f>
        <v>0</v>
      </c>
      <c r="G164" s="89">
        <f>SUM(G149:G162)</f>
        <v>0</v>
      </c>
      <c r="H164" s="90">
        <f>SUM(H149:H158)</f>
        <v>0</v>
      </c>
      <c r="I164" s="91" t="e">
        <f>G164/D164%</f>
        <v>#DIV/0!</v>
      </c>
      <c r="J164" s="87"/>
      <c r="K164" s="27"/>
    </row>
    <row r="165" spans="2:11" x14ac:dyDescent="0.25">
      <c r="B165" s="46"/>
      <c r="C165" s="47"/>
      <c r="D165" s="47"/>
      <c r="E165" s="61"/>
      <c r="F165" s="62"/>
      <c r="G165" s="61"/>
      <c r="H165" s="85"/>
      <c r="I165" s="85"/>
      <c r="J165" s="87"/>
      <c r="K165" s="27"/>
    </row>
    <row r="166" spans="2:11" ht="15.75" thickBot="1" x14ac:dyDescent="0.3">
      <c r="B166" s="114"/>
      <c r="C166" s="115" t="s">
        <v>21</v>
      </c>
      <c r="D166" s="137">
        <f>D125+D146+D164</f>
        <v>18000000</v>
      </c>
      <c r="E166" s="138">
        <f>E125+E146+E164</f>
        <v>20735000</v>
      </c>
      <c r="F166" s="139">
        <f>F125+F146+F164</f>
        <v>560000</v>
      </c>
      <c r="G166" s="138">
        <f>G125+G146+G164</f>
        <v>21295000</v>
      </c>
      <c r="H166" s="140">
        <f>H125+H146+H164</f>
        <v>21005000</v>
      </c>
      <c r="I166" s="141">
        <f>G166/D166%</f>
        <v>118.30555555555556</v>
      </c>
      <c r="J166" s="142"/>
      <c r="K166" s="27"/>
    </row>
    <row r="167" spans="2:11" x14ac:dyDescent="0.25">
      <c r="B167" s="75"/>
      <c r="C167" s="75"/>
      <c r="D167" s="75"/>
      <c r="E167" s="75"/>
      <c r="F167" s="75"/>
      <c r="G167" s="76"/>
      <c r="H167" s="75"/>
      <c r="I167" s="75"/>
      <c r="J167" s="75"/>
      <c r="K167" s="27"/>
    </row>
    <row r="168" spans="2:11" x14ac:dyDescent="0.25">
      <c r="B168" s="75"/>
      <c r="C168" s="75"/>
      <c r="D168" s="75"/>
      <c r="E168" s="75"/>
      <c r="F168" s="75"/>
      <c r="G168" s="76"/>
      <c r="H168" s="75"/>
      <c r="I168" s="75"/>
      <c r="J168" s="75"/>
      <c r="K168" s="27"/>
    </row>
    <row r="169" spans="2:11" x14ac:dyDescent="0.25">
      <c r="B169" s="75"/>
      <c r="C169" s="75"/>
      <c r="D169" s="75"/>
      <c r="E169" s="122" t="s">
        <v>25</v>
      </c>
      <c r="F169" s="123" t="s">
        <v>26</v>
      </c>
      <c r="G169" s="124" t="e">
        <f>#REF!</f>
        <v>#REF!</v>
      </c>
      <c r="H169" s="75"/>
      <c r="I169" s="75"/>
      <c r="J169" s="75"/>
      <c r="K169" s="27"/>
    </row>
    <row r="170" spans="2:11" ht="19.5" x14ac:dyDescent="0.55000000000000004">
      <c r="B170" s="75"/>
      <c r="C170" s="75"/>
      <c r="D170" s="75"/>
      <c r="E170" s="122" t="s">
        <v>29</v>
      </c>
      <c r="F170" s="123" t="s">
        <v>26</v>
      </c>
      <c r="G170" s="126">
        <v>0</v>
      </c>
      <c r="H170" s="75" t="s">
        <v>28</v>
      </c>
      <c r="I170" s="75"/>
      <c r="J170" s="75"/>
      <c r="K170" s="27"/>
    </row>
    <row r="171" spans="2:11" ht="15.75" thickBot="1" x14ac:dyDescent="0.3">
      <c r="B171" s="75"/>
      <c r="C171" s="75"/>
      <c r="D171" s="75"/>
      <c r="E171" s="122" t="s">
        <v>30</v>
      </c>
      <c r="F171" s="123"/>
      <c r="G171" s="127" t="e">
        <f>SUM(G169:G170)</f>
        <v>#REF!</v>
      </c>
      <c r="H171" s="160" t="s">
        <v>126</v>
      </c>
      <c r="I171" s="27"/>
      <c r="J171" s="75"/>
      <c r="K171" s="27"/>
    </row>
    <row r="172" spans="2:11" ht="15.75" thickTop="1" x14ac:dyDescent="0.25">
      <c r="B172" s="27"/>
      <c r="C172" s="27"/>
      <c r="D172" s="27"/>
      <c r="E172" s="27"/>
      <c r="F172" s="27"/>
      <c r="G172" s="27"/>
      <c r="H172" s="403" t="str">
        <f>H90</f>
        <v>Jalang'E, 01 Mei 2019</v>
      </c>
      <c r="I172" s="403"/>
      <c r="J172" s="27"/>
      <c r="K172" s="27"/>
    </row>
    <row r="174" spans="2:11" x14ac:dyDescent="0.25">
      <c r="G174" s="166" t="e">
        <f>G166-G171</f>
        <v>#REF!</v>
      </c>
    </row>
  </sheetData>
  <mergeCells count="19">
    <mergeCell ref="B1:I1"/>
    <mergeCell ref="B2:I2"/>
    <mergeCell ref="B3:I3"/>
    <mergeCell ref="B4:B5"/>
    <mergeCell ref="C4:C5"/>
    <mergeCell ref="D4:D5"/>
    <mergeCell ref="E4:G4"/>
    <mergeCell ref="H4:I4"/>
    <mergeCell ref="H172:I172"/>
    <mergeCell ref="J4:J5"/>
    <mergeCell ref="H90:I90"/>
    <mergeCell ref="B98:I98"/>
    <mergeCell ref="B99:I99"/>
    <mergeCell ref="B100:B101"/>
    <mergeCell ref="C100:C101"/>
    <mergeCell ref="D100:D101"/>
    <mergeCell ref="E100:G100"/>
    <mergeCell ref="H100:I100"/>
    <mergeCell ref="J100:J101"/>
  </mergeCells>
  <pageMargins left="0.99" right="0.12" top="0.18" bottom="0.2" header="0.3" footer="0.15"/>
  <pageSetup paperSize="9" scale="61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2:K175"/>
  <sheetViews>
    <sheetView zoomScale="90" zoomScaleNormal="90" workbookViewId="0">
      <pane ySplit="6" topLeftCell="A7" activePane="bottomLeft" state="frozen"/>
      <selection pane="bottomLeft" activeCell="G9" sqref="G9"/>
    </sheetView>
  </sheetViews>
  <sheetFormatPr defaultRowHeight="15" x14ac:dyDescent="0.25"/>
  <cols>
    <col min="2" max="2" width="4.42578125" customWidth="1"/>
    <col min="3" max="3" width="29" customWidth="1"/>
    <col min="4" max="4" width="18.140625" customWidth="1"/>
    <col min="5" max="5" width="18.5703125" customWidth="1"/>
    <col min="6" max="7" width="18.140625" customWidth="1"/>
    <col min="8" max="8" width="17.140625" customWidth="1"/>
    <col min="9" max="9" width="16.85546875" customWidth="1"/>
    <col min="10" max="10" width="17.85546875" customWidth="1"/>
  </cols>
  <sheetData>
    <row r="2" spans="2:11" x14ac:dyDescent="0.25">
      <c r="B2" s="392" t="s">
        <v>345</v>
      </c>
      <c r="C2" s="392"/>
      <c r="D2" s="392"/>
      <c r="E2" s="392"/>
      <c r="F2" s="392"/>
      <c r="G2" s="392"/>
      <c r="H2" s="392"/>
      <c r="I2" s="392"/>
      <c r="J2" s="75"/>
      <c r="K2" s="27"/>
    </row>
    <row r="3" spans="2:11" x14ac:dyDescent="0.25">
      <c r="B3" s="392" t="s">
        <v>350</v>
      </c>
      <c r="C3" s="392"/>
      <c r="D3" s="392"/>
      <c r="E3" s="392"/>
      <c r="F3" s="392"/>
      <c r="G3" s="392"/>
      <c r="H3" s="392"/>
      <c r="I3" s="392"/>
      <c r="J3" s="75"/>
      <c r="K3" s="27"/>
    </row>
    <row r="4" spans="2:11" ht="15.75" thickBot="1" x14ac:dyDescent="0.3">
      <c r="B4" s="393" t="s">
        <v>1</v>
      </c>
      <c r="C4" s="393"/>
      <c r="D4" s="393"/>
      <c r="E4" s="393"/>
      <c r="F4" s="393"/>
      <c r="G4" s="393"/>
      <c r="H4" s="393"/>
      <c r="I4" s="393"/>
      <c r="J4" s="78"/>
      <c r="K4" s="27"/>
    </row>
    <row r="5" spans="2:11" x14ac:dyDescent="0.25">
      <c r="B5" s="394" t="s">
        <v>2</v>
      </c>
      <c r="C5" s="396" t="s">
        <v>3</v>
      </c>
      <c r="D5" s="398" t="s">
        <v>4</v>
      </c>
      <c r="E5" s="400" t="s">
        <v>5</v>
      </c>
      <c r="F5" s="401"/>
      <c r="G5" s="402"/>
      <c r="H5" s="401" t="s">
        <v>6</v>
      </c>
      <c r="I5" s="402"/>
      <c r="J5" s="404" t="s">
        <v>0</v>
      </c>
      <c r="K5" s="27"/>
    </row>
    <row r="6" spans="2:11" ht="15.75" thickBot="1" x14ac:dyDescent="0.3">
      <c r="B6" s="395"/>
      <c r="C6" s="397"/>
      <c r="D6" s="399"/>
      <c r="E6" s="147" t="s">
        <v>145</v>
      </c>
      <c r="F6" s="148" t="s">
        <v>146</v>
      </c>
      <c r="G6" s="79" t="s">
        <v>7</v>
      </c>
      <c r="H6" s="80" t="s">
        <v>8</v>
      </c>
      <c r="I6" s="81" t="s">
        <v>9</v>
      </c>
      <c r="J6" s="405"/>
      <c r="K6" s="27"/>
    </row>
    <row r="7" spans="2:11" x14ac:dyDescent="0.25">
      <c r="B7" s="40"/>
      <c r="C7" s="41" t="s">
        <v>10</v>
      </c>
      <c r="D7" s="82"/>
      <c r="E7" s="42"/>
      <c r="F7" s="42"/>
      <c r="G7" s="41"/>
      <c r="H7" s="42"/>
      <c r="I7" s="42"/>
      <c r="J7" s="83"/>
      <c r="K7" s="27" t="s">
        <v>263</v>
      </c>
    </row>
    <row r="8" spans="2:11" x14ac:dyDescent="0.25">
      <c r="B8" s="43" t="s">
        <v>12</v>
      </c>
      <c r="C8" s="44" t="s">
        <v>13</v>
      </c>
      <c r="D8" s="45"/>
      <c r="E8" s="45"/>
      <c r="F8" s="45"/>
      <c r="G8" s="59"/>
      <c r="H8" s="45"/>
      <c r="I8" s="45"/>
      <c r="J8" s="84"/>
      <c r="K8" s="27"/>
    </row>
    <row r="9" spans="2:11" x14ac:dyDescent="0.25">
      <c r="B9" s="46"/>
      <c r="C9" s="47" t="s">
        <v>36</v>
      </c>
      <c r="D9" s="248">
        <v>6498000</v>
      </c>
      <c r="E9" s="247">
        <v>4555000</v>
      </c>
      <c r="F9" s="61">
        <f>30000+70000</f>
        <v>100000</v>
      </c>
      <c r="G9" s="61">
        <f>E9+F9</f>
        <v>4655000</v>
      </c>
      <c r="H9" s="85">
        <f t="shared" ref="H9:H28" si="0">G9-D9</f>
        <v>-1843000</v>
      </c>
      <c r="I9" s="86">
        <f t="shared" ref="I9:I22" si="1">G9/D9%</f>
        <v>71.637426900584799</v>
      </c>
      <c r="J9" s="87"/>
      <c r="K9" s="27"/>
    </row>
    <row r="10" spans="2:11" x14ac:dyDescent="0.25">
      <c r="B10" s="46"/>
      <c r="C10" s="47" t="s">
        <v>37</v>
      </c>
      <c r="D10" s="248">
        <v>6678000</v>
      </c>
      <c r="E10" s="247">
        <v>6798500</v>
      </c>
      <c r="F10" s="61">
        <v>0</v>
      </c>
      <c r="G10" s="61">
        <f t="shared" ref="G10:G19" si="2">E10+F10</f>
        <v>6798500</v>
      </c>
      <c r="H10" s="85">
        <f t="shared" si="0"/>
        <v>120500</v>
      </c>
      <c r="I10" s="86">
        <f t="shared" si="1"/>
        <v>101.80443246480982</v>
      </c>
      <c r="J10" s="87"/>
      <c r="K10" s="27"/>
    </row>
    <row r="11" spans="2:11" x14ac:dyDescent="0.25">
      <c r="B11" s="46"/>
      <c r="C11" s="47" t="s">
        <v>52</v>
      </c>
      <c r="D11" s="248">
        <v>85000</v>
      </c>
      <c r="E11" s="247">
        <v>450000</v>
      </c>
      <c r="F11" s="61">
        <v>0</v>
      </c>
      <c r="G11" s="61">
        <f t="shared" si="2"/>
        <v>450000</v>
      </c>
      <c r="H11" s="85"/>
      <c r="I11" s="86"/>
      <c r="J11" s="87"/>
      <c r="K11" s="27"/>
    </row>
    <row r="12" spans="2:11" x14ac:dyDescent="0.25">
      <c r="B12" s="46"/>
      <c r="C12" s="47" t="s">
        <v>53</v>
      </c>
      <c r="D12" s="248">
        <v>15020000</v>
      </c>
      <c r="E12" s="247">
        <v>18400000</v>
      </c>
      <c r="F12" s="61">
        <f>57400+142600</f>
        <v>200000</v>
      </c>
      <c r="G12" s="61">
        <f>E12+F12</f>
        <v>18600000</v>
      </c>
      <c r="H12" s="85">
        <f t="shared" si="0"/>
        <v>3580000</v>
      </c>
      <c r="I12" s="86">
        <f t="shared" si="1"/>
        <v>123.83488681757656</v>
      </c>
      <c r="J12" s="87"/>
      <c r="K12" s="27"/>
    </row>
    <row r="13" spans="2:11" x14ac:dyDescent="0.25">
      <c r="B13" s="46"/>
      <c r="C13" s="47" t="s">
        <v>54</v>
      </c>
      <c r="D13" s="248">
        <v>6169000</v>
      </c>
      <c r="E13" s="247">
        <v>7077000</v>
      </c>
      <c r="F13" s="61">
        <v>0</v>
      </c>
      <c r="G13" s="61">
        <f t="shared" si="2"/>
        <v>7077000</v>
      </c>
      <c r="H13" s="85">
        <f t="shared" si="0"/>
        <v>908000</v>
      </c>
      <c r="I13" s="86">
        <f t="shared" si="1"/>
        <v>114.71875506565084</v>
      </c>
      <c r="J13" s="88"/>
      <c r="K13" s="27"/>
    </row>
    <row r="14" spans="2:11" x14ac:dyDescent="0.25">
      <c r="B14" s="46"/>
      <c r="C14" s="47" t="s">
        <v>55</v>
      </c>
      <c r="D14" s="248">
        <v>4679000</v>
      </c>
      <c r="E14" s="247">
        <v>4508333</v>
      </c>
      <c r="F14" s="61">
        <v>0</v>
      </c>
      <c r="G14" s="61">
        <f>E14+F14</f>
        <v>4508333</v>
      </c>
      <c r="H14" s="85">
        <f t="shared" si="0"/>
        <v>-170667</v>
      </c>
      <c r="I14" s="86">
        <f t="shared" si="1"/>
        <v>96.352489848258173</v>
      </c>
      <c r="J14" s="88"/>
      <c r="K14" s="27"/>
    </row>
    <row r="15" spans="2:11" x14ac:dyDescent="0.25">
      <c r="B15" s="46"/>
      <c r="C15" s="47" t="s">
        <v>56</v>
      </c>
      <c r="D15" s="248">
        <v>8417000</v>
      </c>
      <c r="E15" s="247">
        <v>8056000</v>
      </c>
      <c r="F15" s="61">
        <f>500000</f>
        <v>500000</v>
      </c>
      <c r="G15" s="61">
        <f t="shared" si="2"/>
        <v>8556000</v>
      </c>
      <c r="H15" s="85">
        <f t="shared" si="0"/>
        <v>139000</v>
      </c>
      <c r="I15" s="86">
        <f t="shared" si="1"/>
        <v>101.65141974575265</v>
      </c>
      <c r="J15" s="87"/>
      <c r="K15" s="27"/>
    </row>
    <row r="16" spans="2:11" x14ac:dyDescent="0.25">
      <c r="B16" s="46"/>
      <c r="C16" s="47" t="s">
        <v>57</v>
      </c>
      <c r="D16" s="248">
        <v>37985000</v>
      </c>
      <c r="E16" s="247">
        <v>17360771</v>
      </c>
      <c r="F16" s="61">
        <f>100000+68888+150000+70000</f>
        <v>388888</v>
      </c>
      <c r="G16" s="168">
        <f>E16+F16</f>
        <v>17749659</v>
      </c>
      <c r="H16" s="85">
        <f t="shared" si="0"/>
        <v>-20235341</v>
      </c>
      <c r="I16" s="86">
        <f t="shared" si="1"/>
        <v>46.728074239831514</v>
      </c>
      <c r="J16" s="87"/>
      <c r="K16" s="27"/>
    </row>
    <row r="17" spans="2:11" x14ac:dyDescent="0.25">
      <c r="B17" s="46"/>
      <c r="C17" s="47" t="s">
        <v>58</v>
      </c>
      <c r="D17" s="248">
        <v>1367000</v>
      </c>
      <c r="E17" s="247">
        <v>812148</v>
      </c>
      <c r="F17" s="61">
        <v>0</v>
      </c>
      <c r="G17" s="61">
        <f>E17+F17</f>
        <v>812148</v>
      </c>
      <c r="H17" s="85">
        <f t="shared" si="0"/>
        <v>-554852</v>
      </c>
      <c r="I17" s="86">
        <f t="shared" si="1"/>
        <v>59.41097293343087</v>
      </c>
      <c r="J17" s="87"/>
      <c r="K17" s="27"/>
    </row>
    <row r="18" spans="2:11" x14ac:dyDescent="0.25">
      <c r="B18" s="46"/>
      <c r="C18" s="47" t="s">
        <v>59</v>
      </c>
      <c r="D18" s="248">
        <v>2337000</v>
      </c>
      <c r="E18" s="247">
        <v>900000</v>
      </c>
      <c r="F18" s="61">
        <v>140000</v>
      </c>
      <c r="G18" s="61">
        <f t="shared" si="2"/>
        <v>1040000</v>
      </c>
      <c r="H18" s="85">
        <f t="shared" si="0"/>
        <v>-1297000</v>
      </c>
      <c r="I18" s="86">
        <f t="shared" si="1"/>
        <v>44.501497646555414</v>
      </c>
      <c r="J18" s="87"/>
      <c r="K18" s="27"/>
    </row>
    <row r="19" spans="2:11" x14ac:dyDescent="0.25">
      <c r="B19" s="46"/>
      <c r="C19" s="47" t="s">
        <v>60</v>
      </c>
      <c r="D19" s="248">
        <v>25771000</v>
      </c>
      <c r="E19" s="247">
        <v>25274809</v>
      </c>
      <c r="F19" s="61">
        <f>370000</f>
        <v>370000</v>
      </c>
      <c r="G19" s="61">
        <f t="shared" si="2"/>
        <v>25644809</v>
      </c>
      <c r="H19" s="85">
        <f t="shared" si="0"/>
        <v>-126191</v>
      </c>
      <c r="I19" s="86">
        <f t="shared" si="1"/>
        <v>99.510337200729495</v>
      </c>
      <c r="J19" s="87"/>
      <c r="K19" s="27"/>
    </row>
    <row r="20" spans="2:11" x14ac:dyDescent="0.25">
      <c r="B20" s="46"/>
      <c r="C20" s="47" t="s">
        <v>61</v>
      </c>
      <c r="D20" s="248">
        <v>25446000</v>
      </c>
      <c r="E20" s="247">
        <v>18100476</v>
      </c>
      <c r="F20" s="61">
        <f>550000+345000</f>
        <v>895000</v>
      </c>
      <c r="G20" s="61">
        <f>E20+F20</f>
        <v>18995476</v>
      </c>
      <c r="H20" s="85">
        <f t="shared" si="0"/>
        <v>-6450524</v>
      </c>
      <c r="I20" s="86">
        <f t="shared" si="1"/>
        <v>74.650145405957716</v>
      </c>
      <c r="J20" s="87"/>
      <c r="K20" s="27"/>
    </row>
    <row r="21" spans="2:11" x14ac:dyDescent="0.25">
      <c r="B21" s="46"/>
      <c r="C21" s="47" t="s">
        <v>324</v>
      </c>
      <c r="D21" s="248">
        <v>10000000</v>
      </c>
      <c r="E21" s="247">
        <v>10180000</v>
      </c>
      <c r="F21" s="61">
        <v>0</v>
      </c>
      <c r="G21" s="61">
        <f t="shared" ref="G21:G27" si="3">E21+F21</f>
        <v>10180000</v>
      </c>
      <c r="H21" s="85">
        <f>G21-D21</f>
        <v>180000</v>
      </c>
      <c r="I21" s="86">
        <f>G21/D21%</f>
        <v>101.8</v>
      </c>
      <c r="J21" s="87"/>
      <c r="K21" s="27"/>
    </row>
    <row r="22" spans="2:11" x14ac:dyDescent="0.25">
      <c r="B22" s="46"/>
      <c r="C22" s="47" t="s">
        <v>63</v>
      </c>
      <c r="D22" s="248">
        <v>212000</v>
      </c>
      <c r="E22" s="247">
        <v>0</v>
      </c>
      <c r="F22" s="61">
        <v>0</v>
      </c>
      <c r="G22" s="61">
        <f t="shared" si="3"/>
        <v>0</v>
      </c>
      <c r="H22" s="85">
        <f t="shared" si="0"/>
        <v>-212000</v>
      </c>
      <c r="I22" s="86">
        <f t="shared" si="1"/>
        <v>0</v>
      </c>
      <c r="J22" s="87"/>
      <c r="K22" s="27"/>
    </row>
    <row r="23" spans="2:11" x14ac:dyDescent="0.25">
      <c r="B23" s="46"/>
      <c r="C23" s="47" t="s">
        <v>64</v>
      </c>
      <c r="D23" s="248">
        <v>6949000</v>
      </c>
      <c r="E23" s="247">
        <v>0</v>
      </c>
      <c r="F23" s="61">
        <v>0</v>
      </c>
      <c r="G23" s="61">
        <f t="shared" si="3"/>
        <v>0</v>
      </c>
      <c r="H23" s="85">
        <f>G23-D23</f>
        <v>-6949000</v>
      </c>
      <c r="I23" s="86">
        <f>G23/D23%</f>
        <v>0</v>
      </c>
      <c r="J23" s="87"/>
      <c r="K23" s="27"/>
    </row>
    <row r="24" spans="2:11" x14ac:dyDescent="0.25">
      <c r="B24" s="46"/>
      <c r="C24" s="47" t="s">
        <v>65</v>
      </c>
      <c r="D24" s="248">
        <v>0</v>
      </c>
      <c r="E24" s="247">
        <v>195000</v>
      </c>
      <c r="F24" s="61">
        <v>0</v>
      </c>
      <c r="G24" s="61">
        <f t="shared" si="3"/>
        <v>195000</v>
      </c>
      <c r="H24" s="85">
        <f>G24-D24</f>
        <v>195000</v>
      </c>
      <c r="I24" s="86" t="e">
        <f>G24/D24%</f>
        <v>#DIV/0!</v>
      </c>
      <c r="J24" s="87"/>
      <c r="K24" s="27"/>
    </row>
    <row r="25" spans="2:11" x14ac:dyDescent="0.25">
      <c r="B25" s="46"/>
      <c r="C25" s="47" t="s">
        <v>66</v>
      </c>
      <c r="D25" s="248">
        <f>8173000+3474000</f>
        <v>11647000</v>
      </c>
      <c r="E25" s="247">
        <v>23862400</v>
      </c>
      <c r="F25" s="61">
        <v>0</v>
      </c>
      <c r="G25" s="61">
        <f t="shared" si="3"/>
        <v>23862400</v>
      </c>
      <c r="H25" s="85">
        <f>G25-D25</f>
        <v>12215400</v>
      </c>
      <c r="I25" s="86">
        <f>G25/D25%</f>
        <v>204.88022666781146</v>
      </c>
      <c r="J25" s="87"/>
      <c r="K25" s="27"/>
    </row>
    <row r="26" spans="2:11" x14ac:dyDescent="0.25">
      <c r="B26" s="46"/>
      <c r="C26" s="47" t="s">
        <v>67</v>
      </c>
      <c r="D26" s="248">
        <v>0</v>
      </c>
      <c r="E26" s="48">
        <v>530000</v>
      </c>
      <c r="F26" s="61">
        <f>200000</f>
        <v>200000</v>
      </c>
      <c r="G26" s="61">
        <f t="shared" si="3"/>
        <v>730000</v>
      </c>
      <c r="H26" s="85">
        <f>G26-D26</f>
        <v>730000</v>
      </c>
      <c r="I26" s="86" t="e">
        <f>G26/D26%</f>
        <v>#DIV/0!</v>
      </c>
      <c r="J26" s="87"/>
      <c r="K26" s="27"/>
    </row>
    <row r="27" spans="2:11" x14ac:dyDescent="0.25">
      <c r="B27" s="46"/>
      <c r="C27" s="47" t="s">
        <v>68</v>
      </c>
      <c r="D27" s="248">
        <v>0</v>
      </c>
      <c r="E27" s="247">
        <v>0</v>
      </c>
      <c r="F27" s="61">
        <v>0</v>
      </c>
      <c r="G27" s="61">
        <f t="shared" si="3"/>
        <v>0</v>
      </c>
      <c r="H27" s="85">
        <f>G27-D27</f>
        <v>0</v>
      </c>
      <c r="I27" s="86" t="e">
        <f>G27/D27%</f>
        <v>#DIV/0!</v>
      </c>
      <c r="J27" s="87"/>
      <c r="K27" s="27"/>
    </row>
    <row r="28" spans="2:11" x14ac:dyDescent="0.25">
      <c r="B28" s="46"/>
      <c r="C28" s="47" t="s">
        <v>69</v>
      </c>
      <c r="D28" s="248">
        <v>12892000</v>
      </c>
      <c r="E28" s="247">
        <v>19770000</v>
      </c>
      <c r="F28" s="61">
        <f>550000</f>
        <v>550000</v>
      </c>
      <c r="G28" s="61">
        <f>E28+F28</f>
        <v>20320000</v>
      </c>
      <c r="H28" s="85">
        <f t="shared" si="0"/>
        <v>7428000</v>
      </c>
      <c r="I28" s="86"/>
      <c r="J28" s="87"/>
      <c r="K28" s="27"/>
    </row>
    <row r="29" spans="2:11" x14ac:dyDescent="0.25">
      <c r="B29" s="46"/>
      <c r="C29" s="47"/>
      <c r="D29" s="248"/>
      <c r="E29" s="269"/>
      <c r="F29" s="61"/>
      <c r="G29" s="61"/>
      <c r="H29" s="85"/>
      <c r="I29" s="86"/>
      <c r="J29" s="87"/>
      <c r="K29" s="27"/>
    </row>
    <row r="30" spans="2:11" x14ac:dyDescent="0.25">
      <c r="B30" s="169"/>
      <c r="C30" s="170" t="s">
        <v>14</v>
      </c>
      <c r="D30" s="135">
        <f>SUM(D9:D28)</f>
        <v>182152000</v>
      </c>
      <c r="E30" s="89">
        <f>SUM(E9:E28)</f>
        <v>166830437</v>
      </c>
      <c r="F30" s="89">
        <f>SUM(F9:F28)</f>
        <v>3343888</v>
      </c>
      <c r="G30" s="89">
        <f>SUM(G9:G28)</f>
        <v>170174325</v>
      </c>
      <c r="H30" s="136">
        <f>SUM(H9:H22)</f>
        <v>-25962075</v>
      </c>
      <c r="I30" s="91">
        <f>G30/D30%</f>
        <v>93.424351640388252</v>
      </c>
      <c r="J30" s="171"/>
      <c r="K30" s="149"/>
    </row>
    <row r="31" spans="2:11" x14ac:dyDescent="0.25">
      <c r="B31" s="46"/>
      <c r="C31" s="47"/>
      <c r="D31" s="47"/>
      <c r="E31" s="61"/>
      <c r="F31" s="62"/>
      <c r="G31" s="61"/>
      <c r="H31" s="85"/>
      <c r="I31" s="85"/>
      <c r="J31" s="87"/>
      <c r="K31" s="27"/>
    </row>
    <row r="32" spans="2:11" x14ac:dyDescent="0.25">
      <c r="B32" s="46" t="s">
        <v>15</v>
      </c>
      <c r="C32" s="60" t="s">
        <v>16</v>
      </c>
      <c r="D32" s="47"/>
      <c r="E32" s="61"/>
      <c r="F32" s="62"/>
      <c r="G32" s="61"/>
      <c r="H32" s="85"/>
      <c r="I32" s="85"/>
      <c r="J32" s="87"/>
      <c r="K32" s="27"/>
    </row>
    <row r="33" spans="2:11" x14ac:dyDescent="0.25">
      <c r="B33" s="46"/>
      <c r="C33" s="47" t="s">
        <v>38</v>
      </c>
      <c r="D33" s="248">
        <v>122000</v>
      </c>
      <c r="E33" s="247">
        <v>405108</v>
      </c>
      <c r="F33" s="61">
        <v>0</v>
      </c>
      <c r="G33" s="61">
        <f>E33+F33</f>
        <v>405108</v>
      </c>
      <c r="H33" s="85">
        <f t="shared" ref="H33:H50" si="4">G33-D33</f>
        <v>283108</v>
      </c>
      <c r="I33" s="86">
        <f t="shared" ref="I33:I50" si="5">G33/D33%</f>
        <v>332.05573770491804</v>
      </c>
      <c r="J33" s="87"/>
      <c r="K33" s="27"/>
    </row>
    <row r="34" spans="2:11" x14ac:dyDescent="0.25">
      <c r="B34" s="172"/>
      <c r="C34" s="173" t="s">
        <v>39</v>
      </c>
      <c r="D34" s="248">
        <v>21891000</v>
      </c>
      <c r="E34" s="249">
        <v>15535564</v>
      </c>
      <c r="F34" s="168">
        <f>30000+25000+15000+30000+50000+50000+20000</f>
        <v>220000</v>
      </c>
      <c r="G34" s="168">
        <f t="shared" ref="G34:G50" si="6">E34+F34</f>
        <v>15755564</v>
      </c>
      <c r="H34" s="174">
        <f t="shared" si="4"/>
        <v>-6135436</v>
      </c>
      <c r="I34" s="176">
        <f t="shared" si="5"/>
        <v>71.972792471792062</v>
      </c>
      <c r="J34" s="179"/>
      <c r="K34" s="177"/>
    </row>
    <row r="35" spans="2:11" x14ac:dyDescent="0.25">
      <c r="B35" s="46"/>
      <c r="C35" s="47" t="s">
        <v>40</v>
      </c>
      <c r="D35" s="248">
        <v>10375000</v>
      </c>
      <c r="E35" s="247">
        <v>6148217</v>
      </c>
      <c r="F35" s="61">
        <v>0</v>
      </c>
      <c r="G35" s="61">
        <f>E35+F35</f>
        <v>6148217</v>
      </c>
      <c r="H35" s="85">
        <f t="shared" si="4"/>
        <v>-4226783</v>
      </c>
      <c r="I35" s="86">
        <f>G35/D35%</f>
        <v>59.259922891566262</v>
      </c>
      <c r="J35" s="180"/>
      <c r="K35" s="27"/>
    </row>
    <row r="36" spans="2:11" x14ac:dyDescent="0.25">
      <c r="B36" s="46"/>
      <c r="C36" s="47" t="s">
        <v>41</v>
      </c>
      <c r="D36" s="248">
        <v>2320000</v>
      </c>
      <c r="E36" s="247">
        <v>2924000</v>
      </c>
      <c r="F36" s="61">
        <f>115000</f>
        <v>115000</v>
      </c>
      <c r="G36" s="61">
        <f t="shared" si="6"/>
        <v>3039000</v>
      </c>
      <c r="H36" s="85">
        <f t="shared" si="4"/>
        <v>719000</v>
      </c>
      <c r="I36" s="86">
        <f t="shared" si="5"/>
        <v>130.99137931034483</v>
      </c>
      <c r="J36" s="87"/>
      <c r="K36" s="27"/>
    </row>
    <row r="37" spans="2:11" x14ac:dyDescent="0.25">
      <c r="B37" s="46"/>
      <c r="C37" s="47" t="s">
        <v>50</v>
      </c>
      <c r="D37" s="248">
        <v>0</v>
      </c>
      <c r="E37" s="247">
        <v>0</v>
      </c>
      <c r="F37" s="61">
        <v>0</v>
      </c>
      <c r="G37" s="61">
        <f t="shared" si="6"/>
        <v>0</v>
      </c>
      <c r="H37" s="85">
        <f>G37-D37</f>
        <v>0</v>
      </c>
      <c r="I37" s="86" t="e">
        <f>G37/D37%</f>
        <v>#DIV/0!</v>
      </c>
      <c r="J37" s="87"/>
      <c r="K37" s="27"/>
    </row>
    <row r="38" spans="2:11" x14ac:dyDescent="0.25">
      <c r="B38" s="46"/>
      <c r="C38" s="47" t="s">
        <v>51</v>
      </c>
      <c r="D38" s="248">
        <v>0</v>
      </c>
      <c r="E38" s="247">
        <v>0</v>
      </c>
      <c r="F38" s="61">
        <v>0</v>
      </c>
      <c r="G38" s="61">
        <f>E38+F38</f>
        <v>0</v>
      </c>
      <c r="H38" s="85">
        <f>G38-D38</f>
        <v>0</v>
      </c>
      <c r="I38" s="86" t="e">
        <f>G38/D38%</f>
        <v>#DIV/0!</v>
      </c>
      <c r="J38" s="87"/>
      <c r="K38" s="27"/>
    </row>
    <row r="39" spans="2:11" x14ac:dyDescent="0.25">
      <c r="B39" s="46"/>
      <c r="C39" s="47" t="s">
        <v>49</v>
      </c>
      <c r="D39" s="248">
        <v>0</v>
      </c>
      <c r="E39" s="247">
        <v>0</v>
      </c>
      <c r="F39" s="61">
        <v>0</v>
      </c>
      <c r="G39" s="61">
        <f t="shared" si="6"/>
        <v>0</v>
      </c>
      <c r="H39" s="85">
        <f>G39-D38</f>
        <v>0</v>
      </c>
      <c r="I39" s="86" t="e">
        <f>G39/D38%</f>
        <v>#DIV/0!</v>
      </c>
      <c r="J39" s="87"/>
      <c r="K39" s="27"/>
    </row>
    <row r="40" spans="2:11" x14ac:dyDescent="0.25">
      <c r="B40" s="46"/>
      <c r="C40" s="47" t="s">
        <v>79</v>
      </c>
      <c r="D40" s="248">
        <v>2825000</v>
      </c>
      <c r="E40" s="247">
        <v>0</v>
      </c>
      <c r="F40" s="61">
        <v>0</v>
      </c>
      <c r="G40" s="61">
        <f t="shared" si="6"/>
        <v>0</v>
      </c>
      <c r="H40" s="85">
        <f>G40-D39</f>
        <v>0</v>
      </c>
      <c r="I40" s="86" t="e">
        <f>G40/D39%</f>
        <v>#DIV/0!</v>
      </c>
      <c r="J40" s="87"/>
      <c r="K40" s="27"/>
    </row>
    <row r="41" spans="2:11" x14ac:dyDescent="0.25">
      <c r="B41" s="46"/>
      <c r="C41" s="47" t="s">
        <v>71</v>
      </c>
      <c r="D41" s="248">
        <v>4908000</v>
      </c>
      <c r="E41" s="247">
        <v>4160000</v>
      </c>
      <c r="F41" s="61">
        <f>200000+20000</f>
        <v>220000</v>
      </c>
      <c r="G41" s="61">
        <f t="shared" si="6"/>
        <v>4380000</v>
      </c>
      <c r="H41" s="85">
        <f>G41-D40</f>
        <v>1555000</v>
      </c>
      <c r="I41" s="86">
        <f>G41/D40%</f>
        <v>155.04424778761063</v>
      </c>
      <c r="J41" s="87"/>
      <c r="K41" s="27"/>
    </row>
    <row r="42" spans="2:11" x14ac:dyDescent="0.25">
      <c r="B42" s="46"/>
      <c r="C42" s="47" t="s">
        <v>72</v>
      </c>
      <c r="D42" s="248">
        <v>1423000</v>
      </c>
      <c r="E42" s="247">
        <v>6680000</v>
      </c>
      <c r="F42" s="61">
        <f>50000+330000+280000</f>
        <v>660000</v>
      </c>
      <c r="G42" s="61">
        <f t="shared" si="6"/>
        <v>7340000</v>
      </c>
      <c r="H42" s="85">
        <f>G42-D41</f>
        <v>2432000</v>
      </c>
      <c r="I42" s="86">
        <f>G42/D41%</f>
        <v>149.5517522412388</v>
      </c>
      <c r="J42" s="87"/>
      <c r="K42" s="27"/>
    </row>
    <row r="43" spans="2:11" x14ac:dyDescent="0.25">
      <c r="B43" s="46"/>
      <c r="C43" s="47" t="s">
        <v>70</v>
      </c>
      <c r="D43" s="248">
        <v>83000</v>
      </c>
      <c r="E43" s="247">
        <v>106520</v>
      </c>
      <c r="F43" s="61">
        <v>0</v>
      </c>
      <c r="G43" s="61">
        <f t="shared" si="6"/>
        <v>106520</v>
      </c>
      <c r="H43" s="85">
        <f t="shared" si="4"/>
        <v>23520</v>
      </c>
      <c r="I43" s="86">
        <f t="shared" si="5"/>
        <v>128.33734939759037</v>
      </c>
      <c r="J43" s="87"/>
      <c r="K43" s="27"/>
    </row>
    <row r="44" spans="2:11" x14ac:dyDescent="0.25">
      <c r="B44" s="46"/>
      <c r="C44" s="47" t="s">
        <v>73</v>
      </c>
      <c r="D44" s="248">
        <v>529000</v>
      </c>
      <c r="E44" s="247">
        <v>650000</v>
      </c>
      <c r="F44" s="61">
        <v>0</v>
      </c>
      <c r="G44" s="61">
        <f t="shared" si="6"/>
        <v>650000</v>
      </c>
      <c r="H44" s="85">
        <f t="shared" si="4"/>
        <v>121000</v>
      </c>
      <c r="I44" s="86">
        <f t="shared" si="5"/>
        <v>122.87334593572778</v>
      </c>
      <c r="J44" s="87"/>
      <c r="K44" s="27"/>
    </row>
    <row r="45" spans="2:11" x14ac:dyDescent="0.25">
      <c r="B45" s="46"/>
      <c r="C45" s="47" t="s">
        <v>74</v>
      </c>
      <c r="D45" s="248">
        <v>0</v>
      </c>
      <c r="E45" s="247">
        <v>0</v>
      </c>
      <c r="F45" s="61">
        <v>0</v>
      </c>
      <c r="G45" s="61">
        <f t="shared" si="6"/>
        <v>0</v>
      </c>
      <c r="H45" s="85">
        <f t="shared" si="4"/>
        <v>0</v>
      </c>
      <c r="I45" s="86" t="e">
        <f t="shared" si="5"/>
        <v>#DIV/0!</v>
      </c>
      <c r="J45" s="87"/>
      <c r="K45" s="27"/>
    </row>
    <row r="46" spans="2:11" x14ac:dyDescent="0.25">
      <c r="B46" s="46"/>
      <c r="C46" s="47" t="s">
        <v>75</v>
      </c>
      <c r="D46" s="248">
        <v>12118000</v>
      </c>
      <c r="E46" s="247">
        <v>12052500</v>
      </c>
      <c r="F46" s="61">
        <v>0</v>
      </c>
      <c r="G46" s="61">
        <f t="shared" si="6"/>
        <v>12052500</v>
      </c>
      <c r="H46" s="85">
        <f t="shared" si="4"/>
        <v>-65500</v>
      </c>
      <c r="I46" s="86">
        <f t="shared" si="5"/>
        <v>99.45948176266711</v>
      </c>
      <c r="J46" s="87"/>
      <c r="K46" s="27"/>
    </row>
    <row r="47" spans="2:11" x14ac:dyDescent="0.25">
      <c r="B47" s="46"/>
      <c r="C47" s="47" t="s">
        <v>76</v>
      </c>
      <c r="D47" s="248">
        <v>0</v>
      </c>
      <c r="E47" s="247">
        <v>0</v>
      </c>
      <c r="F47" s="61">
        <v>0</v>
      </c>
      <c r="G47" s="61">
        <f t="shared" si="6"/>
        <v>0</v>
      </c>
      <c r="H47" s="85">
        <f t="shared" si="4"/>
        <v>0</v>
      </c>
      <c r="I47" s="86" t="e">
        <f t="shared" si="5"/>
        <v>#DIV/0!</v>
      </c>
      <c r="J47" s="87"/>
      <c r="K47" s="27"/>
    </row>
    <row r="48" spans="2:11" x14ac:dyDescent="0.25">
      <c r="B48" s="46"/>
      <c r="C48" s="47" t="s">
        <v>77</v>
      </c>
      <c r="D48" s="248">
        <v>0</v>
      </c>
      <c r="E48" s="247">
        <v>0</v>
      </c>
      <c r="F48" s="61">
        <v>0</v>
      </c>
      <c r="G48" s="61">
        <f t="shared" si="6"/>
        <v>0</v>
      </c>
      <c r="H48" s="85">
        <f t="shared" si="4"/>
        <v>0</v>
      </c>
      <c r="I48" s="86" t="e">
        <f t="shared" si="5"/>
        <v>#DIV/0!</v>
      </c>
      <c r="J48" s="87"/>
      <c r="K48" s="27"/>
    </row>
    <row r="49" spans="2:11" x14ac:dyDescent="0.25">
      <c r="B49" s="46"/>
      <c r="C49" s="47" t="s">
        <v>325</v>
      </c>
      <c r="D49" s="248">
        <v>11118000</v>
      </c>
      <c r="E49" s="247">
        <v>19242355</v>
      </c>
      <c r="F49" s="61">
        <v>0</v>
      </c>
      <c r="G49" s="61">
        <f t="shared" si="6"/>
        <v>19242355</v>
      </c>
      <c r="H49" s="85">
        <f t="shared" si="4"/>
        <v>8124355</v>
      </c>
      <c r="I49" s="86">
        <f t="shared" si="5"/>
        <v>173.07388918870299</v>
      </c>
      <c r="J49" s="87"/>
      <c r="K49" s="27"/>
    </row>
    <row r="50" spans="2:11" x14ac:dyDescent="0.25">
      <c r="B50" s="46"/>
      <c r="C50" s="47" t="s">
        <v>326</v>
      </c>
      <c r="D50" s="248">
        <v>0</v>
      </c>
      <c r="E50" s="247">
        <v>0</v>
      </c>
      <c r="F50" s="61">
        <v>0</v>
      </c>
      <c r="G50" s="61">
        <f t="shared" si="6"/>
        <v>0</v>
      </c>
      <c r="H50" s="85">
        <f t="shared" si="4"/>
        <v>0</v>
      </c>
      <c r="I50" s="86" t="e">
        <f t="shared" si="5"/>
        <v>#DIV/0!</v>
      </c>
      <c r="J50" s="87"/>
      <c r="K50" s="27"/>
    </row>
    <row r="51" spans="2:11" x14ac:dyDescent="0.25">
      <c r="B51" s="46"/>
      <c r="C51" s="47"/>
      <c r="D51" s="246"/>
      <c r="E51" s="61"/>
      <c r="F51" s="61"/>
      <c r="G51" s="61"/>
      <c r="H51" s="85"/>
      <c r="I51" s="85"/>
      <c r="J51" s="87"/>
      <c r="K51" s="27"/>
    </row>
    <row r="52" spans="2:11" x14ac:dyDescent="0.25">
      <c r="B52" s="169"/>
      <c r="C52" s="170" t="s">
        <v>17</v>
      </c>
      <c r="D52" s="136">
        <f>SUM(D33:D50)</f>
        <v>67712000</v>
      </c>
      <c r="E52" s="89">
        <f>SUM(E33:E50)</f>
        <v>67904264</v>
      </c>
      <c r="F52" s="89">
        <f>SUM(F33:F50)</f>
        <v>1215000</v>
      </c>
      <c r="G52" s="89">
        <f>SUM(G33:G50)</f>
        <v>69119264</v>
      </c>
      <c r="H52" s="136">
        <f>SUM(H33:H50)</f>
        <v>2830264</v>
      </c>
      <c r="I52" s="91">
        <f>G52/D52%</f>
        <v>102.07830812854442</v>
      </c>
      <c r="J52" s="171"/>
      <c r="K52" s="149"/>
    </row>
    <row r="53" spans="2:11" x14ac:dyDescent="0.25">
      <c r="B53" s="46"/>
      <c r="C53" s="47"/>
      <c r="D53" s="47"/>
      <c r="E53" s="61"/>
      <c r="F53" s="62"/>
      <c r="G53" s="61"/>
      <c r="H53" s="85"/>
      <c r="I53" s="85"/>
      <c r="J53" s="87"/>
      <c r="K53" s="27"/>
    </row>
    <row r="54" spans="2:11" x14ac:dyDescent="0.25">
      <c r="B54" s="46" t="s">
        <v>18</v>
      </c>
      <c r="C54" s="60" t="s">
        <v>19</v>
      </c>
      <c r="D54" s="47"/>
      <c r="E54" s="61"/>
      <c r="F54" s="62"/>
      <c r="G54" s="61"/>
      <c r="H54" s="85"/>
      <c r="I54" s="85"/>
      <c r="J54" s="87"/>
      <c r="K54" s="27"/>
    </row>
    <row r="55" spans="2:11" x14ac:dyDescent="0.25">
      <c r="B55" s="46"/>
      <c r="C55" s="47" t="s">
        <v>42</v>
      </c>
      <c r="D55" s="270">
        <v>0</v>
      </c>
      <c r="E55" s="48">
        <v>4935765</v>
      </c>
      <c r="F55" s="61">
        <v>0</v>
      </c>
      <c r="G55" s="61">
        <f>E55+F55</f>
        <v>4935765</v>
      </c>
      <c r="H55" s="85">
        <f t="shared" ref="H55:H68" si="7">G55-D55</f>
        <v>4935765</v>
      </c>
      <c r="I55" s="86" t="e">
        <f t="shared" ref="I55:I68" si="8">G55/D55%</f>
        <v>#DIV/0!</v>
      </c>
      <c r="J55" s="87"/>
      <c r="K55" s="27"/>
    </row>
    <row r="56" spans="2:11" x14ac:dyDescent="0.25">
      <c r="B56" s="46"/>
      <c r="C56" s="47" t="s">
        <v>43</v>
      </c>
      <c r="D56" s="270">
        <v>15020000</v>
      </c>
      <c r="E56" s="48">
        <v>18789500</v>
      </c>
      <c r="F56" s="61">
        <f>1330000</f>
        <v>1330000</v>
      </c>
      <c r="G56" s="61">
        <f t="shared" ref="G56:G68" si="9">E56+F56</f>
        <v>20119500</v>
      </c>
      <c r="H56" s="85">
        <f t="shared" si="7"/>
        <v>5099500</v>
      </c>
      <c r="I56" s="86">
        <f t="shared" si="8"/>
        <v>133.95139813581892</v>
      </c>
      <c r="J56" s="87"/>
      <c r="K56" s="27"/>
    </row>
    <row r="57" spans="2:11" x14ac:dyDescent="0.25">
      <c r="B57" s="46"/>
      <c r="C57" s="47" t="s">
        <v>44</v>
      </c>
      <c r="D57" s="270">
        <v>750000</v>
      </c>
      <c r="E57" s="48">
        <v>1200000</v>
      </c>
      <c r="F57" s="61">
        <v>0</v>
      </c>
      <c r="G57" s="61">
        <f t="shared" si="9"/>
        <v>1200000</v>
      </c>
      <c r="H57" s="85">
        <f t="shared" si="7"/>
        <v>450000</v>
      </c>
      <c r="I57" s="86">
        <f t="shared" si="8"/>
        <v>160</v>
      </c>
      <c r="J57" s="87"/>
      <c r="K57" s="27"/>
    </row>
    <row r="58" spans="2:11" x14ac:dyDescent="0.25">
      <c r="B58" s="46"/>
      <c r="C58" s="47" t="s">
        <v>45</v>
      </c>
      <c r="D58" s="270">
        <v>0</v>
      </c>
      <c r="E58" s="48">
        <v>0</v>
      </c>
      <c r="F58" s="61">
        <v>0</v>
      </c>
      <c r="G58" s="61">
        <f t="shared" si="9"/>
        <v>0</v>
      </c>
      <c r="H58" s="85">
        <f t="shared" si="7"/>
        <v>0</v>
      </c>
      <c r="I58" s="86" t="e">
        <f t="shared" si="8"/>
        <v>#DIV/0!</v>
      </c>
      <c r="J58" s="87"/>
      <c r="K58" s="27"/>
    </row>
    <row r="59" spans="2:11" x14ac:dyDescent="0.25">
      <c r="B59" s="46"/>
      <c r="C59" s="47" t="s">
        <v>46</v>
      </c>
      <c r="D59" s="270">
        <v>0</v>
      </c>
      <c r="E59" s="48">
        <v>0</v>
      </c>
      <c r="F59" s="92">
        <v>0</v>
      </c>
      <c r="G59" s="61">
        <f t="shared" si="9"/>
        <v>0</v>
      </c>
      <c r="H59" s="85">
        <f t="shared" si="7"/>
        <v>0</v>
      </c>
      <c r="I59" s="86" t="e">
        <f t="shared" si="8"/>
        <v>#DIV/0!</v>
      </c>
      <c r="J59" s="87"/>
      <c r="K59" s="27"/>
    </row>
    <row r="60" spans="2:11" x14ac:dyDescent="0.25">
      <c r="B60" s="46"/>
      <c r="C60" s="47" t="s">
        <v>47</v>
      </c>
      <c r="D60" s="270">
        <v>0</v>
      </c>
      <c r="E60" s="48">
        <v>0</v>
      </c>
      <c r="F60" s="61">
        <v>1960000</v>
      </c>
      <c r="G60" s="61">
        <f t="shared" si="9"/>
        <v>1960000</v>
      </c>
      <c r="H60" s="85">
        <f t="shared" si="7"/>
        <v>1960000</v>
      </c>
      <c r="I60" s="86" t="e">
        <f t="shared" si="8"/>
        <v>#DIV/0!</v>
      </c>
      <c r="J60" s="87"/>
      <c r="K60" s="27"/>
    </row>
    <row r="61" spans="2:11" x14ac:dyDescent="0.25">
      <c r="B61" s="46"/>
      <c r="C61" s="47" t="s">
        <v>129</v>
      </c>
      <c r="D61" s="270">
        <v>0</v>
      </c>
      <c r="E61" s="48">
        <v>0</v>
      </c>
      <c r="F61" s="61">
        <v>0</v>
      </c>
      <c r="G61" s="61">
        <f t="shared" si="9"/>
        <v>0</v>
      </c>
      <c r="H61" s="85">
        <f t="shared" si="7"/>
        <v>0</v>
      </c>
      <c r="I61" s="86" t="e">
        <f t="shared" si="8"/>
        <v>#DIV/0!</v>
      </c>
      <c r="J61" s="87"/>
      <c r="K61" s="27"/>
    </row>
    <row r="62" spans="2:11" x14ac:dyDescent="0.25">
      <c r="B62" s="46"/>
      <c r="C62" s="47" t="s">
        <v>86</v>
      </c>
      <c r="D62" s="270">
        <v>0</v>
      </c>
      <c r="E62" s="48">
        <v>10000</v>
      </c>
      <c r="F62" s="61">
        <v>0</v>
      </c>
      <c r="G62" s="61">
        <f t="shared" si="9"/>
        <v>10000</v>
      </c>
      <c r="H62" s="85">
        <f t="shared" si="7"/>
        <v>10000</v>
      </c>
      <c r="I62" s="86" t="e">
        <f t="shared" si="8"/>
        <v>#DIV/0!</v>
      </c>
      <c r="J62" s="87"/>
      <c r="K62" s="27"/>
    </row>
    <row r="63" spans="2:11" x14ac:dyDescent="0.25">
      <c r="B63" s="46"/>
      <c r="C63" s="47" t="s">
        <v>87</v>
      </c>
      <c r="D63" s="270">
        <v>0</v>
      </c>
      <c r="E63" s="48">
        <v>0</v>
      </c>
      <c r="F63" s="61">
        <v>0</v>
      </c>
      <c r="G63" s="61">
        <f>E63+F63</f>
        <v>0</v>
      </c>
      <c r="H63" s="85">
        <f>G63-D63</f>
        <v>0</v>
      </c>
      <c r="I63" s="86" t="e">
        <f>G63/D63%</f>
        <v>#DIV/0!</v>
      </c>
      <c r="J63" s="87"/>
      <c r="K63" s="27"/>
    </row>
    <row r="64" spans="2:11" x14ac:dyDescent="0.25">
      <c r="B64" s="46"/>
      <c r="C64" s="47" t="s">
        <v>81</v>
      </c>
      <c r="D64" s="270">
        <v>0</v>
      </c>
      <c r="E64" s="48">
        <v>325000</v>
      </c>
      <c r="F64" s="61">
        <v>0</v>
      </c>
      <c r="G64" s="61">
        <f t="shared" si="9"/>
        <v>325000</v>
      </c>
      <c r="H64" s="85">
        <f t="shared" si="7"/>
        <v>325000</v>
      </c>
      <c r="I64" s="86" t="e">
        <f t="shared" si="8"/>
        <v>#DIV/0!</v>
      </c>
      <c r="J64" s="87"/>
      <c r="K64" s="27"/>
    </row>
    <row r="65" spans="2:11" x14ac:dyDescent="0.25">
      <c r="B65" s="46"/>
      <c r="C65" s="47" t="s">
        <v>82</v>
      </c>
      <c r="D65" s="270">
        <v>0</v>
      </c>
      <c r="E65" s="48">
        <v>0</v>
      </c>
      <c r="F65" s="61"/>
      <c r="G65" s="61">
        <f t="shared" si="9"/>
        <v>0</v>
      </c>
      <c r="H65" s="85">
        <f t="shared" si="7"/>
        <v>0</v>
      </c>
      <c r="I65" s="86" t="e">
        <f t="shared" si="8"/>
        <v>#DIV/0!</v>
      </c>
      <c r="J65" s="87"/>
      <c r="K65" s="27"/>
    </row>
    <row r="66" spans="2:11" x14ac:dyDescent="0.25">
      <c r="B66" s="46"/>
      <c r="C66" s="47" t="s">
        <v>83</v>
      </c>
      <c r="D66" s="270">
        <v>0</v>
      </c>
      <c r="E66" s="48">
        <v>0</v>
      </c>
      <c r="F66" s="61"/>
      <c r="G66" s="61">
        <f>E66+F66</f>
        <v>0</v>
      </c>
      <c r="H66" s="85">
        <f>G66-D66</f>
        <v>0</v>
      </c>
      <c r="I66" s="86" t="e">
        <f>G66/D66%</f>
        <v>#DIV/0!</v>
      </c>
      <c r="J66" s="87"/>
      <c r="K66" s="27"/>
    </row>
    <row r="67" spans="2:11" x14ac:dyDescent="0.25">
      <c r="B67" s="46"/>
      <c r="C67" s="47" t="s">
        <v>142</v>
      </c>
      <c r="D67" s="270">
        <v>668000</v>
      </c>
      <c r="E67" s="48">
        <v>0</v>
      </c>
      <c r="F67" s="61"/>
      <c r="G67" s="61">
        <f>E67+F67</f>
        <v>0</v>
      </c>
      <c r="H67" s="85">
        <f>G67-D67</f>
        <v>-668000</v>
      </c>
      <c r="I67" s="86">
        <f>G67/D67%</f>
        <v>0</v>
      </c>
      <c r="J67" s="87"/>
      <c r="K67" s="27"/>
    </row>
    <row r="68" spans="2:11" x14ac:dyDescent="0.25">
      <c r="B68" s="46"/>
      <c r="C68" s="47" t="s">
        <v>85</v>
      </c>
      <c r="D68" s="270">
        <v>0</v>
      </c>
      <c r="E68" s="48">
        <v>0</v>
      </c>
      <c r="F68" s="61"/>
      <c r="G68" s="61">
        <f t="shared" si="9"/>
        <v>0</v>
      </c>
      <c r="H68" s="85">
        <f t="shared" si="7"/>
        <v>0</v>
      </c>
      <c r="I68" s="86" t="e">
        <f t="shared" si="8"/>
        <v>#DIV/0!</v>
      </c>
      <c r="J68" s="87"/>
      <c r="K68" s="27"/>
    </row>
    <row r="69" spans="2:11" x14ac:dyDescent="0.25">
      <c r="B69" s="46"/>
      <c r="C69" s="47"/>
      <c r="D69" s="85"/>
      <c r="E69" s="61"/>
      <c r="F69" s="61"/>
      <c r="G69" s="61"/>
      <c r="H69" s="85"/>
      <c r="I69" s="85"/>
      <c r="J69" s="87"/>
      <c r="K69" s="27"/>
    </row>
    <row r="70" spans="2:11" x14ac:dyDescent="0.25">
      <c r="B70" s="169"/>
      <c r="C70" s="170" t="s">
        <v>20</v>
      </c>
      <c r="D70" s="136">
        <f>SUM(D55:D68)</f>
        <v>16438000</v>
      </c>
      <c r="E70" s="89">
        <f>SUM(E55:E68)</f>
        <v>25260265</v>
      </c>
      <c r="F70" s="89">
        <f>SUM(F55:F68)</f>
        <v>3290000</v>
      </c>
      <c r="G70" s="89">
        <f>SUM(G55:G68)</f>
        <v>28550265</v>
      </c>
      <c r="H70" s="136">
        <f>SUM(H55:H64)</f>
        <v>12780265</v>
      </c>
      <c r="I70" s="91">
        <f>G70/D70%</f>
        <v>173.68454191507482</v>
      </c>
      <c r="J70" s="171"/>
      <c r="K70" s="149"/>
    </row>
    <row r="71" spans="2:11" x14ac:dyDescent="0.25">
      <c r="B71" s="46"/>
      <c r="C71" s="47"/>
      <c r="D71" s="47"/>
      <c r="E71" s="61"/>
      <c r="F71" s="62"/>
      <c r="G71" s="61"/>
      <c r="H71" s="85"/>
      <c r="I71" s="85"/>
      <c r="J71" s="87"/>
      <c r="K71" s="27"/>
    </row>
    <row r="72" spans="2:11" ht="15.75" thickBot="1" x14ac:dyDescent="0.3">
      <c r="B72" s="46"/>
      <c r="C72" s="60" t="s">
        <v>21</v>
      </c>
      <c r="D72" s="93">
        <f>D30+D52+D70</f>
        <v>266302000</v>
      </c>
      <c r="E72" s="94">
        <f>E30+E52+E70</f>
        <v>259994966</v>
      </c>
      <c r="F72" s="95">
        <f>F30+F52+F70</f>
        <v>7848888</v>
      </c>
      <c r="G72" s="94">
        <f>G30+G52+G70</f>
        <v>267843854</v>
      </c>
      <c r="H72" s="96">
        <f>H30+H52+H70</f>
        <v>-10351546</v>
      </c>
      <c r="I72" s="97">
        <f>G72/D72%</f>
        <v>100.57898701474267</v>
      </c>
      <c r="J72" s="87"/>
      <c r="K72" s="27"/>
    </row>
    <row r="73" spans="2:11" ht="15.75" thickTop="1" x14ac:dyDescent="0.25">
      <c r="B73" s="69"/>
      <c r="C73" s="98"/>
      <c r="D73" s="99"/>
      <c r="E73" s="100"/>
      <c r="F73" s="101"/>
      <c r="G73" s="100"/>
      <c r="H73" s="102"/>
      <c r="I73" s="103"/>
      <c r="J73" s="104"/>
      <c r="K73" s="27"/>
    </row>
    <row r="74" spans="2:11" x14ac:dyDescent="0.25">
      <c r="B74" s="69"/>
      <c r="C74" s="98" t="s">
        <v>22</v>
      </c>
      <c r="D74" s="105"/>
      <c r="E74" s="106"/>
      <c r="F74" s="107"/>
      <c r="G74" s="106"/>
      <c r="H74" s="108"/>
      <c r="I74" s="109"/>
      <c r="J74" s="104"/>
      <c r="K74" s="27"/>
    </row>
    <row r="75" spans="2:11" x14ac:dyDescent="0.25">
      <c r="B75" s="69" t="s">
        <v>12</v>
      </c>
      <c r="C75" s="98" t="s">
        <v>23</v>
      </c>
      <c r="D75" s="105">
        <v>13500000</v>
      </c>
      <c r="E75" s="106">
        <f>E126</f>
        <v>12216500</v>
      </c>
      <c r="F75" s="107">
        <f>F126</f>
        <v>470000</v>
      </c>
      <c r="G75" s="106">
        <f>E75+F75</f>
        <v>12686500</v>
      </c>
      <c r="H75" s="108">
        <f>G75-D75</f>
        <v>-813500</v>
      </c>
      <c r="I75" s="110">
        <f>G75/D75%</f>
        <v>93.974074074074068</v>
      </c>
      <c r="J75" s="104"/>
      <c r="K75" s="27"/>
    </row>
    <row r="76" spans="2:11" x14ac:dyDescent="0.25">
      <c r="B76" s="69"/>
      <c r="C76" s="98"/>
      <c r="D76" s="105"/>
      <c r="E76" s="106"/>
      <c r="F76" s="107"/>
      <c r="G76" s="106"/>
      <c r="H76" s="108"/>
      <c r="I76" s="110"/>
      <c r="J76" s="104"/>
      <c r="K76" s="27"/>
    </row>
    <row r="77" spans="2:11" x14ac:dyDescent="0.25">
      <c r="B77" s="69" t="s">
        <v>15</v>
      </c>
      <c r="C77" s="98" t="s">
        <v>16</v>
      </c>
      <c r="D77" s="105">
        <v>4500000</v>
      </c>
      <c r="E77" s="106">
        <f>E147</f>
        <v>2756500</v>
      </c>
      <c r="F77" s="107">
        <f>F147</f>
        <v>92000</v>
      </c>
      <c r="G77" s="106">
        <f>E77+F77</f>
        <v>2848500</v>
      </c>
      <c r="H77" s="108">
        <f>G77-D77</f>
        <v>-1651500</v>
      </c>
      <c r="I77" s="110">
        <f>G77/D77%</f>
        <v>63.3</v>
      </c>
      <c r="J77" s="104"/>
      <c r="K77" s="27"/>
    </row>
    <row r="78" spans="2:11" x14ac:dyDescent="0.25">
      <c r="B78" s="69"/>
      <c r="C78" s="98"/>
      <c r="D78" s="105"/>
      <c r="E78" s="106"/>
      <c r="F78" s="107"/>
      <c r="G78" s="106"/>
      <c r="H78" s="108"/>
      <c r="I78" s="110"/>
      <c r="J78" s="104"/>
      <c r="K78" s="27"/>
    </row>
    <row r="79" spans="2:11" x14ac:dyDescent="0.25">
      <c r="B79" s="69" t="s">
        <v>18</v>
      </c>
      <c r="C79" s="98" t="s">
        <v>19</v>
      </c>
      <c r="D79" s="105">
        <v>0</v>
      </c>
      <c r="E79" s="106">
        <f>E165</f>
        <v>500000</v>
      </c>
      <c r="F79" s="107">
        <f>F165</f>
        <v>0</v>
      </c>
      <c r="G79" s="106">
        <f>E79+F79</f>
        <v>500000</v>
      </c>
      <c r="H79" s="108">
        <f>G79-D79</f>
        <v>500000</v>
      </c>
      <c r="I79" s="110" t="e">
        <f>G79/D79%</f>
        <v>#DIV/0!</v>
      </c>
      <c r="J79" s="104"/>
      <c r="K79" s="27"/>
    </row>
    <row r="80" spans="2:11" ht="15.75" thickBot="1" x14ac:dyDescent="0.3">
      <c r="B80" s="69"/>
      <c r="C80" s="98"/>
      <c r="D80" s="111"/>
      <c r="E80" s="112"/>
      <c r="F80" s="113"/>
      <c r="G80" s="112"/>
      <c r="H80" s="96"/>
      <c r="I80" s="97"/>
      <c r="J80" s="104"/>
      <c r="K80" s="27"/>
    </row>
    <row r="81" spans="2:11" ht="16.5" thickTop="1" thickBot="1" x14ac:dyDescent="0.3">
      <c r="B81" s="114"/>
      <c r="C81" s="115" t="s">
        <v>24</v>
      </c>
      <c r="D81" s="116">
        <f>SUM(D75:D79)</f>
        <v>18000000</v>
      </c>
      <c r="E81" s="117">
        <f>SUM(E75:E79)</f>
        <v>15473000</v>
      </c>
      <c r="F81" s="118">
        <f>SUM(F75:F79)</f>
        <v>562000</v>
      </c>
      <c r="G81" s="117">
        <f>SUM(G75:G79)</f>
        <v>16035000</v>
      </c>
      <c r="H81" s="119">
        <f>SUM(H75:H79)</f>
        <v>-1965000</v>
      </c>
      <c r="I81" s="120">
        <f>G81/D81%</f>
        <v>89.083333333333329</v>
      </c>
      <c r="J81" s="121"/>
      <c r="K81" s="27"/>
    </row>
    <row r="82" spans="2:11" x14ac:dyDescent="0.25">
      <c r="B82" s="75"/>
      <c r="C82" s="75"/>
      <c r="D82" s="75"/>
      <c r="E82" s="75"/>
      <c r="F82" s="75"/>
      <c r="G82" s="76"/>
      <c r="H82" s="75"/>
      <c r="I82" s="75"/>
      <c r="J82" s="75"/>
      <c r="K82" s="27"/>
    </row>
    <row r="83" spans="2:11" x14ac:dyDescent="0.25">
      <c r="B83" s="75"/>
      <c r="C83" s="75"/>
      <c r="D83" s="75"/>
      <c r="E83" s="122" t="s">
        <v>25</v>
      </c>
      <c r="F83" s="242" t="s">
        <v>26</v>
      </c>
      <c r="G83" s="124" t="e">
        <f>#REF!</f>
        <v>#REF!</v>
      </c>
      <c r="H83" s="75"/>
      <c r="I83" s="75"/>
      <c r="J83" s="75"/>
      <c r="K83" s="27"/>
    </row>
    <row r="84" spans="2:11" x14ac:dyDescent="0.25">
      <c r="B84" s="75"/>
      <c r="C84" s="75"/>
      <c r="D84" s="75"/>
      <c r="E84" s="122" t="s">
        <v>132</v>
      </c>
      <c r="F84" s="242" t="s">
        <v>26</v>
      </c>
      <c r="G84" s="124" t="e">
        <f>#REF!</f>
        <v>#REF!</v>
      </c>
      <c r="H84" s="75"/>
      <c r="I84" s="75"/>
      <c r="J84" s="75"/>
      <c r="K84" s="27"/>
    </row>
    <row r="85" spans="2:11" x14ac:dyDescent="0.25">
      <c r="B85" s="75"/>
      <c r="C85" s="75"/>
      <c r="D85" s="75"/>
      <c r="E85" s="122" t="s">
        <v>27</v>
      </c>
      <c r="F85" s="242" t="s">
        <v>26</v>
      </c>
      <c r="G85" s="125">
        <f>269000+115000+110000+451000+50000+557000+41000</f>
        <v>1593000</v>
      </c>
      <c r="H85" s="75"/>
      <c r="I85" s="75"/>
      <c r="J85" s="75"/>
      <c r="K85" s="27"/>
    </row>
    <row r="86" spans="2:11" ht="19.5" x14ac:dyDescent="0.55000000000000004">
      <c r="B86" s="75"/>
      <c r="C86" s="75"/>
      <c r="D86" s="75"/>
      <c r="E86" s="122" t="s">
        <v>29</v>
      </c>
      <c r="F86" s="242" t="s">
        <v>26</v>
      </c>
      <c r="G86" s="126">
        <f>50000+50000+10000+50000+175000+75000+767600+150000</f>
        <v>1327600</v>
      </c>
      <c r="H86" s="75" t="s">
        <v>28</v>
      </c>
      <c r="I86" s="75"/>
      <c r="J86" s="75"/>
      <c r="K86" s="27"/>
    </row>
    <row r="87" spans="2:11" ht="15.75" thickBot="1" x14ac:dyDescent="0.3">
      <c r="B87" s="75"/>
      <c r="C87" s="75"/>
      <c r="D87" s="75"/>
      <c r="E87" s="122" t="s">
        <v>30</v>
      </c>
      <c r="F87" s="123"/>
      <c r="G87" s="127" t="e">
        <f>SUM(G83:G86)</f>
        <v>#REF!</v>
      </c>
      <c r="H87" s="160" t="s">
        <v>126</v>
      </c>
      <c r="I87" s="27"/>
      <c r="J87" s="75"/>
      <c r="K87" s="27"/>
    </row>
    <row r="88" spans="2:11" ht="15.75" thickTop="1" x14ac:dyDescent="0.25">
      <c r="B88" s="75"/>
      <c r="C88" s="75"/>
      <c r="D88" s="75"/>
      <c r="E88" s="122"/>
      <c r="F88" s="123"/>
      <c r="G88" s="159" t="s">
        <v>263</v>
      </c>
      <c r="H88" s="27"/>
      <c r="I88" s="27"/>
      <c r="J88" s="75"/>
      <c r="K88" s="27"/>
    </row>
    <row r="89" spans="2:11" ht="15.75" thickBot="1" x14ac:dyDescent="0.3">
      <c r="B89" s="161" t="s">
        <v>128</v>
      </c>
      <c r="C89" s="161" t="s">
        <v>321</v>
      </c>
      <c r="D89" s="149"/>
      <c r="E89" s="162"/>
      <c r="F89" s="243" t="s">
        <v>26</v>
      </c>
      <c r="G89" s="244">
        <f>2000000+1250000+650000</f>
        <v>3900000</v>
      </c>
      <c r="H89" s="165" t="s">
        <v>126</v>
      </c>
      <c r="I89" s="149"/>
      <c r="J89" s="245">
        <f>SUM(G89:G90)</f>
        <v>17300000</v>
      </c>
      <c r="K89" s="160" t="s">
        <v>35</v>
      </c>
    </row>
    <row r="90" spans="2:11" ht="16.5" thickTop="1" thickBot="1" x14ac:dyDescent="0.3">
      <c r="B90" s="161"/>
      <c r="C90" s="161" t="s">
        <v>322</v>
      </c>
      <c r="D90" s="162"/>
      <c r="E90" s="161"/>
      <c r="F90" s="243" t="s">
        <v>26</v>
      </c>
      <c r="G90" s="164">
        <f>3500000+4150000+2000000+1750000+2000000</f>
        <v>13400000</v>
      </c>
      <c r="H90" s="165" t="s">
        <v>126</v>
      </c>
      <c r="I90" s="149"/>
      <c r="J90" s="162"/>
      <c r="K90" s="149"/>
    </row>
    <row r="91" spans="2:11" ht="15.75" thickTop="1" x14ac:dyDescent="0.25">
      <c r="B91" s="27"/>
      <c r="C91" s="27"/>
      <c r="D91" s="27"/>
      <c r="E91" s="27"/>
      <c r="F91" s="27"/>
      <c r="G91" s="27"/>
      <c r="H91" s="403" t="s">
        <v>349</v>
      </c>
      <c r="I91" s="403"/>
      <c r="J91" s="27"/>
      <c r="K91" s="27"/>
    </row>
    <row r="92" spans="2:11" x14ac:dyDescent="0.25">
      <c r="B92" s="27"/>
      <c r="C92" s="27"/>
      <c r="D92" s="27"/>
      <c r="E92" s="27"/>
      <c r="F92" s="27"/>
      <c r="G92" s="166" t="e">
        <f>G72-G83</f>
        <v>#REF!</v>
      </c>
      <c r="H92" s="27"/>
      <c r="I92" s="27"/>
      <c r="J92" s="27"/>
      <c r="K92" s="27"/>
    </row>
    <row r="93" spans="2:11" ht="15.75" thickBot="1" x14ac:dyDescent="0.3">
      <c r="B93" s="27"/>
      <c r="C93" s="27"/>
      <c r="D93" s="27"/>
      <c r="E93" s="27"/>
      <c r="F93" s="27"/>
      <c r="G93" s="27" t="s">
        <v>133</v>
      </c>
      <c r="H93" s="27"/>
      <c r="I93" s="27"/>
      <c r="J93" s="128" t="e">
        <f>G83+G86</f>
        <v>#REF!</v>
      </c>
      <c r="K93" s="178" t="s">
        <v>127</v>
      </c>
    </row>
    <row r="94" spans="2:11" ht="15.75" thickTop="1" x14ac:dyDescent="0.25">
      <c r="B94" s="27"/>
      <c r="C94" s="27"/>
      <c r="D94" s="27"/>
      <c r="E94" s="27"/>
      <c r="F94" s="27"/>
      <c r="G94" s="27"/>
      <c r="H94" s="27"/>
      <c r="I94" s="27"/>
      <c r="J94" s="166"/>
      <c r="K94" s="27"/>
    </row>
    <row r="95" spans="2:11" ht="15.75" thickBot="1" x14ac:dyDescent="0.3">
      <c r="B95" s="27"/>
      <c r="C95" s="27"/>
      <c r="D95" s="27"/>
      <c r="E95" s="27"/>
      <c r="F95" s="27"/>
      <c r="G95" s="27"/>
      <c r="H95" s="27"/>
      <c r="I95" s="27"/>
      <c r="J95" s="128" t="e">
        <f>G87+G89+G90</f>
        <v>#REF!</v>
      </c>
      <c r="K95" s="178" t="s">
        <v>130</v>
      </c>
    </row>
    <row r="96" spans="2:11" ht="15.75" thickTop="1" x14ac:dyDescent="0.25">
      <c r="B96" s="27"/>
      <c r="C96" s="27"/>
      <c r="D96" s="27"/>
      <c r="E96" s="27"/>
      <c r="F96" s="27"/>
      <c r="G96" s="27"/>
      <c r="H96" s="27"/>
      <c r="I96" s="27"/>
      <c r="J96" s="27"/>
      <c r="K96" s="27"/>
    </row>
    <row r="97" spans="2:11" x14ac:dyDescent="0.25">
      <c r="B97" s="129"/>
      <c r="C97" s="129"/>
      <c r="D97" s="129"/>
      <c r="E97" s="129"/>
      <c r="F97" s="129"/>
      <c r="G97" s="129"/>
      <c r="H97" s="129"/>
      <c r="I97" s="129"/>
      <c r="J97" s="129"/>
      <c r="K97" s="27"/>
    </row>
    <row r="98" spans="2:11" x14ac:dyDescent="0.25">
      <c r="B98" s="27"/>
      <c r="C98" s="27"/>
      <c r="D98" s="27"/>
      <c r="E98" s="27"/>
      <c r="F98" s="27"/>
      <c r="G98" s="27"/>
      <c r="H98" s="27"/>
      <c r="I98" s="27"/>
      <c r="J98" s="75"/>
      <c r="K98" s="27"/>
    </row>
    <row r="99" spans="2:11" x14ac:dyDescent="0.25">
      <c r="B99" s="406" t="s">
        <v>346</v>
      </c>
      <c r="C99" s="406"/>
      <c r="D99" s="406"/>
      <c r="E99" s="406"/>
      <c r="F99" s="406"/>
      <c r="G99" s="406"/>
      <c r="H99" s="406"/>
      <c r="I99" s="406"/>
      <c r="J99" s="75"/>
      <c r="K99" s="27"/>
    </row>
    <row r="100" spans="2:11" ht="15.75" thickBot="1" x14ac:dyDescent="0.3">
      <c r="B100" s="406" t="s">
        <v>351</v>
      </c>
      <c r="C100" s="406"/>
      <c r="D100" s="406"/>
      <c r="E100" s="406"/>
      <c r="F100" s="406"/>
      <c r="G100" s="406"/>
      <c r="H100" s="406"/>
      <c r="I100" s="406"/>
      <c r="J100" s="78"/>
      <c r="K100" s="27"/>
    </row>
    <row r="101" spans="2:11" x14ac:dyDescent="0.25">
      <c r="B101" s="407" t="s">
        <v>2</v>
      </c>
      <c r="C101" s="409" t="s">
        <v>3</v>
      </c>
      <c r="D101" s="411" t="s">
        <v>4</v>
      </c>
      <c r="E101" s="413" t="s">
        <v>5</v>
      </c>
      <c r="F101" s="414"/>
      <c r="G101" s="415"/>
      <c r="H101" s="413" t="s">
        <v>6</v>
      </c>
      <c r="I101" s="415"/>
      <c r="J101" s="416" t="s">
        <v>0</v>
      </c>
      <c r="K101" s="27"/>
    </row>
    <row r="102" spans="2:11" ht="15.75" thickBot="1" x14ac:dyDescent="0.3">
      <c r="B102" s="408"/>
      <c r="C102" s="410"/>
      <c r="D102" s="412"/>
      <c r="E102" s="145" t="str">
        <f>E6</f>
        <v>PENJ. S/D TGL. 30</v>
      </c>
      <c r="F102" s="146" t="str">
        <f>F6</f>
        <v>PENJ. TGL. 31</v>
      </c>
      <c r="G102" s="130" t="s">
        <v>7</v>
      </c>
      <c r="H102" s="131" t="s">
        <v>8</v>
      </c>
      <c r="I102" s="130" t="s">
        <v>9</v>
      </c>
      <c r="J102" s="417"/>
      <c r="K102" s="27"/>
    </row>
    <row r="103" spans="2:11" ht="15.75" thickTop="1" x14ac:dyDescent="0.25">
      <c r="B103" s="132"/>
      <c r="C103" s="133" t="s">
        <v>11</v>
      </c>
      <c r="D103" s="82"/>
      <c r="E103" s="42"/>
      <c r="F103" s="42"/>
      <c r="G103" s="41"/>
      <c r="H103" s="42"/>
      <c r="I103" s="42"/>
      <c r="J103" s="83"/>
      <c r="K103" s="27"/>
    </row>
    <row r="104" spans="2:11" x14ac:dyDescent="0.25">
      <c r="B104" s="43" t="s">
        <v>12</v>
      </c>
      <c r="C104" s="44" t="s">
        <v>13</v>
      </c>
      <c r="D104" s="134">
        <v>13500000</v>
      </c>
      <c r="E104" s="45"/>
      <c r="F104" s="45"/>
      <c r="G104" s="59"/>
      <c r="H104" s="45"/>
      <c r="I104" s="45"/>
      <c r="J104" s="84"/>
      <c r="K104" s="27"/>
    </row>
    <row r="105" spans="2:11" x14ac:dyDescent="0.25">
      <c r="B105" s="46"/>
      <c r="C105" s="47" t="s">
        <v>36</v>
      </c>
      <c r="D105" s="85">
        <v>0</v>
      </c>
      <c r="E105" s="48">
        <v>7033000</v>
      </c>
      <c r="F105" s="61">
        <f>70000+100000</f>
        <v>170000</v>
      </c>
      <c r="G105" s="61">
        <f>E105+F105</f>
        <v>7203000</v>
      </c>
      <c r="H105" s="85">
        <f>G105-D105</f>
        <v>7203000</v>
      </c>
      <c r="I105" s="86" t="e">
        <f>G105/D105%</f>
        <v>#DIV/0!</v>
      </c>
      <c r="J105" s="87"/>
      <c r="K105" s="27"/>
    </row>
    <row r="106" spans="2:11" x14ac:dyDescent="0.25">
      <c r="B106" s="46"/>
      <c r="C106" s="47" t="s">
        <v>37</v>
      </c>
      <c r="D106" s="85">
        <v>0</v>
      </c>
      <c r="E106" s="48">
        <v>534000</v>
      </c>
      <c r="F106" s="61">
        <v>0</v>
      </c>
      <c r="G106" s="61">
        <f t="shared" ref="G106:G124" si="10">E106+F106</f>
        <v>534000</v>
      </c>
      <c r="H106" s="85">
        <f>G106-D106</f>
        <v>534000</v>
      </c>
      <c r="I106" s="86" t="e">
        <f>G106/D106%</f>
        <v>#DIV/0!</v>
      </c>
      <c r="J106" s="87"/>
      <c r="K106" s="27"/>
    </row>
    <row r="107" spans="2:11" x14ac:dyDescent="0.25">
      <c r="B107" s="46"/>
      <c r="C107" s="47" t="s">
        <v>52</v>
      </c>
      <c r="D107" s="85">
        <v>0</v>
      </c>
      <c r="E107" s="48">
        <v>0</v>
      </c>
      <c r="F107" s="61">
        <v>0</v>
      </c>
      <c r="G107" s="61">
        <f t="shared" si="10"/>
        <v>0</v>
      </c>
      <c r="H107" s="85"/>
      <c r="I107" s="86"/>
      <c r="J107" s="87"/>
      <c r="K107" s="27"/>
    </row>
    <row r="108" spans="2:11" x14ac:dyDescent="0.25">
      <c r="B108" s="46"/>
      <c r="C108" s="47" t="s">
        <v>53</v>
      </c>
      <c r="D108" s="85">
        <v>0</v>
      </c>
      <c r="E108" s="48">
        <v>1615000</v>
      </c>
      <c r="F108" s="61">
        <v>0</v>
      </c>
      <c r="G108" s="61">
        <f t="shared" si="10"/>
        <v>1615000</v>
      </c>
      <c r="H108" s="85">
        <f t="shared" ref="H108:H124" si="11">G108-D108</f>
        <v>1615000</v>
      </c>
      <c r="I108" s="86" t="e">
        <f t="shared" ref="I108:I123" si="12">G108/D108%</f>
        <v>#DIV/0!</v>
      </c>
      <c r="J108" s="87"/>
      <c r="K108" s="27"/>
    </row>
    <row r="109" spans="2:11" x14ac:dyDescent="0.25">
      <c r="B109" s="46"/>
      <c r="C109" s="47" t="s">
        <v>54</v>
      </c>
      <c r="D109" s="85"/>
      <c r="E109" s="48">
        <v>50000</v>
      </c>
      <c r="F109" s="61">
        <v>0</v>
      </c>
      <c r="G109" s="61">
        <f t="shared" si="10"/>
        <v>50000</v>
      </c>
      <c r="H109" s="85">
        <f t="shared" si="11"/>
        <v>50000</v>
      </c>
      <c r="I109" s="86" t="e">
        <f t="shared" si="12"/>
        <v>#DIV/0!</v>
      </c>
      <c r="J109" s="88"/>
      <c r="K109" s="27"/>
    </row>
    <row r="110" spans="2:11" x14ac:dyDescent="0.25">
      <c r="B110" s="46"/>
      <c r="C110" s="47" t="s">
        <v>55</v>
      </c>
      <c r="D110" s="85">
        <v>0</v>
      </c>
      <c r="E110" s="48">
        <v>538000</v>
      </c>
      <c r="F110" s="61">
        <v>0</v>
      </c>
      <c r="G110" s="61">
        <f t="shared" si="10"/>
        <v>538000</v>
      </c>
      <c r="H110" s="85">
        <f t="shared" si="11"/>
        <v>538000</v>
      </c>
      <c r="I110" s="86" t="e">
        <f t="shared" si="12"/>
        <v>#DIV/0!</v>
      </c>
      <c r="J110" s="88"/>
      <c r="K110" s="27"/>
    </row>
    <row r="111" spans="2:11" x14ac:dyDescent="0.25">
      <c r="B111" s="46"/>
      <c r="C111" s="47" t="s">
        <v>56</v>
      </c>
      <c r="D111" s="85">
        <v>0</v>
      </c>
      <c r="E111" s="48">
        <v>550000</v>
      </c>
      <c r="F111" s="61">
        <v>200000</v>
      </c>
      <c r="G111" s="61">
        <f t="shared" si="10"/>
        <v>750000</v>
      </c>
      <c r="H111" s="85">
        <f t="shared" si="11"/>
        <v>750000</v>
      </c>
      <c r="I111" s="86" t="e">
        <f t="shared" si="12"/>
        <v>#DIV/0!</v>
      </c>
      <c r="J111" s="87"/>
      <c r="K111" s="27"/>
    </row>
    <row r="112" spans="2:11" x14ac:dyDescent="0.25">
      <c r="B112" s="46"/>
      <c r="C112" s="47" t="s">
        <v>57</v>
      </c>
      <c r="D112" s="85">
        <v>0</v>
      </c>
      <c r="E112" s="48">
        <v>755000</v>
      </c>
      <c r="F112" s="61">
        <v>100000</v>
      </c>
      <c r="G112" s="61">
        <f t="shared" si="10"/>
        <v>855000</v>
      </c>
      <c r="H112" s="85">
        <f t="shared" si="11"/>
        <v>855000</v>
      </c>
      <c r="I112" s="86" t="e">
        <f t="shared" si="12"/>
        <v>#DIV/0!</v>
      </c>
      <c r="J112" s="87"/>
      <c r="K112" s="27"/>
    </row>
    <row r="113" spans="2:11" x14ac:dyDescent="0.25">
      <c r="B113" s="46"/>
      <c r="C113" s="47" t="s">
        <v>58</v>
      </c>
      <c r="D113" s="85">
        <v>0</v>
      </c>
      <c r="E113" s="48">
        <v>927000</v>
      </c>
      <c r="F113" s="61">
        <v>0</v>
      </c>
      <c r="G113" s="61">
        <f t="shared" si="10"/>
        <v>927000</v>
      </c>
      <c r="H113" s="85">
        <f t="shared" si="11"/>
        <v>927000</v>
      </c>
      <c r="I113" s="86" t="e">
        <f t="shared" si="12"/>
        <v>#DIV/0!</v>
      </c>
      <c r="J113" s="87"/>
      <c r="K113" s="27"/>
    </row>
    <row r="114" spans="2:11" x14ac:dyDescent="0.25">
      <c r="B114" s="46"/>
      <c r="C114" s="47" t="s">
        <v>59</v>
      </c>
      <c r="D114" s="85">
        <v>0</v>
      </c>
      <c r="E114" s="48">
        <v>0</v>
      </c>
      <c r="F114" s="61">
        <v>0</v>
      </c>
      <c r="G114" s="61">
        <f t="shared" si="10"/>
        <v>0</v>
      </c>
      <c r="H114" s="85">
        <f t="shared" si="11"/>
        <v>0</v>
      </c>
      <c r="I114" s="86" t="e">
        <f t="shared" si="12"/>
        <v>#DIV/0!</v>
      </c>
      <c r="J114" s="87"/>
      <c r="K114" s="27"/>
    </row>
    <row r="115" spans="2:11" x14ac:dyDescent="0.25">
      <c r="B115" s="46"/>
      <c r="C115" s="47" t="s">
        <v>60</v>
      </c>
      <c r="D115" s="85">
        <v>0</v>
      </c>
      <c r="E115" s="48">
        <v>100000</v>
      </c>
      <c r="F115" s="61">
        <v>0</v>
      </c>
      <c r="G115" s="61">
        <f t="shared" si="10"/>
        <v>100000</v>
      </c>
      <c r="H115" s="85">
        <f t="shared" si="11"/>
        <v>100000</v>
      </c>
      <c r="I115" s="86" t="e">
        <f t="shared" si="12"/>
        <v>#DIV/0!</v>
      </c>
      <c r="J115" s="87"/>
      <c r="K115" s="27"/>
    </row>
    <row r="116" spans="2:11" x14ac:dyDescent="0.25">
      <c r="B116" s="46"/>
      <c r="C116" s="47" t="s">
        <v>61</v>
      </c>
      <c r="D116" s="85">
        <v>0</v>
      </c>
      <c r="E116" s="48">
        <v>0</v>
      </c>
      <c r="F116" s="61">
        <v>0</v>
      </c>
      <c r="G116" s="61">
        <f t="shared" si="10"/>
        <v>0</v>
      </c>
      <c r="H116" s="85">
        <f t="shared" si="11"/>
        <v>0</v>
      </c>
      <c r="I116" s="86" t="e">
        <f t="shared" si="12"/>
        <v>#DIV/0!</v>
      </c>
      <c r="J116" s="87"/>
      <c r="K116" s="27"/>
    </row>
    <row r="117" spans="2:11" x14ac:dyDescent="0.25">
      <c r="B117" s="46"/>
      <c r="C117" s="47" t="s">
        <v>324</v>
      </c>
      <c r="D117" s="85">
        <v>0</v>
      </c>
      <c r="E117" s="48">
        <v>0</v>
      </c>
      <c r="F117" s="61">
        <v>0</v>
      </c>
      <c r="G117" s="61">
        <f t="shared" si="10"/>
        <v>0</v>
      </c>
      <c r="H117" s="85">
        <f t="shared" si="11"/>
        <v>0</v>
      </c>
      <c r="I117" s="86" t="e">
        <f t="shared" si="12"/>
        <v>#DIV/0!</v>
      </c>
      <c r="J117" s="87"/>
      <c r="K117" s="27"/>
    </row>
    <row r="118" spans="2:11" x14ac:dyDescent="0.25">
      <c r="B118" s="46"/>
      <c r="C118" s="47" t="s">
        <v>63</v>
      </c>
      <c r="D118" s="85">
        <v>0</v>
      </c>
      <c r="E118" s="48">
        <v>0</v>
      </c>
      <c r="F118" s="61">
        <v>0</v>
      </c>
      <c r="G118" s="61">
        <f t="shared" si="10"/>
        <v>0</v>
      </c>
      <c r="H118" s="85">
        <f t="shared" si="11"/>
        <v>0</v>
      </c>
      <c r="I118" s="86" t="e">
        <f t="shared" si="12"/>
        <v>#DIV/0!</v>
      </c>
      <c r="J118" s="87"/>
      <c r="K118" s="27"/>
    </row>
    <row r="119" spans="2:11" x14ac:dyDescent="0.25">
      <c r="B119" s="46"/>
      <c r="C119" s="47" t="s">
        <v>64</v>
      </c>
      <c r="D119" s="85">
        <v>0</v>
      </c>
      <c r="E119" s="48">
        <v>0</v>
      </c>
      <c r="F119" s="61">
        <v>0</v>
      </c>
      <c r="G119" s="61">
        <f t="shared" si="10"/>
        <v>0</v>
      </c>
      <c r="H119" s="85">
        <f t="shared" si="11"/>
        <v>0</v>
      </c>
      <c r="I119" s="86" t="e">
        <f t="shared" si="12"/>
        <v>#DIV/0!</v>
      </c>
      <c r="J119" s="87"/>
      <c r="K119" s="27"/>
    </row>
    <row r="120" spans="2:11" x14ac:dyDescent="0.25">
      <c r="B120" s="46"/>
      <c r="C120" s="47" t="s">
        <v>65</v>
      </c>
      <c r="D120" s="85">
        <v>0</v>
      </c>
      <c r="E120" s="48">
        <v>114500</v>
      </c>
      <c r="F120" s="61">
        <v>0</v>
      </c>
      <c r="G120" s="61">
        <f t="shared" si="10"/>
        <v>114500</v>
      </c>
      <c r="H120" s="85">
        <f t="shared" si="11"/>
        <v>114500</v>
      </c>
      <c r="I120" s="86" t="e">
        <f t="shared" si="12"/>
        <v>#DIV/0!</v>
      </c>
      <c r="J120" s="87"/>
      <c r="K120" s="27"/>
    </row>
    <row r="121" spans="2:11" x14ac:dyDescent="0.25">
      <c r="B121" s="46"/>
      <c r="C121" s="47" t="s">
        <v>66</v>
      </c>
      <c r="D121" s="85">
        <v>0</v>
      </c>
      <c r="E121" s="48">
        <v>0</v>
      </c>
      <c r="F121" s="61">
        <v>0</v>
      </c>
      <c r="G121" s="61">
        <f t="shared" si="10"/>
        <v>0</v>
      </c>
      <c r="H121" s="85">
        <f t="shared" si="11"/>
        <v>0</v>
      </c>
      <c r="I121" s="86" t="e">
        <f t="shared" si="12"/>
        <v>#DIV/0!</v>
      </c>
      <c r="J121" s="87"/>
      <c r="K121" s="27"/>
    </row>
    <row r="122" spans="2:11" x14ac:dyDescent="0.25">
      <c r="B122" s="46"/>
      <c r="C122" s="47" t="s">
        <v>67</v>
      </c>
      <c r="D122" s="85">
        <v>0</v>
      </c>
      <c r="E122" s="48">
        <v>0</v>
      </c>
      <c r="F122" s="61">
        <v>0</v>
      </c>
      <c r="G122" s="61">
        <f t="shared" si="10"/>
        <v>0</v>
      </c>
      <c r="H122" s="85">
        <f t="shared" si="11"/>
        <v>0</v>
      </c>
      <c r="I122" s="86" t="e">
        <f t="shared" si="12"/>
        <v>#DIV/0!</v>
      </c>
      <c r="J122" s="87"/>
      <c r="K122" s="27"/>
    </row>
    <row r="123" spans="2:11" x14ac:dyDescent="0.25">
      <c r="B123" s="46"/>
      <c r="C123" s="47" t="s">
        <v>68</v>
      </c>
      <c r="D123" s="85">
        <v>0</v>
      </c>
      <c r="E123" s="48">
        <v>0</v>
      </c>
      <c r="F123" s="61">
        <v>0</v>
      </c>
      <c r="G123" s="61">
        <f t="shared" si="10"/>
        <v>0</v>
      </c>
      <c r="H123" s="85">
        <f t="shared" si="11"/>
        <v>0</v>
      </c>
      <c r="I123" s="86" t="e">
        <f t="shared" si="12"/>
        <v>#DIV/0!</v>
      </c>
      <c r="J123" s="87"/>
      <c r="K123" s="27"/>
    </row>
    <row r="124" spans="2:11" x14ac:dyDescent="0.25">
      <c r="B124" s="46"/>
      <c r="C124" s="47" t="s">
        <v>69</v>
      </c>
      <c r="D124" s="85">
        <v>0</v>
      </c>
      <c r="E124" s="48">
        <v>0</v>
      </c>
      <c r="F124" s="61">
        <v>0</v>
      </c>
      <c r="G124" s="61">
        <f t="shared" si="10"/>
        <v>0</v>
      </c>
      <c r="H124" s="85">
        <f t="shared" si="11"/>
        <v>0</v>
      </c>
      <c r="I124" s="86"/>
      <c r="J124" s="87"/>
      <c r="K124" s="27"/>
    </row>
    <row r="125" spans="2:11" x14ac:dyDescent="0.25">
      <c r="B125" s="46"/>
      <c r="C125" s="47"/>
      <c r="D125" s="47"/>
      <c r="E125" s="61"/>
      <c r="F125" s="61"/>
      <c r="G125" s="61"/>
      <c r="H125" s="85"/>
      <c r="I125" s="86"/>
      <c r="J125" s="87"/>
      <c r="K125" s="27"/>
    </row>
    <row r="126" spans="2:11" x14ac:dyDescent="0.25">
      <c r="B126" s="46"/>
      <c r="C126" s="60" t="s">
        <v>14</v>
      </c>
      <c r="D126" s="135">
        <f>D104</f>
        <v>13500000</v>
      </c>
      <c r="E126" s="89">
        <f>SUM(E105:E124)</f>
        <v>12216500</v>
      </c>
      <c r="F126" s="89">
        <f>SUM(F105:F124)</f>
        <v>470000</v>
      </c>
      <c r="G126" s="89">
        <f>SUM(G105:G124)</f>
        <v>12686500</v>
      </c>
      <c r="H126" s="90">
        <f>SUM(H105:H118)</f>
        <v>12572000</v>
      </c>
      <c r="I126" s="91">
        <f>G126/D126%</f>
        <v>93.974074074074068</v>
      </c>
      <c r="J126" s="87"/>
      <c r="K126" s="27"/>
    </row>
    <row r="127" spans="2:11" x14ac:dyDescent="0.25">
      <c r="B127" s="46"/>
      <c r="C127" s="47"/>
      <c r="D127" s="47"/>
      <c r="E127" s="61"/>
      <c r="F127" s="62"/>
      <c r="G127" s="61"/>
      <c r="H127" s="85"/>
      <c r="I127" s="85"/>
      <c r="J127" s="87"/>
      <c r="K127" s="27"/>
    </row>
    <row r="128" spans="2:11" x14ac:dyDescent="0.25">
      <c r="B128" s="46" t="s">
        <v>15</v>
      </c>
      <c r="C128" s="60" t="s">
        <v>16</v>
      </c>
      <c r="D128" s="134">
        <v>4500000</v>
      </c>
      <c r="E128" s="61"/>
      <c r="F128" s="62"/>
      <c r="G128" s="61"/>
      <c r="H128" s="85"/>
      <c r="I128" s="85"/>
      <c r="J128" s="87"/>
      <c r="K128" s="27"/>
    </row>
    <row r="129" spans="2:11" x14ac:dyDescent="0.25">
      <c r="B129" s="46"/>
      <c r="C129" s="47" t="s">
        <v>38</v>
      </c>
      <c r="D129" s="85">
        <v>0</v>
      </c>
      <c r="E129" s="48">
        <v>2000</v>
      </c>
      <c r="F129" s="61">
        <v>0</v>
      </c>
      <c r="G129" s="61">
        <f t="shared" ref="G129:G145" si="13">E129+F129</f>
        <v>2000</v>
      </c>
      <c r="H129" s="85">
        <f t="shared" ref="H129:H145" si="14">G129-D129</f>
        <v>2000</v>
      </c>
      <c r="I129" s="86" t="e">
        <f t="shared" ref="I129:I145" si="15">G129/D129%</f>
        <v>#DIV/0!</v>
      </c>
      <c r="J129" s="87"/>
      <c r="K129" s="27"/>
    </row>
    <row r="130" spans="2:11" x14ac:dyDescent="0.25">
      <c r="B130" s="46"/>
      <c r="C130" s="47" t="s">
        <v>39</v>
      </c>
      <c r="D130" s="85">
        <v>0</v>
      </c>
      <c r="E130" s="48">
        <v>526500</v>
      </c>
      <c r="F130" s="61">
        <v>0</v>
      </c>
      <c r="G130" s="61">
        <f t="shared" si="13"/>
        <v>526500</v>
      </c>
      <c r="H130" s="85">
        <f t="shared" si="14"/>
        <v>526500</v>
      </c>
      <c r="I130" s="86" t="e">
        <f t="shared" si="15"/>
        <v>#DIV/0!</v>
      </c>
      <c r="J130" s="87"/>
      <c r="K130" s="27"/>
    </row>
    <row r="131" spans="2:11" x14ac:dyDescent="0.25">
      <c r="B131" s="46"/>
      <c r="C131" s="47" t="s">
        <v>40</v>
      </c>
      <c r="D131" s="85">
        <v>0</v>
      </c>
      <c r="E131" s="48">
        <v>364000</v>
      </c>
      <c r="F131" s="61">
        <v>0</v>
      </c>
      <c r="G131" s="61">
        <f t="shared" si="13"/>
        <v>364000</v>
      </c>
      <c r="H131" s="85">
        <f t="shared" si="14"/>
        <v>364000</v>
      </c>
      <c r="I131" s="86" t="e">
        <f t="shared" si="15"/>
        <v>#DIV/0!</v>
      </c>
      <c r="J131" s="87"/>
      <c r="K131" s="27"/>
    </row>
    <row r="132" spans="2:11" x14ac:dyDescent="0.25">
      <c r="B132" s="46"/>
      <c r="C132" s="47" t="s">
        <v>41</v>
      </c>
      <c r="D132" s="85">
        <v>0</v>
      </c>
      <c r="E132" s="48">
        <v>0</v>
      </c>
      <c r="F132" s="61">
        <v>0</v>
      </c>
      <c r="G132" s="61">
        <f t="shared" si="13"/>
        <v>0</v>
      </c>
      <c r="H132" s="85">
        <f t="shared" si="14"/>
        <v>0</v>
      </c>
      <c r="I132" s="86" t="e">
        <f t="shared" si="15"/>
        <v>#DIV/0!</v>
      </c>
      <c r="J132" s="87"/>
      <c r="K132" s="27"/>
    </row>
    <row r="133" spans="2:11" x14ac:dyDescent="0.25">
      <c r="B133" s="46"/>
      <c r="C133" s="47" t="s">
        <v>50</v>
      </c>
      <c r="D133" s="85">
        <v>0</v>
      </c>
      <c r="E133" s="48">
        <v>0</v>
      </c>
      <c r="F133" s="61">
        <v>0</v>
      </c>
      <c r="G133" s="61">
        <f t="shared" si="13"/>
        <v>0</v>
      </c>
      <c r="H133" s="85">
        <f t="shared" si="14"/>
        <v>0</v>
      </c>
      <c r="I133" s="86" t="e">
        <f t="shared" si="15"/>
        <v>#DIV/0!</v>
      </c>
      <c r="J133" s="87"/>
      <c r="K133" s="27"/>
    </row>
    <row r="134" spans="2:11" x14ac:dyDescent="0.25">
      <c r="B134" s="46"/>
      <c r="C134" s="47" t="s">
        <v>51</v>
      </c>
      <c r="D134" s="85">
        <v>0</v>
      </c>
      <c r="E134" s="48">
        <v>0</v>
      </c>
      <c r="F134" s="61">
        <v>0</v>
      </c>
      <c r="G134" s="61">
        <f t="shared" si="13"/>
        <v>0</v>
      </c>
      <c r="H134" s="85">
        <f t="shared" si="14"/>
        <v>0</v>
      </c>
      <c r="I134" s="86" t="e">
        <f t="shared" si="15"/>
        <v>#DIV/0!</v>
      </c>
      <c r="J134" s="87"/>
      <c r="K134" s="27"/>
    </row>
    <row r="135" spans="2:11" x14ac:dyDescent="0.25">
      <c r="B135" s="46"/>
      <c r="C135" s="47" t="s">
        <v>49</v>
      </c>
      <c r="D135" s="85">
        <v>0</v>
      </c>
      <c r="E135" s="48">
        <v>0</v>
      </c>
      <c r="F135" s="61">
        <v>0</v>
      </c>
      <c r="G135" s="61">
        <f t="shared" si="13"/>
        <v>0</v>
      </c>
      <c r="H135" s="85">
        <f t="shared" si="14"/>
        <v>0</v>
      </c>
      <c r="I135" s="86" t="e">
        <f t="shared" si="15"/>
        <v>#DIV/0!</v>
      </c>
      <c r="J135" s="87"/>
      <c r="K135" s="27"/>
    </row>
    <row r="136" spans="2:11" x14ac:dyDescent="0.25">
      <c r="B136" s="46"/>
      <c r="C136" s="47" t="s">
        <v>79</v>
      </c>
      <c r="D136" s="85">
        <v>0</v>
      </c>
      <c r="E136" s="48">
        <v>0</v>
      </c>
      <c r="F136" s="61">
        <v>0</v>
      </c>
      <c r="G136" s="61">
        <f t="shared" si="13"/>
        <v>0</v>
      </c>
      <c r="H136" s="85">
        <f t="shared" si="14"/>
        <v>0</v>
      </c>
      <c r="I136" s="86" t="e">
        <f t="shared" si="15"/>
        <v>#DIV/0!</v>
      </c>
      <c r="J136" s="87"/>
      <c r="K136" s="27"/>
    </row>
    <row r="137" spans="2:11" x14ac:dyDescent="0.25">
      <c r="B137" s="46"/>
      <c r="C137" s="47" t="s">
        <v>71</v>
      </c>
      <c r="D137" s="85">
        <v>0</v>
      </c>
      <c r="E137" s="48">
        <v>1771000</v>
      </c>
      <c r="F137" s="61">
        <v>92000</v>
      </c>
      <c r="G137" s="61">
        <f t="shared" si="13"/>
        <v>1863000</v>
      </c>
      <c r="H137" s="85">
        <f t="shared" si="14"/>
        <v>1863000</v>
      </c>
      <c r="I137" s="86" t="e">
        <f t="shared" si="15"/>
        <v>#DIV/0!</v>
      </c>
      <c r="J137" s="87"/>
      <c r="K137" s="27"/>
    </row>
    <row r="138" spans="2:11" x14ac:dyDescent="0.25">
      <c r="B138" s="46"/>
      <c r="C138" s="47" t="s">
        <v>72</v>
      </c>
      <c r="D138" s="85">
        <v>0</v>
      </c>
      <c r="E138" s="48">
        <v>0</v>
      </c>
      <c r="F138" s="61">
        <v>0</v>
      </c>
      <c r="G138" s="61">
        <f t="shared" si="13"/>
        <v>0</v>
      </c>
      <c r="H138" s="85">
        <f t="shared" si="14"/>
        <v>0</v>
      </c>
      <c r="I138" s="86" t="e">
        <f t="shared" si="15"/>
        <v>#DIV/0!</v>
      </c>
      <c r="J138" s="87"/>
      <c r="K138" s="27"/>
    </row>
    <row r="139" spans="2:11" x14ac:dyDescent="0.25">
      <c r="B139" s="46"/>
      <c r="C139" s="47" t="s">
        <v>70</v>
      </c>
      <c r="D139" s="85">
        <v>0</v>
      </c>
      <c r="E139" s="48">
        <v>0</v>
      </c>
      <c r="F139" s="61">
        <v>0</v>
      </c>
      <c r="G139" s="61">
        <f>E139+F139</f>
        <v>0</v>
      </c>
      <c r="H139" s="85">
        <f t="shared" si="14"/>
        <v>0</v>
      </c>
      <c r="I139" s="86" t="e">
        <f t="shared" si="15"/>
        <v>#DIV/0!</v>
      </c>
      <c r="J139" s="87"/>
      <c r="K139" s="27"/>
    </row>
    <row r="140" spans="2:11" x14ac:dyDescent="0.25">
      <c r="B140" s="46"/>
      <c r="C140" s="47" t="s">
        <v>73</v>
      </c>
      <c r="D140" s="85">
        <v>0</v>
      </c>
      <c r="E140" s="48">
        <v>0</v>
      </c>
      <c r="F140" s="61">
        <v>0</v>
      </c>
      <c r="G140" s="61">
        <f t="shared" si="13"/>
        <v>0</v>
      </c>
      <c r="H140" s="85">
        <f t="shared" si="14"/>
        <v>0</v>
      </c>
      <c r="I140" s="86" t="e">
        <f t="shared" si="15"/>
        <v>#DIV/0!</v>
      </c>
      <c r="J140" s="87"/>
      <c r="K140" s="27"/>
    </row>
    <row r="141" spans="2:11" x14ac:dyDescent="0.25">
      <c r="B141" s="46"/>
      <c r="C141" s="47" t="s">
        <v>74</v>
      </c>
      <c r="D141" s="85">
        <v>0</v>
      </c>
      <c r="E141" s="48">
        <v>0</v>
      </c>
      <c r="F141" s="61">
        <v>0</v>
      </c>
      <c r="G141" s="61">
        <f t="shared" si="13"/>
        <v>0</v>
      </c>
      <c r="H141" s="85">
        <f t="shared" si="14"/>
        <v>0</v>
      </c>
      <c r="I141" s="86" t="e">
        <f t="shared" si="15"/>
        <v>#DIV/0!</v>
      </c>
      <c r="J141" s="87"/>
      <c r="K141" s="27"/>
    </row>
    <row r="142" spans="2:11" x14ac:dyDescent="0.25">
      <c r="B142" s="46"/>
      <c r="C142" s="47" t="s">
        <v>75</v>
      </c>
      <c r="D142" s="85">
        <v>0</v>
      </c>
      <c r="E142" s="48">
        <v>0</v>
      </c>
      <c r="F142" s="61">
        <v>0</v>
      </c>
      <c r="G142" s="61">
        <f t="shared" si="13"/>
        <v>0</v>
      </c>
      <c r="H142" s="85">
        <f t="shared" si="14"/>
        <v>0</v>
      </c>
      <c r="I142" s="86" t="e">
        <f t="shared" si="15"/>
        <v>#DIV/0!</v>
      </c>
      <c r="J142" s="87"/>
      <c r="K142" s="27"/>
    </row>
    <row r="143" spans="2:11" x14ac:dyDescent="0.25">
      <c r="B143" s="46"/>
      <c r="C143" s="47" t="s">
        <v>76</v>
      </c>
      <c r="D143" s="85">
        <v>0</v>
      </c>
      <c r="E143" s="48">
        <v>0</v>
      </c>
      <c r="F143" s="61">
        <v>0</v>
      </c>
      <c r="G143" s="61">
        <f t="shared" si="13"/>
        <v>0</v>
      </c>
      <c r="H143" s="85">
        <f t="shared" si="14"/>
        <v>0</v>
      </c>
      <c r="I143" s="86" t="e">
        <f t="shared" si="15"/>
        <v>#DIV/0!</v>
      </c>
      <c r="J143" s="87"/>
      <c r="K143" s="27"/>
    </row>
    <row r="144" spans="2:11" x14ac:dyDescent="0.25">
      <c r="B144" s="46"/>
      <c r="C144" s="47" t="s">
        <v>77</v>
      </c>
      <c r="D144" s="85">
        <v>0</v>
      </c>
      <c r="E144" s="48">
        <v>93000</v>
      </c>
      <c r="F144" s="61">
        <v>0</v>
      </c>
      <c r="G144" s="61">
        <f t="shared" si="13"/>
        <v>93000</v>
      </c>
      <c r="H144" s="85">
        <f t="shared" si="14"/>
        <v>93000</v>
      </c>
      <c r="I144" s="86" t="e">
        <f t="shared" si="15"/>
        <v>#DIV/0!</v>
      </c>
      <c r="J144" s="87"/>
      <c r="K144" s="27"/>
    </row>
    <row r="145" spans="2:11" x14ac:dyDescent="0.25">
      <c r="B145" s="46"/>
      <c r="C145" s="47" t="s">
        <v>323</v>
      </c>
      <c r="D145" s="85">
        <v>0</v>
      </c>
      <c r="E145" s="48">
        <v>0</v>
      </c>
      <c r="F145" s="61">
        <v>0</v>
      </c>
      <c r="G145" s="61">
        <f t="shared" si="13"/>
        <v>0</v>
      </c>
      <c r="H145" s="85">
        <f t="shared" si="14"/>
        <v>0</v>
      </c>
      <c r="I145" s="86" t="e">
        <f t="shared" si="15"/>
        <v>#DIV/0!</v>
      </c>
      <c r="J145" s="87"/>
      <c r="K145" s="27"/>
    </row>
    <row r="146" spans="2:11" x14ac:dyDescent="0.25">
      <c r="B146" s="46"/>
      <c r="C146" s="47"/>
      <c r="D146" s="85"/>
      <c r="E146" s="61"/>
      <c r="F146" s="61"/>
      <c r="G146" s="61"/>
      <c r="H146" s="85"/>
      <c r="I146" s="85"/>
      <c r="J146" s="87"/>
      <c r="K146" s="27"/>
    </row>
    <row r="147" spans="2:11" x14ac:dyDescent="0.25">
      <c r="B147" s="46"/>
      <c r="C147" s="60" t="s">
        <v>17</v>
      </c>
      <c r="D147" s="136">
        <f>D128</f>
        <v>4500000</v>
      </c>
      <c r="E147" s="89">
        <f>SUM(E129:E145)</f>
        <v>2756500</v>
      </c>
      <c r="F147" s="89">
        <f>SUM(F129:F145)</f>
        <v>92000</v>
      </c>
      <c r="G147" s="89">
        <f>SUM(G129:G145)</f>
        <v>2848500</v>
      </c>
      <c r="H147" s="90">
        <f>SUM(H129:H145)</f>
        <v>2848500</v>
      </c>
      <c r="I147" s="91">
        <f>G147/D147%</f>
        <v>63.3</v>
      </c>
      <c r="J147" s="87"/>
      <c r="K147" s="27"/>
    </row>
    <row r="148" spans="2:11" x14ac:dyDescent="0.25">
      <c r="B148" s="46"/>
      <c r="C148" s="47"/>
      <c r="D148" s="47"/>
      <c r="E148" s="61"/>
      <c r="F148" s="62"/>
      <c r="G148" s="61"/>
      <c r="H148" s="85"/>
      <c r="I148" s="85"/>
      <c r="J148" s="87"/>
      <c r="K148" s="27"/>
    </row>
    <row r="149" spans="2:11" x14ac:dyDescent="0.25">
      <c r="B149" s="46" t="s">
        <v>18</v>
      </c>
      <c r="C149" s="60" t="s">
        <v>19</v>
      </c>
      <c r="D149" s="134"/>
      <c r="E149" s="61"/>
      <c r="F149" s="62"/>
      <c r="G149" s="61"/>
      <c r="H149" s="85"/>
      <c r="I149" s="85"/>
      <c r="J149" s="87"/>
      <c r="K149" s="27"/>
    </row>
    <row r="150" spans="2:11" x14ac:dyDescent="0.25">
      <c r="B150" s="46"/>
      <c r="C150" s="47" t="s">
        <v>42</v>
      </c>
      <c r="D150" s="85">
        <v>0</v>
      </c>
      <c r="E150" s="48"/>
      <c r="F150" s="61">
        <v>0</v>
      </c>
      <c r="G150" s="61">
        <f>E150+F150</f>
        <v>0</v>
      </c>
      <c r="H150" s="85">
        <f t="shared" ref="H150:H163" si="16">G150-D150</f>
        <v>0</v>
      </c>
      <c r="I150" s="86" t="e">
        <f t="shared" ref="I150:I163" si="17">G150/D150%</f>
        <v>#DIV/0!</v>
      </c>
      <c r="J150" s="87"/>
      <c r="K150" s="27"/>
    </row>
    <row r="151" spans="2:11" x14ac:dyDescent="0.25">
      <c r="B151" s="46"/>
      <c r="C151" s="47" t="s">
        <v>43</v>
      </c>
      <c r="D151" s="85">
        <v>0</v>
      </c>
      <c r="E151" s="48"/>
      <c r="F151" s="61">
        <v>0</v>
      </c>
      <c r="G151" s="61">
        <f t="shared" ref="G151:G163" si="18">E151+F151</f>
        <v>0</v>
      </c>
      <c r="H151" s="85">
        <f t="shared" si="16"/>
        <v>0</v>
      </c>
      <c r="I151" s="86" t="e">
        <f t="shared" si="17"/>
        <v>#DIV/0!</v>
      </c>
      <c r="J151" s="87"/>
      <c r="K151" s="27"/>
    </row>
    <row r="152" spans="2:11" x14ac:dyDescent="0.25">
      <c r="B152" s="46"/>
      <c r="C152" s="47" t="s">
        <v>44</v>
      </c>
      <c r="D152" s="85">
        <v>0</v>
      </c>
      <c r="E152" s="48"/>
      <c r="F152" s="61">
        <v>0</v>
      </c>
      <c r="G152" s="61">
        <f t="shared" si="18"/>
        <v>0</v>
      </c>
      <c r="H152" s="85">
        <f t="shared" si="16"/>
        <v>0</v>
      </c>
      <c r="I152" s="86" t="e">
        <f t="shared" si="17"/>
        <v>#DIV/0!</v>
      </c>
      <c r="J152" s="87"/>
      <c r="K152" s="27"/>
    </row>
    <row r="153" spans="2:11" x14ac:dyDescent="0.25">
      <c r="B153" s="46"/>
      <c r="C153" s="47" t="s">
        <v>45</v>
      </c>
      <c r="D153" s="85">
        <v>0</v>
      </c>
      <c r="E153" s="48"/>
      <c r="F153" s="61">
        <v>0</v>
      </c>
      <c r="G153" s="61">
        <f t="shared" si="18"/>
        <v>0</v>
      </c>
      <c r="H153" s="85">
        <f t="shared" si="16"/>
        <v>0</v>
      </c>
      <c r="I153" s="86" t="e">
        <f t="shared" si="17"/>
        <v>#DIV/0!</v>
      </c>
      <c r="J153" s="87"/>
      <c r="K153" s="27"/>
    </row>
    <row r="154" spans="2:11" x14ac:dyDescent="0.25">
      <c r="B154" s="46"/>
      <c r="C154" s="47" t="s">
        <v>46</v>
      </c>
      <c r="D154" s="85">
        <v>0</v>
      </c>
      <c r="E154" s="48"/>
      <c r="F154" s="92">
        <v>0</v>
      </c>
      <c r="G154" s="61">
        <f t="shared" si="18"/>
        <v>0</v>
      </c>
      <c r="H154" s="85">
        <f t="shared" si="16"/>
        <v>0</v>
      </c>
      <c r="I154" s="86" t="e">
        <f t="shared" si="17"/>
        <v>#DIV/0!</v>
      </c>
      <c r="J154" s="87"/>
      <c r="K154" s="27"/>
    </row>
    <row r="155" spans="2:11" x14ac:dyDescent="0.25">
      <c r="B155" s="46"/>
      <c r="C155" s="47" t="s">
        <v>88</v>
      </c>
      <c r="D155" s="85">
        <v>0</v>
      </c>
      <c r="E155" s="48"/>
      <c r="F155" s="61">
        <v>0</v>
      </c>
      <c r="G155" s="61">
        <f t="shared" si="18"/>
        <v>0</v>
      </c>
      <c r="H155" s="85">
        <f t="shared" si="16"/>
        <v>0</v>
      </c>
      <c r="I155" s="86" t="e">
        <f t="shared" si="17"/>
        <v>#DIV/0!</v>
      </c>
      <c r="J155" s="87"/>
      <c r="K155" s="27"/>
    </row>
    <row r="156" spans="2:11" x14ac:dyDescent="0.25">
      <c r="B156" s="46"/>
      <c r="C156" s="47" t="s">
        <v>80</v>
      </c>
      <c r="D156" s="85">
        <v>0</v>
      </c>
      <c r="E156" s="48"/>
      <c r="F156" s="61">
        <v>0</v>
      </c>
      <c r="G156" s="61">
        <f t="shared" si="18"/>
        <v>0</v>
      </c>
      <c r="H156" s="85">
        <f t="shared" si="16"/>
        <v>0</v>
      </c>
      <c r="I156" s="86" t="e">
        <f t="shared" si="17"/>
        <v>#DIV/0!</v>
      </c>
      <c r="J156" s="87"/>
      <c r="K156" s="27"/>
    </row>
    <row r="157" spans="2:11" x14ac:dyDescent="0.25">
      <c r="B157" s="46"/>
      <c r="C157" s="47" t="s">
        <v>86</v>
      </c>
      <c r="D157" s="85">
        <v>0</v>
      </c>
      <c r="E157" s="48"/>
      <c r="F157" s="61">
        <v>0</v>
      </c>
      <c r="G157" s="61">
        <f t="shared" si="18"/>
        <v>0</v>
      </c>
      <c r="H157" s="85">
        <f t="shared" si="16"/>
        <v>0</v>
      </c>
      <c r="I157" s="86" t="e">
        <f t="shared" si="17"/>
        <v>#DIV/0!</v>
      </c>
      <c r="J157" s="87"/>
      <c r="K157" s="27"/>
    </row>
    <row r="158" spans="2:11" x14ac:dyDescent="0.25">
      <c r="B158" s="46"/>
      <c r="C158" s="47" t="s">
        <v>87</v>
      </c>
      <c r="D158" s="85">
        <v>0</v>
      </c>
      <c r="E158" s="48">
        <v>500000</v>
      </c>
      <c r="F158" s="61">
        <v>0</v>
      </c>
      <c r="G158" s="61">
        <f t="shared" si="18"/>
        <v>500000</v>
      </c>
      <c r="H158" s="85">
        <f t="shared" si="16"/>
        <v>500000</v>
      </c>
      <c r="I158" s="86" t="e">
        <f t="shared" si="17"/>
        <v>#DIV/0!</v>
      </c>
      <c r="J158" s="87"/>
      <c r="K158" s="27"/>
    </row>
    <row r="159" spans="2:11" x14ac:dyDescent="0.25">
      <c r="B159" s="46"/>
      <c r="C159" s="47" t="s">
        <v>81</v>
      </c>
      <c r="D159" s="85">
        <v>0</v>
      </c>
      <c r="E159" s="48"/>
      <c r="F159" s="61">
        <v>0</v>
      </c>
      <c r="G159" s="61">
        <f t="shared" si="18"/>
        <v>0</v>
      </c>
      <c r="H159" s="85">
        <f t="shared" si="16"/>
        <v>0</v>
      </c>
      <c r="I159" s="86" t="e">
        <f t="shared" si="17"/>
        <v>#DIV/0!</v>
      </c>
      <c r="J159" s="87"/>
      <c r="K159" s="27"/>
    </row>
    <row r="160" spans="2:11" x14ac:dyDescent="0.25">
      <c r="B160" s="46"/>
      <c r="C160" s="47" t="s">
        <v>82</v>
      </c>
      <c r="D160" s="85">
        <v>0</v>
      </c>
      <c r="E160" s="48"/>
      <c r="F160" s="61">
        <v>0</v>
      </c>
      <c r="G160" s="61">
        <f t="shared" si="18"/>
        <v>0</v>
      </c>
      <c r="H160" s="85">
        <f t="shared" si="16"/>
        <v>0</v>
      </c>
      <c r="I160" s="86" t="e">
        <f t="shared" si="17"/>
        <v>#DIV/0!</v>
      </c>
      <c r="J160" s="87"/>
      <c r="K160" s="27"/>
    </row>
    <row r="161" spans="2:11" x14ac:dyDescent="0.25">
      <c r="B161" s="46"/>
      <c r="C161" s="47" t="s">
        <v>83</v>
      </c>
      <c r="D161" s="85">
        <v>0</v>
      </c>
      <c r="E161" s="48"/>
      <c r="F161" s="61">
        <v>0</v>
      </c>
      <c r="G161" s="61">
        <f t="shared" si="18"/>
        <v>0</v>
      </c>
      <c r="H161" s="85">
        <f t="shared" si="16"/>
        <v>0</v>
      </c>
      <c r="I161" s="86" t="e">
        <f t="shared" si="17"/>
        <v>#DIV/0!</v>
      </c>
      <c r="J161" s="87"/>
      <c r="K161" s="27"/>
    </row>
    <row r="162" spans="2:11" x14ac:dyDescent="0.25">
      <c r="B162" s="46"/>
      <c r="C162" s="47" t="s">
        <v>84</v>
      </c>
      <c r="D162" s="85">
        <v>0</v>
      </c>
      <c r="E162" s="48"/>
      <c r="F162" s="61">
        <v>0</v>
      </c>
      <c r="G162" s="61">
        <f t="shared" si="18"/>
        <v>0</v>
      </c>
      <c r="H162" s="85">
        <f t="shared" si="16"/>
        <v>0</v>
      </c>
      <c r="I162" s="86" t="e">
        <f t="shared" si="17"/>
        <v>#DIV/0!</v>
      </c>
      <c r="J162" s="87"/>
      <c r="K162" s="27"/>
    </row>
    <row r="163" spans="2:11" x14ac:dyDescent="0.25">
      <c r="B163" s="46"/>
      <c r="C163" s="47" t="s">
        <v>85</v>
      </c>
      <c r="D163" s="85">
        <v>0</v>
      </c>
      <c r="E163" s="48"/>
      <c r="F163" s="61">
        <v>0</v>
      </c>
      <c r="G163" s="61">
        <f t="shared" si="18"/>
        <v>0</v>
      </c>
      <c r="H163" s="85">
        <f t="shared" si="16"/>
        <v>0</v>
      </c>
      <c r="I163" s="86" t="e">
        <f t="shared" si="17"/>
        <v>#DIV/0!</v>
      </c>
      <c r="J163" s="87"/>
      <c r="K163" s="27"/>
    </row>
    <row r="164" spans="2:11" x14ac:dyDescent="0.25">
      <c r="B164" s="46"/>
      <c r="C164" s="47"/>
      <c r="D164" s="85"/>
      <c r="E164" s="61"/>
      <c r="F164" s="61"/>
      <c r="G164" s="61"/>
      <c r="H164" s="85"/>
      <c r="I164" s="85"/>
      <c r="J164" s="87"/>
      <c r="K164" s="27"/>
    </row>
    <row r="165" spans="2:11" x14ac:dyDescent="0.25">
      <c r="B165" s="46"/>
      <c r="C165" s="60" t="s">
        <v>20</v>
      </c>
      <c r="D165" s="136">
        <f>D149</f>
        <v>0</v>
      </c>
      <c r="E165" s="89">
        <f>SUM(E150:E163)</f>
        <v>500000</v>
      </c>
      <c r="F165" s="89">
        <f>SUM(F150:F163)</f>
        <v>0</v>
      </c>
      <c r="G165" s="89">
        <f>SUM(G150:G163)</f>
        <v>500000</v>
      </c>
      <c r="H165" s="90">
        <f>SUM(H150:H159)</f>
        <v>500000</v>
      </c>
      <c r="I165" s="91" t="e">
        <f>G165/D165%</f>
        <v>#DIV/0!</v>
      </c>
      <c r="J165" s="87"/>
      <c r="K165" s="27"/>
    </row>
    <row r="166" spans="2:11" x14ac:dyDescent="0.25">
      <c r="B166" s="46"/>
      <c r="C166" s="47"/>
      <c r="D166" s="47"/>
      <c r="E166" s="61"/>
      <c r="F166" s="62"/>
      <c r="G166" s="61"/>
      <c r="H166" s="85"/>
      <c r="I166" s="85"/>
      <c r="J166" s="87"/>
      <c r="K166" s="27"/>
    </row>
    <row r="167" spans="2:11" ht="15.75" thickBot="1" x14ac:dyDescent="0.3">
      <c r="B167" s="114"/>
      <c r="C167" s="115" t="s">
        <v>21</v>
      </c>
      <c r="D167" s="137">
        <f>D126+D147+D165</f>
        <v>18000000</v>
      </c>
      <c r="E167" s="138">
        <f>E126+E147+E165</f>
        <v>15473000</v>
      </c>
      <c r="F167" s="139">
        <f>F126+F147+F165</f>
        <v>562000</v>
      </c>
      <c r="G167" s="138">
        <f>G126+G147+G165</f>
        <v>16035000</v>
      </c>
      <c r="H167" s="140">
        <f>H126+H147+H165</f>
        <v>15920500</v>
      </c>
      <c r="I167" s="141">
        <f>G167/D167%</f>
        <v>89.083333333333329</v>
      </c>
      <c r="J167" s="142"/>
      <c r="K167" s="27"/>
    </row>
    <row r="168" spans="2:11" x14ac:dyDescent="0.25">
      <c r="B168" s="75"/>
      <c r="C168" s="75"/>
      <c r="D168" s="75"/>
      <c r="E168" s="75"/>
      <c r="F168" s="75"/>
      <c r="G168" s="76"/>
      <c r="H168" s="75"/>
      <c r="I168" s="75"/>
      <c r="J168" s="75"/>
      <c r="K168" s="27"/>
    </row>
    <row r="169" spans="2:11" x14ac:dyDescent="0.25">
      <c r="B169" s="75"/>
      <c r="C169" s="75"/>
      <c r="D169" s="75"/>
      <c r="E169" s="75"/>
      <c r="F169" s="75"/>
      <c r="G169" s="76"/>
      <c r="H169" s="75"/>
      <c r="I169" s="75"/>
      <c r="J169" s="75"/>
      <c r="K169" s="27"/>
    </row>
    <row r="170" spans="2:11" x14ac:dyDescent="0.25">
      <c r="B170" s="75"/>
      <c r="C170" s="75"/>
      <c r="D170" s="75"/>
      <c r="E170" s="122" t="s">
        <v>25</v>
      </c>
      <c r="F170" s="123" t="s">
        <v>26</v>
      </c>
      <c r="G170" s="124" t="e">
        <f>#REF!</f>
        <v>#REF!</v>
      </c>
      <c r="H170" s="75"/>
      <c r="I170" s="75"/>
      <c r="J170" s="75"/>
      <c r="K170" s="27"/>
    </row>
    <row r="171" spans="2:11" ht="19.5" x14ac:dyDescent="0.55000000000000004">
      <c r="B171" s="75"/>
      <c r="C171" s="75"/>
      <c r="D171" s="75"/>
      <c r="E171" s="122" t="s">
        <v>29</v>
      </c>
      <c r="F171" s="123" t="s">
        <v>26</v>
      </c>
      <c r="G171" s="126">
        <f>4000+25000+15000</f>
        <v>44000</v>
      </c>
      <c r="H171" s="75" t="s">
        <v>28</v>
      </c>
      <c r="I171" s="75"/>
      <c r="J171" s="75"/>
      <c r="K171" s="27"/>
    </row>
    <row r="172" spans="2:11" ht="15.75" thickBot="1" x14ac:dyDescent="0.3">
      <c r="B172" s="75"/>
      <c r="C172" s="75"/>
      <c r="D172" s="75"/>
      <c r="E172" s="122" t="s">
        <v>30</v>
      </c>
      <c r="F172" s="123"/>
      <c r="G172" s="127" t="e">
        <f>SUM(G170:G171)</f>
        <v>#REF!</v>
      </c>
      <c r="H172" s="160" t="s">
        <v>126</v>
      </c>
      <c r="I172" s="27"/>
      <c r="J172" s="75"/>
      <c r="K172" s="27"/>
    </row>
    <row r="173" spans="2:11" ht="15.75" thickTop="1" x14ac:dyDescent="0.25">
      <c r="B173" s="27"/>
      <c r="C173" s="27"/>
      <c r="D173" s="27"/>
      <c r="E173" s="27"/>
      <c r="F173" s="27"/>
      <c r="G173" s="27"/>
      <c r="H173" s="403" t="str">
        <f>H91</f>
        <v>Jalang'E, 01 Juni 2019</v>
      </c>
      <c r="I173" s="403"/>
      <c r="J173" s="27"/>
      <c r="K173" s="27"/>
    </row>
    <row r="175" spans="2:11" x14ac:dyDescent="0.25">
      <c r="G175" s="166" t="e">
        <f>G167-G170</f>
        <v>#REF!</v>
      </c>
    </row>
  </sheetData>
  <mergeCells count="19">
    <mergeCell ref="H173:I173"/>
    <mergeCell ref="J5:J6"/>
    <mergeCell ref="H91:I91"/>
    <mergeCell ref="B99:I99"/>
    <mergeCell ref="B100:I100"/>
    <mergeCell ref="B101:B102"/>
    <mergeCell ref="C101:C102"/>
    <mergeCell ref="D101:D102"/>
    <mergeCell ref="E101:G101"/>
    <mergeCell ref="H101:I101"/>
    <mergeCell ref="J101:J102"/>
    <mergeCell ref="B2:I2"/>
    <mergeCell ref="B3:I3"/>
    <mergeCell ref="B4:I4"/>
    <mergeCell ref="B5:B6"/>
    <mergeCell ref="C5:C6"/>
    <mergeCell ref="D5:D6"/>
    <mergeCell ref="E5:G5"/>
    <mergeCell ref="H5:I5"/>
  </mergeCells>
  <pageMargins left="0.87" right="0.14000000000000001" top="0.15" bottom="0.12" header="0.3" footer="0.12"/>
  <pageSetup paperSize="9" scale="63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J175"/>
  <sheetViews>
    <sheetView zoomScale="90" zoomScaleNormal="90" workbookViewId="0">
      <pane ySplit="6" topLeftCell="A82" activePane="bottomLeft" state="frozen"/>
      <selection pane="bottomLeft" activeCell="H91" sqref="B2:I91"/>
    </sheetView>
  </sheetViews>
  <sheetFormatPr defaultRowHeight="15" x14ac:dyDescent="0.25"/>
  <cols>
    <col min="2" max="2" width="5.140625" customWidth="1"/>
    <col min="3" max="3" width="27.28515625" customWidth="1"/>
    <col min="4" max="4" width="18.28515625" customWidth="1"/>
    <col min="5" max="5" width="19.28515625" customWidth="1"/>
    <col min="6" max="6" width="18.5703125" customWidth="1"/>
    <col min="7" max="7" width="17.85546875" customWidth="1"/>
    <col min="8" max="8" width="18" customWidth="1"/>
    <col min="9" max="9" width="18.5703125" customWidth="1"/>
    <col min="10" max="10" width="18.140625" customWidth="1"/>
  </cols>
  <sheetData>
    <row r="2" spans="2:10" x14ac:dyDescent="0.25">
      <c r="B2" s="392" t="s">
        <v>344</v>
      </c>
      <c r="C2" s="392"/>
      <c r="D2" s="392"/>
      <c r="E2" s="392"/>
      <c r="F2" s="392"/>
      <c r="G2" s="392"/>
      <c r="H2" s="392"/>
      <c r="I2" s="392"/>
      <c r="J2" s="75"/>
    </row>
    <row r="3" spans="2:10" x14ac:dyDescent="0.25">
      <c r="B3" s="392" t="s">
        <v>356</v>
      </c>
      <c r="C3" s="392"/>
      <c r="D3" s="392"/>
      <c r="E3" s="392"/>
      <c r="F3" s="392"/>
      <c r="G3" s="392"/>
      <c r="H3" s="392"/>
      <c r="I3" s="392"/>
      <c r="J3" s="75"/>
    </row>
    <row r="4" spans="2:10" ht="15.75" thickBot="1" x14ac:dyDescent="0.3">
      <c r="B4" s="393" t="s">
        <v>1</v>
      </c>
      <c r="C4" s="393"/>
      <c r="D4" s="393"/>
      <c r="E4" s="393"/>
      <c r="F4" s="393"/>
      <c r="G4" s="393"/>
      <c r="H4" s="393"/>
      <c r="I4" s="393"/>
      <c r="J4" s="78"/>
    </row>
    <row r="5" spans="2:10" x14ac:dyDescent="0.25">
      <c r="B5" s="394" t="s">
        <v>2</v>
      </c>
      <c r="C5" s="396" t="s">
        <v>3</v>
      </c>
      <c r="D5" s="398" t="s">
        <v>4</v>
      </c>
      <c r="E5" s="400" t="s">
        <v>5</v>
      </c>
      <c r="F5" s="401"/>
      <c r="G5" s="402"/>
      <c r="H5" s="401" t="s">
        <v>6</v>
      </c>
      <c r="I5" s="402"/>
      <c r="J5" s="404" t="s">
        <v>0</v>
      </c>
    </row>
    <row r="6" spans="2:10" ht="15.75" thickBot="1" x14ac:dyDescent="0.3">
      <c r="B6" s="395"/>
      <c r="C6" s="397"/>
      <c r="D6" s="399"/>
      <c r="E6" s="147" t="s">
        <v>357</v>
      </c>
      <c r="F6" s="148" t="s">
        <v>358</v>
      </c>
      <c r="G6" s="79" t="s">
        <v>7</v>
      </c>
      <c r="H6" s="80" t="s">
        <v>8</v>
      </c>
      <c r="I6" s="81" t="s">
        <v>9</v>
      </c>
      <c r="J6" s="405"/>
    </row>
    <row r="7" spans="2:10" x14ac:dyDescent="0.25">
      <c r="B7" s="40"/>
      <c r="C7" s="41" t="s">
        <v>10</v>
      </c>
      <c r="D7" s="82"/>
      <c r="E7" s="42"/>
      <c r="F7" s="42"/>
      <c r="G7" s="41"/>
      <c r="H7" s="42"/>
      <c r="I7" s="42"/>
      <c r="J7" s="83"/>
    </row>
    <row r="8" spans="2:10" x14ac:dyDescent="0.25">
      <c r="B8" s="43" t="s">
        <v>12</v>
      </c>
      <c r="C8" s="44" t="s">
        <v>13</v>
      </c>
      <c r="D8" s="45"/>
      <c r="E8" s="45"/>
      <c r="F8" s="45"/>
      <c r="G8" s="59"/>
      <c r="H8" s="45"/>
      <c r="I8" s="45"/>
      <c r="J8" s="84"/>
    </row>
    <row r="9" spans="2:10" x14ac:dyDescent="0.25">
      <c r="B9" s="46"/>
      <c r="C9" s="47" t="s">
        <v>36</v>
      </c>
      <c r="D9" s="248">
        <v>5651000</v>
      </c>
      <c r="E9" s="247">
        <v>4123043</v>
      </c>
      <c r="F9" s="61">
        <v>0</v>
      </c>
      <c r="G9" s="61">
        <f>E9+F9</f>
        <v>4123043</v>
      </c>
      <c r="H9" s="85">
        <f t="shared" ref="H9:H28" si="0">G9-D9</f>
        <v>-1527957</v>
      </c>
      <c r="I9" s="86">
        <f t="shared" ref="I9:I22" si="1">G9/D9%</f>
        <v>72.96129888515307</v>
      </c>
      <c r="J9" s="87"/>
    </row>
    <row r="10" spans="2:10" x14ac:dyDescent="0.25">
      <c r="B10" s="46"/>
      <c r="C10" s="47" t="s">
        <v>37</v>
      </c>
      <c r="D10" s="248">
        <v>6521000</v>
      </c>
      <c r="E10" s="247">
        <v>6088000</v>
      </c>
      <c r="F10" s="61">
        <f>200000</f>
        <v>200000</v>
      </c>
      <c r="G10" s="61">
        <f t="shared" ref="G10:G19" si="2">E10+F10</f>
        <v>6288000</v>
      </c>
      <c r="H10" s="85">
        <f t="shared" si="0"/>
        <v>-233000</v>
      </c>
      <c r="I10" s="86">
        <f t="shared" si="1"/>
        <v>96.426928385216996</v>
      </c>
      <c r="J10" s="87"/>
    </row>
    <row r="11" spans="2:10" x14ac:dyDescent="0.25">
      <c r="B11" s="46"/>
      <c r="C11" s="47" t="s">
        <v>52</v>
      </c>
      <c r="D11" s="248">
        <v>111000</v>
      </c>
      <c r="E11" s="247">
        <v>325000</v>
      </c>
      <c r="F11" s="61">
        <v>0</v>
      </c>
      <c r="G11" s="61">
        <f t="shared" si="2"/>
        <v>325000</v>
      </c>
      <c r="H11" s="85"/>
      <c r="I11" s="86"/>
      <c r="J11" s="87"/>
    </row>
    <row r="12" spans="2:10" x14ac:dyDescent="0.25">
      <c r="B12" s="46"/>
      <c r="C12" s="47" t="s">
        <v>53</v>
      </c>
      <c r="D12" s="248">
        <v>10786000</v>
      </c>
      <c r="E12" s="247">
        <v>11335000</v>
      </c>
      <c r="F12" s="61">
        <f>40000+100000+200000+105000</f>
        <v>445000</v>
      </c>
      <c r="G12" s="61">
        <f>E12+F12</f>
        <v>11780000</v>
      </c>
      <c r="H12" s="85">
        <f t="shared" si="0"/>
        <v>994000</v>
      </c>
      <c r="I12" s="86">
        <f t="shared" si="1"/>
        <v>109.2156499165585</v>
      </c>
      <c r="J12" s="87"/>
    </row>
    <row r="13" spans="2:10" x14ac:dyDescent="0.25">
      <c r="B13" s="46"/>
      <c r="C13" s="47" t="s">
        <v>54</v>
      </c>
      <c r="D13" s="248">
        <v>4628000</v>
      </c>
      <c r="E13" s="247">
        <v>6981000</v>
      </c>
      <c r="F13" s="61">
        <v>0</v>
      </c>
      <c r="G13" s="61">
        <f t="shared" si="2"/>
        <v>6981000</v>
      </c>
      <c r="H13" s="85">
        <f t="shared" si="0"/>
        <v>2353000</v>
      </c>
      <c r="I13" s="86">
        <f t="shared" si="1"/>
        <v>150.84269662921349</v>
      </c>
      <c r="J13" s="88"/>
    </row>
    <row r="14" spans="2:10" x14ac:dyDescent="0.25">
      <c r="B14" s="46"/>
      <c r="C14" s="47" t="s">
        <v>55</v>
      </c>
      <c r="D14" s="248">
        <v>4319000</v>
      </c>
      <c r="E14" s="247">
        <v>1350000</v>
      </c>
      <c r="F14" s="61">
        <f>230000</f>
        <v>230000</v>
      </c>
      <c r="G14" s="61">
        <f>E14+F14</f>
        <v>1580000</v>
      </c>
      <c r="H14" s="85">
        <f t="shared" si="0"/>
        <v>-2739000</v>
      </c>
      <c r="I14" s="86">
        <f t="shared" si="1"/>
        <v>36.582542255151658</v>
      </c>
      <c r="J14" s="88"/>
    </row>
    <row r="15" spans="2:10" x14ac:dyDescent="0.25">
      <c r="B15" s="46"/>
      <c r="C15" s="47" t="s">
        <v>56</v>
      </c>
      <c r="D15" s="248">
        <v>3658000</v>
      </c>
      <c r="E15" s="247">
        <v>3235000</v>
      </c>
      <c r="F15" s="61">
        <f>50000</f>
        <v>50000</v>
      </c>
      <c r="G15" s="61">
        <f t="shared" si="2"/>
        <v>3285000</v>
      </c>
      <c r="H15" s="85">
        <f t="shared" si="0"/>
        <v>-373000</v>
      </c>
      <c r="I15" s="86">
        <f t="shared" si="1"/>
        <v>89.803171131765993</v>
      </c>
      <c r="J15" s="87"/>
    </row>
    <row r="16" spans="2:10" x14ac:dyDescent="0.25">
      <c r="B16" s="46"/>
      <c r="C16" s="47" t="s">
        <v>57</v>
      </c>
      <c r="D16" s="248">
        <v>31037000</v>
      </c>
      <c r="E16" s="247">
        <v>14092106</v>
      </c>
      <c r="F16" s="61">
        <f>100000+150000+50000+170000</f>
        <v>470000</v>
      </c>
      <c r="G16" s="168">
        <f>E16+F16</f>
        <v>14562106</v>
      </c>
      <c r="H16" s="85">
        <f t="shared" si="0"/>
        <v>-16474894</v>
      </c>
      <c r="I16" s="86">
        <f t="shared" si="1"/>
        <v>46.918535940973676</v>
      </c>
      <c r="J16" s="87"/>
    </row>
    <row r="17" spans="2:10" x14ac:dyDescent="0.25">
      <c r="B17" s="46"/>
      <c r="C17" s="47" t="s">
        <v>58</v>
      </c>
      <c r="D17" s="248">
        <v>966000</v>
      </c>
      <c r="E17" s="247">
        <v>770602</v>
      </c>
      <c r="F17" s="61">
        <v>0</v>
      </c>
      <c r="G17" s="61">
        <f>E17+F17</f>
        <v>770602</v>
      </c>
      <c r="H17" s="85">
        <f t="shared" si="0"/>
        <v>-195398</v>
      </c>
      <c r="I17" s="86">
        <f t="shared" si="1"/>
        <v>79.772463768115941</v>
      </c>
      <c r="J17" s="87"/>
    </row>
    <row r="18" spans="2:10" x14ac:dyDescent="0.25">
      <c r="B18" s="46"/>
      <c r="C18" s="47" t="s">
        <v>59</v>
      </c>
      <c r="D18" s="248">
        <v>985000</v>
      </c>
      <c r="E18" s="247">
        <v>1195000</v>
      </c>
      <c r="F18" s="61">
        <f>50000</f>
        <v>50000</v>
      </c>
      <c r="G18" s="61">
        <f t="shared" si="2"/>
        <v>1245000</v>
      </c>
      <c r="H18" s="85">
        <f t="shared" si="0"/>
        <v>260000</v>
      </c>
      <c r="I18" s="86">
        <f t="shared" si="1"/>
        <v>126.39593908629442</v>
      </c>
      <c r="J18" s="87"/>
    </row>
    <row r="19" spans="2:10" x14ac:dyDescent="0.25">
      <c r="B19" s="46"/>
      <c r="C19" s="47" t="s">
        <v>60</v>
      </c>
      <c r="D19" s="248">
        <v>16082000</v>
      </c>
      <c r="E19" s="247">
        <v>17232000</v>
      </c>
      <c r="F19" s="61">
        <f>450000+210000+70000</f>
        <v>730000</v>
      </c>
      <c r="G19" s="61">
        <f t="shared" si="2"/>
        <v>17962000</v>
      </c>
      <c r="H19" s="85">
        <f t="shared" si="0"/>
        <v>1880000</v>
      </c>
      <c r="I19" s="86">
        <f t="shared" si="1"/>
        <v>111.69008829747544</v>
      </c>
      <c r="J19" s="87"/>
    </row>
    <row r="20" spans="2:10" x14ac:dyDescent="0.25">
      <c r="B20" s="46"/>
      <c r="C20" s="47" t="s">
        <v>61</v>
      </c>
      <c r="D20" s="248">
        <f>32204000-5000000</f>
        <v>27204000</v>
      </c>
      <c r="E20" s="247">
        <v>9726191</v>
      </c>
      <c r="F20" s="61">
        <f>95000+1135000</f>
        <v>1230000</v>
      </c>
      <c r="G20" s="61">
        <f>E20+F20</f>
        <v>10956191</v>
      </c>
      <c r="H20" s="85">
        <f t="shared" si="0"/>
        <v>-16247809</v>
      </c>
      <c r="I20" s="86">
        <f t="shared" si="1"/>
        <v>40.274191295397735</v>
      </c>
      <c r="J20" s="87"/>
    </row>
    <row r="21" spans="2:10" x14ac:dyDescent="0.25">
      <c r="B21" s="46"/>
      <c r="C21" s="47" t="s">
        <v>324</v>
      </c>
      <c r="D21" s="248">
        <v>5000000</v>
      </c>
      <c r="E21" s="247">
        <v>9225000</v>
      </c>
      <c r="F21" s="61">
        <v>0</v>
      </c>
      <c r="G21" s="61">
        <f t="shared" ref="G21:G27" si="3">E21+F21</f>
        <v>9225000</v>
      </c>
      <c r="H21" s="85">
        <f>G21-D21</f>
        <v>4225000</v>
      </c>
      <c r="I21" s="86">
        <f>G21/D21%</f>
        <v>184.5</v>
      </c>
      <c r="J21" s="87"/>
    </row>
    <row r="22" spans="2:10" x14ac:dyDescent="0.25">
      <c r="B22" s="46"/>
      <c r="C22" s="47" t="s">
        <v>63</v>
      </c>
      <c r="D22" s="248">
        <v>106000</v>
      </c>
      <c r="E22" s="247">
        <v>0</v>
      </c>
      <c r="F22" s="61">
        <v>0</v>
      </c>
      <c r="G22" s="61">
        <f t="shared" si="3"/>
        <v>0</v>
      </c>
      <c r="H22" s="85">
        <f t="shared" si="0"/>
        <v>-106000</v>
      </c>
      <c r="I22" s="86">
        <f t="shared" si="1"/>
        <v>0</v>
      </c>
      <c r="J22" s="87"/>
    </row>
    <row r="23" spans="2:10" x14ac:dyDescent="0.25">
      <c r="B23" s="46"/>
      <c r="C23" s="47" t="s">
        <v>64</v>
      </c>
      <c r="D23" s="248">
        <v>2001000</v>
      </c>
      <c r="E23" s="247">
        <v>100000</v>
      </c>
      <c r="F23" s="61">
        <v>0</v>
      </c>
      <c r="G23" s="61">
        <f t="shared" si="3"/>
        <v>100000</v>
      </c>
      <c r="H23" s="85">
        <f>G23-D23</f>
        <v>-1901000</v>
      </c>
      <c r="I23" s="86">
        <f>G23/D23%</f>
        <v>4.9975012493753121</v>
      </c>
      <c r="J23" s="87"/>
    </row>
    <row r="24" spans="2:10" x14ac:dyDescent="0.25">
      <c r="B24" s="46"/>
      <c r="C24" s="47" t="s">
        <v>65</v>
      </c>
      <c r="D24" s="248">
        <v>0</v>
      </c>
      <c r="E24" s="247">
        <v>850000</v>
      </c>
      <c r="F24" s="61">
        <v>0</v>
      </c>
      <c r="G24" s="61">
        <f t="shared" si="3"/>
        <v>850000</v>
      </c>
      <c r="H24" s="85">
        <f>G24-D24</f>
        <v>850000</v>
      </c>
      <c r="I24" s="86" t="e">
        <f>G24/D24%</f>
        <v>#DIV/0!</v>
      </c>
      <c r="J24" s="87"/>
    </row>
    <row r="25" spans="2:10" x14ac:dyDescent="0.25">
      <c r="B25" s="46"/>
      <c r="C25" s="47" t="s">
        <v>66</v>
      </c>
      <c r="D25" s="248">
        <v>8470000</v>
      </c>
      <c r="E25" s="247">
        <v>20855000</v>
      </c>
      <c r="F25" s="61">
        <v>0</v>
      </c>
      <c r="G25" s="61">
        <f t="shared" si="3"/>
        <v>20855000</v>
      </c>
      <c r="H25" s="85">
        <f>G25-D25</f>
        <v>12385000</v>
      </c>
      <c r="I25" s="86">
        <f>G25/D25%</f>
        <v>246.22195985832349</v>
      </c>
      <c r="J25" s="87"/>
    </row>
    <row r="26" spans="2:10" x14ac:dyDescent="0.25">
      <c r="B26" s="46"/>
      <c r="C26" s="47" t="s">
        <v>67</v>
      </c>
      <c r="D26" s="248">
        <v>0</v>
      </c>
      <c r="E26" s="247">
        <v>800000</v>
      </c>
      <c r="F26" s="61">
        <v>0</v>
      </c>
      <c r="G26" s="61">
        <f t="shared" si="3"/>
        <v>800000</v>
      </c>
      <c r="H26" s="85">
        <f>G26-D26</f>
        <v>800000</v>
      </c>
      <c r="I26" s="86" t="e">
        <f>G26/D26%</f>
        <v>#DIV/0!</v>
      </c>
      <c r="J26" s="87"/>
    </row>
    <row r="27" spans="2:10" x14ac:dyDescent="0.25">
      <c r="B27" s="46"/>
      <c r="C27" s="47" t="s">
        <v>68</v>
      </c>
      <c r="D27" s="248">
        <v>0</v>
      </c>
      <c r="E27" s="247">
        <v>0</v>
      </c>
      <c r="F27" s="61">
        <v>0</v>
      </c>
      <c r="G27" s="61">
        <f t="shared" si="3"/>
        <v>0</v>
      </c>
      <c r="H27" s="85">
        <f>G27-D27</f>
        <v>0</v>
      </c>
      <c r="I27" s="86" t="e">
        <f>G27/D27%</f>
        <v>#DIV/0!</v>
      </c>
      <c r="J27" s="87"/>
    </row>
    <row r="28" spans="2:10" x14ac:dyDescent="0.25">
      <c r="B28" s="46"/>
      <c r="C28" s="47" t="s">
        <v>69</v>
      </c>
      <c r="D28" s="248">
        <v>10345000</v>
      </c>
      <c r="E28" s="247">
        <f>6460000-6000</f>
        <v>6454000</v>
      </c>
      <c r="F28" s="61">
        <f>1710000+220000</f>
        <v>1930000</v>
      </c>
      <c r="G28" s="61">
        <f>E28+F28</f>
        <v>8384000</v>
      </c>
      <c r="H28" s="85">
        <f t="shared" si="0"/>
        <v>-1961000</v>
      </c>
      <c r="I28" s="86"/>
      <c r="J28" s="87"/>
    </row>
    <row r="29" spans="2:10" x14ac:dyDescent="0.25">
      <c r="B29" s="46"/>
      <c r="C29" s="47"/>
      <c r="D29" s="248"/>
      <c r="E29" s="269"/>
      <c r="F29" s="61"/>
      <c r="G29" s="61"/>
      <c r="H29" s="85"/>
      <c r="I29" s="86"/>
      <c r="J29" s="87"/>
    </row>
    <row r="30" spans="2:10" x14ac:dyDescent="0.25">
      <c r="B30" s="169"/>
      <c r="C30" s="170" t="s">
        <v>14</v>
      </c>
      <c r="D30" s="135">
        <f>SUM(D9:D28)</f>
        <v>137870000</v>
      </c>
      <c r="E30" s="89">
        <f>SUM(E9:E28)</f>
        <v>114736942</v>
      </c>
      <c r="F30" s="89">
        <f>SUM(F9:F28)</f>
        <v>5335000</v>
      </c>
      <c r="G30" s="89">
        <f>SUM(G9:G28)</f>
        <v>120071942</v>
      </c>
      <c r="H30" s="136">
        <f>SUM(H9:H22)</f>
        <v>-28185058</v>
      </c>
      <c r="I30" s="91">
        <f>G30/D30%</f>
        <v>87.090695582795391</v>
      </c>
      <c r="J30" s="171"/>
    </row>
    <row r="31" spans="2:10" x14ac:dyDescent="0.25">
      <c r="B31" s="46"/>
      <c r="C31" s="47"/>
      <c r="D31" s="47"/>
      <c r="E31" s="61"/>
      <c r="F31" s="62"/>
      <c r="G31" s="61"/>
      <c r="H31" s="85"/>
      <c r="I31" s="85"/>
      <c r="J31" s="87"/>
    </row>
    <row r="32" spans="2:10" x14ac:dyDescent="0.25">
      <c r="B32" s="46" t="s">
        <v>15</v>
      </c>
      <c r="C32" s="60" t="s">
        <v>16</v>
      </c>
      <c r="D32" s="47"/>
      <c r="E32" s="269"/>
      <c r="F32" s="62"/>
      <c r="G32" s="61"/>
      <c r="H32" s="85"/>
      <c r="I32" s="85"/>
      <c r="J32" s="87"/>
    </row>
    <row r="33" spans="2:10" x14ac:dyDescent="0.25">
      <c r="B33" s="46"/>
      <c r="C33" s="47" t="s">
        <v>38</v>
      </c>
      <c r="D33" s="248">
        <v>983000</v>
      </c>
      <c r="E33" s="247">
        <v>390000</v>
      </c>
      <c r="F33" s="61">
        <v>0</v>
      </c>
      <c r="G33" s="61">
        <f>E33+F33</f>
        <v>390000</v>
      </c>
      <c r="H33" s="85">
        <f t="shared" ref="H33:H50" si="4">G33-D33</f>
        <v>-593000</v>
      </c>
      <c r="I33" s="86">
        <f t="shared" ref="I33:I50" si="5">G33/D33%</f>
        <v>39.674465920651066</v>
      </c>
      <c r="J33" s="87"/>
    </row>
    <row r="34" spans="2:10" x14ac:dyDescent="0.25">
      <c r="B34" s="172"/>
      <c r="C34" s="173" t="s">
        <v>39</v>
      </c>
      <c r="D34" s="248">
        <v>10109000</v>
      </c>
      <c r="E34" s="249">
        <v>9732000</v>
      </c>
      <c r="F34" s="168">
        <f>50000+15000+85000+15000+115000+40000+30000+60000+40000</f>
        <v>450000</v>
      </c>
      <c r="G34" s="168">
        <f t="shared" ref="G34:G50" si="6">E34+F34</f>
        <v>10182000</v>
      </c>
      <c r="H34" s="174">
        <f t="shared" si="4"/>
        <v>73000</v>
      </c>
      <c r="I34" s="176">
        <f t="shared" si="5"/>
        <v>100.72212879612226</v>
      </c>
      <c r="J34" s="179"/>
    </row>
    <row r="35" spans="2:10" x14ac:dyDescent="0.25">
      <c r="B35" s="46"/>
      <c r="C35" s="47" t="s">
        <v>40</v>
      </c>
      <c r="D35" s="248">
        <v>7093000</v>
      </c>
      <c r="E35" s="247">
        <v>5634444</v>
      </c>
      <c r="F35" s="61">
        <f>200000+100000</f>
        <v>300000</v>
      </c>
      <c r="G35" s="61">
        <f>E35+F35</f>
        <v>5934444</v>
      </c>
      <c r="H35" s="85">
        <f t="shared" si="4"/>
        <v>-1158556</v>
      </c>
      <c r="I35" s="86">
        <f>G35/D35%</f>
        <v>83.666206118708587</v>
      </c>
      <c r="J35" s="180"/>
    </row>
    <row r="36" spans="2:10" x14ac:dyDescent="0.25">
      <c r="B36" s="46"/>
      <c r="C36" s="47" t="s">
        <v>41</v>
      </c>
      <c r="D36" s="248">
        <v>1508000</v>
      </c>
      <c r="E36" s="247">
        <v>3252000</v>
      </c>
      <c r="F36" s="61">
        <f>500000+5000</f>
        <v>505000</v>
      </c>
      <c r="G36" s="61">
        <f t="shared" si="6"/>
        <v>3757000</v>
      </c>
      <c r="H36" s="85">
        <f t="shared" si="4"/>
        <v>2249000</v>
      </c>
      <c r="I36" s="86">
        <f t="shared" si="5"/>
        <v>249.13793103448276</v>
      </c>
      <c r="J36" s="87"/>
    </row>
    <row r="37" spans="2:10" x14ac:dyDescent="0.25">
      <c r="B37" s="46"/>
      <c r="C37" s="47" t="s">
        <v>50</v>
      </c>
      <c r="D37" s="248">
        <v>0</v>
      </c>
      <c r="E37" s="247">
        <v>0</v>
      </c>
      <c r="F37" s="61">
        <v>0</v>
      </c>
      <c r="G37" s="61">
        <f t="shared" si="6"/>
        <v>0</v>
      </c>
      <c r="H37" s="85">
        <f>G37-D37</f>
        <v>0</v>
      </c>
      <c r="I37" s="86" t="e">
        <f>G37/D37%</f>
        <v>#DIV/0!</v>
      </c>
      <c r="J37" s="87"/>
    </row>
    <row r="38" spans="2:10" x14ac:dyDescent="0.25">
      <c r="B38" s="46"/>
      <c r="C38" s="47" t="s">
        <v>51</v>
      </c>
      <c r="D38" s="248">
        <v>0</v>
      </c>
      <c r="E38" s="247">
        <v>0</v>
      </c>
      <c r="F38" s="61">
        <v>0</v>
      </c>
      <c r="G38" s="61">
        <f>E38+F38</f>
        <v>0</v>
      </c>
      <c r="H38" s="85">
        <f>G38-D38</f>
        <v>0</v>
      </c>
      <c r="I38" s="86" t="e">
        <f>G38/D38%</f>
        <v>#DIV/0!</v>
      </c>
      <c r="J38" s="87"/>
    </row>
    <row r="39" spans="2:10" x14ac:dyDescent="0.25">
      <c r="B39" s="46"/>
      <c r="C39" s="47" t="s">
        <v>49</v>
      </c>
      <c r="D39" s="248">
        <v>0</v>
      </c>
      <c r="E39" s="247">
        <v>0</v>
      </c>
      <c r="F39" s="61">
        <v>0</v>
      </c>
      <c r="G39" s="61">
        <f t="shared" si="6"/>
        <v>0</v>
      </c>
      <c r="H39" s="85">
        <f>G39-D38</f>
        <v>0</v>
      </c>
      <c r="I39" s="86" t="e">
        <f>G39/D38%</f>
        <v>#DIV/0!</v>
      </c>
      <c r="J39" s="87"/>
    </row>
    <row r="40" spans="2:10" x14ac:dyDescent="0.25">
      <c r="B40" s="46"/>
      <c r="C40" s="47" t="s">
        <v>79</v>
      </c>
      <c r="D40" s="248">
        <v>2151000</v>
      </c>
      <c r="E40" s="247">
        <v>250000</v>
      </c>
      <c r="F40" s="61">
        <v>0</v>
      </c>
      <c r="G40" s="61">
        <f t="shared" si="6"/>
        <v>250000</v>
      </c>
      <c r="H40" s="85">
        <f>G40-D39</f>
        <v>250000</v>
      </c>
      <c r="I40" s="86" t="e">
        <f>G40/D39%</f>
        <v>#DIV/0!</v>
      </c>
      <c r="J40" s="87"/>
    </row>
    <row r="41" spans="2:10" x14ac:dyDescent="0.25">
      <c r="B41" s="46"/>
      <c r="C41" s="47" t="s">
        <v>71</v>
      </c>
      <c r="D41" s="248">
        <v>2429000</v>
      </c>
      <c r="E41" s="247">
        <v>1275000</v>
      </c>
      <c r="F41" s="61">
        <f>190000+250000</f>
        <v>440000</v>
      </c>
      <c r="G41" s="61">
        <f t="shared" si="6"/>
        <v>1715000</v>
      </c>
      <c r="H41" s="85">
        <f>G41-D40</f>
        <v>-436000</v>
      </c>
      <c r="I41" s="86">
        <f>G41/D40%</f>
        <v>79.730357973035794</v>
      </c>
      <c r="J41" s="87"/>
    </row>
    <row r="42" spans="2:10" x14ac:dyDescent="0.25">
      <c r="B42" s="46"/>
      <c r="C42" s="47" t="s">
        <v>72</v>
      </c>
      <c r="D42" s="248">
        <v>1329000</v>
      </c>
      <c r="E42" s="247">
        <v>6179000</v>
      </c>
      <c r="F42" s="61">
        <f>100000+25000+70000+200000+70000+80000+100000+305000</f>
        <v>950000</v>
      </c>
      <c r="G42" s="61">
        <f t="shared" si="6"/>
        <v>7129000</v>
      </c>
      <c r="H42" s="85">
        <f>G42-D41</f>
        <v>4700000</v>
      </c>
      <c r="I42" s="86">
        <f>G42/D41%</f>
        <v>293.49526554137503</v>
      </c>
      <c r="J42" s="87"/>
    </row>
    <row r="43" spans="2:10" x14ac:dyDescent="0.25">
      <c r="B43" s="46"/>
      <c r="C43" s="47" t="s">
        <v>70</v>
      </c>
      <c r="D43" s="248">
        <v>0</v>
      </c>
      <c r="E43" s="247">
        <v>0</v>
      </c>
      <c r="F43" s="61">
        <v>0</v>
      </c>
      <c r="G43" s="61">
        <f t="shared" si="6"/>
        <v>0</v>
      </c>
      <c r="H43" s="85">
        <f t="shared" si="4"/>
        <v>0</v>
      </c>
      <c r="I43" s="86" t="e">
        <f t="shared" si="5"/>
        <v>#DIV/0!</v>
      </c>
      <c r="J43" s="87"/>
    </row>
    <row r="44" spans="2:10" x14ac:dyDescent="0.25">
      <c r="B44" s="46"/>
      <c r="C44" s="47" t="s">
        <v>73</v>
      </c>
      <c r="D44" s="248">
        <v>529000</v>
      </c>
      <c r="E44" s="247">
        <v>0</v>
      </c>
      <c r="F44" s="61">
        <v>0</v>
      </c>
      <c r="G44" s="61">
        <f t="shared" si="6"/>
        <v>0</v>
      </c>
      <c r="H44" s="85">
        <f t="shared" si="4"/>
        <v>-529000</v>
      </c>
      <c r="I44" s="86">
        <f t="shared" si="5"/>
        <v>0</v>
      </c>
      <c r="J44" s="87"/>
    </row>
    <row r="45" spans="2:10" x14ac:dyDescent="0.25">
      <c r="B45" s="46"/>
      <c r="C45" s="47" t="s">
        <v>74</v>
      </c>
      <c r="D45" s="248">
        <v>0</v>
      </c>
      <c r="E45" s="247">
        <v>0</v>
      </c>
      <c r="F45" s="61">
        <v>0</v>
      </c>
      <c r="G45" s="61">
        <f t="shared" si="6"/>
        <v>0</v>
      </c>
      <c r="H45" s="85">
        <f t="shared" si="4"/>
        <v>0</v>
      </c>
      <c r="I45" s="86" t="e">
        <f t="shared" si="5"/>
        <v>#DIV/0!</v>
      </c>
      <c r="J45" s="87"/>
    </row>
    <row r="46" spans="2:10" x14ac:dyDescent="0.25">
      <c r="B46" s="46"/>
      <c r="C46" s="47" t="s">
        <v>75</v>
      </c>
      <c r="D46" s="248">
        <f>2118000+5000000</f>
        <v>7118000</v>
      </c>
      <c r="E46" s="247">
        <v>6620000</v>
      </c>
      <c r="F46" s="61">
        <v>0</v>
      </c>
      <c r="G46" s="61">
        <f t="shared" si="6"/>
        <v>6620000</v>
      </c>
      <c r="H46" s="85">
        <f t="shared" si="4"/>
        <v>-498000</v>
      </c>
      <c r="I46" s="86">
        <f t="shared" si="5"/>
        <v>93.003652711435791</v>
      </c>
      <c r="J46" s="87"/>
    </row>
    <row r="47" spans="2:10" x14ac:dyDescent="0.25">
      <c r="B47" s="46"/>
      <c r="C47" s="47" t="s">
        <v>76</v>
      </c>
      <c r="D47" s="248">
        <v>0</v>
      </c>
      <c r="E47" s="247">
        <v>0</v>
      </c>
      <c r="F47" s="61">
        <v>0</v>
      </c>
      <c r="G47" s="61">
        <f t="shared" si="6"/>
        <v>0</v>
      </c>
      <c r="H47" s="85">
        <f t="shared" si="4"/>
        <v>0</v>
      </c>
      <c r="I47" s="86" t="e">
        <f t="shared" si="5"/>
        <v>#DIV/0!</v>
      </c>
      <c r="J47" s="87"/>
    </row>
    <row r="48" spans="2:10" x14ac:dyDescent="0.25">
      <c r="B48" s="46"/>
      <c r="C48" s="47" t="s">
        <v>77</v>
      </c>
      <c r="D48" s="248">
        <v>0</v>
      </c>
      <c r="E48" s="247">
        <v>0</v>
      </c>
      <c r="F48" s="61">
        <v>0</v>
      </c>
      <c r="G48" s="61">
        <f t="shared" si="6"/>
        <v>0</v>
      </c>
      <c r="H48" s="85">
        <f t="shared" si="4"/>
        <v>0</v>
      </c>
      <c r="I48" s="86" t="e">
        <f t="shared" si="5"/>
        <v>#DIV/0!</v>
      </c>
      <c r="J48" s="87"/>
    </row>
    <row r="49" spans="2:10" x14ac:dyDescent="0.25">
      <c r="B49" s="46"/>
      <c r="C49" s="47" t="s">
        <v>325</v>
      </c>
      <c r="D49" s="248">
        <v>10954000</v>
      </c>
      <c r="E49" s="247">
        <v>4930000</v>
      </c>
      <c r="F49" s="61">
        <v>0</v>
      </c>
      <c r="G49" s="61">
        <f t="shared" si="6"/>
        <v>4930000</v>
      </c>
      <c r="H49" s="85">
        <f t="shared" si="4"/>
        <v>-6024000</v>
      </c>
      <c r="I49" s="86">
        <f t="shared" si="5"/>
        <v>45.006390359685959</v>
      </c>
      <c r="J49" s="87"/>
    </row>
    <row r="50" spans="2:10" x14ac:dyDescent="0.25">
      <c r="B50" s="46"/>
      <c r="C50" s="47" t="s">
        <v>326</v>
      </c>
      <c r="D50" s="248">
        <v>0</v>
      </c>
      <c r="E50" s="247">
        <v>0</v>
      </c>
      <c r="F50" s="61">
        <v>0</v>
      </c>
      <c r="G50" s="61">
        <f t="shared" si="6"/>
        <v>0</v>
      </c>
      <c r="H50" s="85">
        <f t="shared" si="4"/>
        <v>0</v>
      </c>
      <c r="I50" s="86" t="e">
        <f t="shared" si="5"/>
        <v>#DIV/0!</v>
      </c>
      <c r="J50" s="87"/>
    </row>
    <row r="51" spans="2:10" x14ac:dyDescent="0.25">
      <c r="B51" s="46"/>
      <c r="C51" s="47"/>
      <c r="D51" s="85"/>
      <c r="E51" s="269"/>
      <c r="F51" s="61"/>
      <c r="G51" s="61"/>
      <c r="H51" s="85"/>
      <c r="I51" s="85"/>
      <c r="J51" s="87"/>
    </row>
    <row r="52" spans="2:10" x14ac:dyDescent="0.25">
      <c r="B52" s="169"/>
      <c r="C52" s="170" t="s">
        <v>17</v>
      </c>
      <c r="D52" s="271">
        <f>SUM(D33:D50)</f>
        <v>44203000</v>
      </c>
      <c r="E52" s="89">
        <f>SUM(E33:E50)</f>
        <v>38262444</v>
      </c>
      <c r="F52" s="89">
        <f>SUM(F33:F50)</f>
        <v>2645000</v>
      </c>
      <c r="G52" s="89">
        <f>SUM(G33:G50)</f>
        <v>40907444</v>
      </c>
      <c r="H52" s="136">
        <f>SUM(H33:H50)</f>
        <v>-1966556</v>
      </c>
      <c r="I52" s="91">
        <f>G52/D52%</f>
        <v>92.544496979843004</v>
      </c>
      <c r="J52" s="171"/>
    </row>
    <row r="53" spans="2:10" x14ac:dyDescent="0.25">
      <c r="B53" s="46"/>
      <c r="C53" s="47"/>
      <c r="D53" s="47"/>
      <c r="E53" s="61"/>
      <c r="F53" s="62"/>
      <c r="G53" s="61"/>
      <c r="H53" s="85"/>
      <c r="I53" s="85"/>
      <c r="J53" s="87"/>
    </row>
    <row r="54" spans="2:10" x14ac:dyDescent="0.25">
      <c r="B54" s="46" t="s">
        <v>18</v>
      </c>
      <c r="C54" s="60" t="s">
        <v>19</v>
      </c>
      <c r="D54" s="47"/>
      <c r="E54" s="61"/>
      <c r="F54" s="62"/>
      <c r="G54" s="61"/>
      <c r="H54" s="85"/>
      <c r="I54" s="85"/>
      <c r="J54" s="87"/>
    </row>
    <row r="55" spans="2:10" x14ac:dyDescent="0.25">
      <c r="B55" s="46"/>
      <c r="C55" s="47" t="s">
        <v>42</v>
      </c>
      <c r="D55" s="250">
        <v>0</v>
      </c>
      <c r="E55" s="247">
        <v>2097500</v>
      </c>
      <c r="F55" s="61">
        <v>0</v>
      </c>
      <c r="G55" s="61">
        <f>E55+F55</f>
        <v>2097500</v>
      </c>
      <c r="H55" s="85">
        <f t="shared" ref="H55:H68" si="7">G55-D55</f>
        <v>2097500</v>
      </c>
      <c r="I55" s="86" t="e">
        <f t="shared" ref="I55:I68" si="8">G55/D55%</f>
        <v>#DIV/0!</v>
      </c>
      <c r="J55" s="87"/>
    </row>
    <row r="56" spans="2:10" x14ac:dyDescent="0.25">
      <c r="B56" s="46"/>
      <c r="C56" s="47" t="s">
        <v>43</v>
      </c>
      <c r="D56" s="250">
        <v>14583000</v>
      </c>
      <c r="E56" s="247">
        <v>11019500</v>
      </c>
      <c r="F56" s="61">
        <v>0</v>
      </c>
      <c r="G56" s="61">
        <f t="shared" ref="G56:G68" si="9">E56+F56</f>
        <v>11019500</v>
      </c>
      <c r="H56" s="85">
        <f t="shared" si="7"/>
        <v>-3563500</v>
      </c>
      <c r="I56" s="86">
        <f t="shared" si="8"/>
        <v>75.564012891723237</v>
      </c>
      <c r="J56" s="87"/>
    </row>
    <row r="57" spans="2:10" x14ac:dyDescent="0.25">
      <c r="B57" s="46"/>
      <c r="C57" s="47" t="s">
        <v>44</v>
      </c>
      <c r="D57" s="250">
        <v>734000</v>
      </c>
      <c r="E57" s="247">
        <v>1000000</v>
      </c>
      <c r="F57" s="61">
        <v>0</v>
      </c>
      <c r="G57" s="61">
        <f t="shared" si="9"/>
        <v>1000000</v>
      </c>
      <c r="H57" s="85">
        <f t="shared" si="7"/>
        <v>266000</v>
      </c>
      <c r="I57" s="86">
        <f t="shared" si="8"/>
        <v>136.23978201634878</v>
      </c>
      <c r="J57" s="87"/>
    </row>
    <row r="58" spans="2:10" x14ac:dyDescent="0.25">
      <c r="B58" s="46"/>
      <c r="C58" s="47" t="s">
        <v>45</v>
      </c>
      <c r="D58" s="250">
        <v>0</v>
      </c>
      <c r="E58" s="247">
        <v>0</v>
      </c>
      <c r="F58" s="61">
        <v>0</v>
      </c>
      <c r="G58" s="61">
        <f t="shared" si="9"/>
        <v>0</v>
      </c>
      <c r="H58" s="85">
        <f t="shared" si="7"/>
        <v>0</v>
      </c>
      <c r="I58" s="86" t="e">
        <f t="shared" si="8"/>
        <v>#DIV/0!</v>
      </c>
      <c r="J58" s="87"/>
    </row>
    <row r="59" spans="2:10" x14ac:dyDescent="0.25">
      <c r="B59" s="46"/>
      <c r="C59" s="47" t="s">
        <v>46</v>
      </c>
      <c r="D59" s="250">
        <v>0</v>
      </c>
      <c r="E59" s="247">
        <v>0</v>
      </c>
      <c r="F59" s="92">
        <v>0</v>
      </c>
      <c r="G59" s="61">
        <f t="shared" si="9"/>
        <v>0</v>
      </c>
      <c r="H59" s="85">
        <f t="shared" si="7"/>
        <v>0</v>
      </c>
      <c r="I59" s="86" t="e">
        <f t="shared" si="8"/>
        <v>#DIV/0!</v>
      </c>
      <c r="J59" s="87"/>
    </row>
    <row r="60" spans="2:10" x14ac:dyDescent="0.25">
      <c r="B60" s="46"/>
      <c r="C60" s="47" t="s">
        <v>47</v>
      </c>
      <c r="D60" s="250">
        <v>0</v>
      </c>
      <c r="E60" s="247">
        <v>0</v>
      </c>
      <c r="F60" s="61">
        <v>0</v>
      </c>
      <c r="G60" s="61">
        <f t="shared" si="9"/>
        <v>0</v>
      </c>
      <c r="H60" s="85">
        <f t="shared" si="7"/>
        <v>0</v>
      </c>
      <c r="I60" s="86" t="e">
        <f t="shared" si="8"/>
        <v>#DIV/0!</v>
      </c>
      <c r="J60" s="87"/>
    </row>
    <row r="61" spans="2:10" x14ac:dyDescent="0.25">
      <c r="B61" s="46"/>
      <c r="C61" s="47" t="s">
        <v>129</v>
      </c>
      <c r="D61" s="250">
        <v>2201000</v>
      </c>
      <c r="E61" s="247">
        <v>0</v>
      </c>
      <c r="F61" s="61">
        <v>0</v>
      </c>
      <c r="G61" s="61">
        <f t="shared" si="9"/>
        <v>0</v>
      </c>
      <c r="H61" s="85">
        <f t="shared" si="7"/>
        <v>-2201000</v>
      </c>
      <c r="I61" s="86">
        <f t="shared" si="8"/>
        <v>0</v>
      </c>
      <c r="J61" s="87"/>
    </row>
    <row r="62" spans="2:10" x14ac:dyDescent="0.25">
      <c r="B62" s="46"/>
      <c r="C62" s="47" t="s">
        <v>86</v>
      </c>
      <c r="D62" s="250">
        <v>0</v>
      </c>
      <c r="E62" s="247">
        <v>0</v>
      </c>
      <c r="F62" s="61">
        <v>0</v>
      </c>
      <c r="G62" s="61">
        <f t="shared" si="9"/>
        <v>0</v>
      </c>
      <c r="H62" s="85">
        <f t="shared" si="7"/>
        <v>0</v>
      </c>
      <c r="I62" s="86" t="e">
        <f t="shared" si="8"/>
        <v>#DIV/0!</v>
      </c>
      <c r="J62" s="87"/>
    </row>
    <row r="63" spans="2:10" x14ac:dyDescent="0.25">
      <c r="B63" s="46"/>
      <c r="C63" s="47" t="s">
        <v>87</v>
      </c>
      <c r="D63" s="250">
        <v>0</v>
      </c>
      <c r="E63" s="247">
        <v>0</v>
      </c>
      <c r="F63" s="61">
        <v>0</v>
      </c>
      <c r="G63" s="61">
        <f>E63+F63</f>
        <v>0</v>
      </c>
      <c r="H63" s="85">
        <f>G63-D63</f>
        <v>0</v>
      </c>
      <c r="I63" s="86" t="e">
        <f>G63/D63%</f>
        <v>#DIV/0!</v>
      </c>
      <c r="J63" s="87"/>
    </row>
    <row r="64" spans="2:10" x14ac:dyDescent="0.25">
      <c r="B64" s="46"/>
      <c r="C64" s="47" t="s">
        <v>81</v>
      </c>
      <c r="D64" s="250">
        <v>0</v>
      </c>
      <c r="E64" s="247">
        <v>0</v>
      </c>
      <c r="F64" s="61">
        <v>0</v>
      </c>
      <c r="G64" s="61">
        <f t="shared" si="9"/>
        <v>0</v>
      </c>
      <c r="H64" s="85">
        <f t="shared" si="7"/>
        <v>0</v>
      </c>
      <c r="I64" s="86" t="e">
        <f t="shared" si="8"/>
        <v>#DIV/0!</v>
      </c>
      <c r="J64" s="87"/>
    </row>
    <row r="65" spans="2:10" x14ac:dyDescent="0.25">
      <c r="B65" s="46"/>
      <c r="C65" s="47" t="s">
        <v>82</v>
      </c>
      <c r="D65" s="250">
        <v>0</v>
      </c>
      <c r="E65" s="247">
        <v>0</v>
      </c>
      <c r="F65" s="61">
        <v>0</v>
      </c>
      <c r="G65" s="61">
        <f t="shared" si="9"/>
        <v>0</v>
      </c>
      <c r="H65" s="85">
        <f t="shared" si="7"/>
        <v>0</v>
      </c>
      <c r="I65" s="86" t="e">
        <f t="shared" si="8"/>
        <v>#DIV/0!</v>
      </c>
      <c r="J65" s="87"/>
    </row>
    <row r="66" spans="2:10" x14ac:dyDescent="0.25">
      <c r="B66" s="46"/>
      <c r="C66" s="47" t="s">
        <v>83</v>
      </c>
      <c r="D66" s="250">
        <v>0</v>
      </c>
      <c r="E66" s="247">
        <v>0</v>
      </c>
      <c r="F66" s="61">
        <v>0</v>
      </c>
      <c r="G66" s="61">
        <f>E66+F66</f>
        <v>0</v>
      </c>
      <c r="H66" s="85">
        <f>G66-D66</f>
        <v>0</v>
      </c>
      <c r="I66" s="86" t="e">
        <f>G66/D66%</f>
        <v>#DIV/0!</v>
      </c>
      <c r="J66" s="87"/>
    </row>
    <row r="67" spans="2:10" x14ac:dyDescent="0.25">
      <c r="B67" s="46"/>
      <c r="C67" s="47" t="s">
        <v>142</v>
      </c>
      <c r="D67" s="250">
        <v>424000</v>
      </c>
      <c r="E67" s="247">
        <v>300000</v>
      </c>
      <c r="F67" s="61">
        <v>0</v>
      </c>
      <c r="G67" s="61">
        <f>E67+F67</f>
        <v>300000</v>
      </c>
      <c r="H67" s="85">
        <f>G67-D67</f>
        <v>-124000</v>
      </c>
      <c r="I67" s="86">
        <f>G67/D67%</f>
        <v>70.754716981132077</v>
      </c>
      <c r="J67" s="87"/>
    </row>
    <row r="68" spans="2:10" x14ac:dyDescent="0.25">
      <c r="B68" s="46"/>
      <c r="C68" s="47" t="s">
        <v>85</v>
      </c>
      <c r="D68" s="250">
        <v>0</v>
      </c>
      <c r="E68" s="247">
        <v>1890000</v>
      </c>
      <c r="F68" s="61">
        <v>0</v>
      </c>
      <c r="G68" s="61">
        <f t="shared" si="9"/>
        <v>1890000</v>
      </c>
      <c r="H68" s="85">
        <f t="shared" si="7"/>
        <v>1890000</v>
      </c>
      <c r="I68" s="86" t="e">
        <f t="shared" si="8"/>
        <v>#DIV/0!</v>
      </c>
      <c r="J68" s="87"/>
    </row>
    <row r="69" spans="2:10" x14ac:dyDescent="0.25">
      <c r="B69" s="46"/>
      <c r="C69" s="47"/>
      <c r="D69" s="85"/>
      <c r="E69" s="269"/>
      <c r="F69" s="61"/>
      <c r="G69" s="61"/>
      <c r="H69" s="85"/>
      <c r="I69" s="85"/>
      <c r="J69" s="87"/>
    </row>
    <row r="70" spans="2:10" x14ac:dyDescent="0.25">
      <c r="B70" s="169"/>
      <c r="C70" s="170" t="s">
        <v>20</v>
      </c>
      <c r="D70" s="136">
        <f>SUM(D55:D68)</f>
        <v>17942000</v>
      </c>
      <c r="E70" s="89">
        <f>SUM(E55:E68)</f>
        <v>16307000</v>
      </c>
      <c r="F70" s="89">
        <f>SUM(F55:F68)</f>
        <v>0</v>
      </c>
      <c r="G70" s="89">
        <f>SUM(G55:G68)</f>
        <v>16307000</v>
      </c>
      <c r="H70" s="136">
        <f>SUM(H55:H64)</f>
        <v>-3401000</v>
      </c>
      <c r="I70" s="91">
        <f>G70/D70%</f>
        <v>90.887303533608289</v>
      </c>
      <c r="J70" s="171"/>
    </row>
    <row r="71" spans="2:10" x14ac:dyDescent="0.25">
      <c r="B71" s="46"/>
      <c r="C71" s="47"/>
      <c r="D71" s="47"/>
      <c r="E71" s="61"/>
      <c r="F71" s="62"/>
      <c r="G71" s="61"/>
      <c r="H71" s="85"/>
      <c r="I71" s="85"/>
      <c r="J71" s="87"/>
    </row>
    <row r="72" spans="2:10" ht="15.75" thickBot="1" x14ac:dyDescent="0.3">
      <c r="B72" s="46"/>
      <c r="C72" s="60" t="s">
        <v>21</v>
      </c>
      <c r="D72" s="93">
        <f>D30+D52+D70</f>
        <v>200015000</v>
      </c>
      <c r="E72" s="94">
        <f>E30+E52+E70</f>
        <v>169306386</v>
      </c>
      <c r="F72" s="95">
        <f>F30+F52+F70</f>
        <v>7980000</v>
      </c>
      <c r="G72" s="94">
        <f>G30+G52+G70</f>
        <v>177286386</v>
      </c>
      <c r="H72" s="96">
        <f>H30+H52+H70</f>
        <v>-33552614</v>
      </c>
      <c r="I72" s="97">
        <f>G72/D72%</f>
        <v>88.63654525910556</v>
      </c>
      <c r="J72" s="87"/>
    </row>
    <row r="73" spans="2:10" ht="15.75" thickTop="1" x14ac:dyDescent="0.25">
      <c r="B73" s="69"/>
      <c r="C73" s="98"/>
      <c r="D73" s="99"/>
      <c r="E73" s="100"/>
      <c r="F73" s="101"/>
      <c r="G73" s="100"/>
      <c r="H73" s="102"/>
      <c r="I73" s="103"/>
      <c r="J73" s="104"/>
    </row>
    <row r="74" spans="2:10" x14ac:dyDescent="0.25">
      <c r="B74" s="69"/>
      <c r="C74" s="98" t="s">
        <v>22</v>
      </c>
      <c r="D74" s="105"/>
      <c r="E74" s="106"/>
      <c r="F74" s="107"/>
      <c r="G74" s="106"/>
      <c r="H74" s="108"/>
      <c r="I74" s="109"/>
      <c r="J74" s="104"/>
    </row>
    <row r="75" spans="2:10" x14ac:dyDescent="0.25">
      <c r="B75" s="69" t="s">
        <v>12</v>
      </c>
      <c r="C75" s="98" t="s">
        <v>23</v>
      </c>
      <c r="D75" s="105">
        <v>13500000</v>
      </c>
      <c r="E75" s="106">
        <f>E126</f>
        <v>6773000</v>
      </c>
      <c r="F75" s="107">
        <f>F126</f>
        <v>786000</v>
      </c>
      <c r="G75" s="106">
        <f>E75+F75</f>
        <v>7559000</v>
      </c>
      <c r="H75" s="108">
        <f>G75-D75</f>
        <v>-5941000</v>
      </c>
      <c r="I75" s="110">
        <f>G75/D75%</f>
        <v>55.992592592592594</v>
      </c>
      <c r="J75" s="104"/>
    </row>
    <row r="76" spans="2:10" x14ac:dyDescent="0.25">
      <c r="B76" s="69"/>
      <c r="C76" s="98"/>
      <c r="D76" s="105"/>
      <c r="E76" s="106"/>
      <c r="F76" s="107"/>
      <c r="G76" s="106"/>
      <c r="H76" s="108"/>
      <c r="I76" s="110"/>
      <c r="J76" s="104"/>
    </row>
    <row r="77" spans="2:10" x14ac:dyDescent="0.25">
      <c r="B77" s="69" t="s">
        <v>15</v>
      </c>
      <c r="C77" s="98" t="s">
        <v>16</v>
      </c>
      <c r="D77" s="105">
        <v>4500000</v>
      </c>
      <c r="E77" s="106">
        <f>E147</f>
        <v>990000</v>
      </c>
      <c r="F77" s="107">
        <f>F147</f>
        <v>100000</v>
      </c>
      <c r="G77" s="106">
        <f>E77+F77</f>
        <v>1090000</v>
      </c>
      <c r="H77" s="108">
        <f>G77-D77</f>
        <v>-3410000</v>
      </c>
      <c r="I77" s="110">
        <f>G77/D77%</f>
        <v>24.222222222222221</v>
      </c>
      <c r="J77" s="104"/>
    </row>
    <row r="78" spans="2:10" x14ac:dyDescent="0.25">
      <c r="B78" s="69"/>
      <c r="C78" s="98"/>
      <c r="D78" s="105"/>
      <c r="E78" s="106"/>
      <c r="F78" s="107"/>
      <c r="G78" s="106"/>
      <c r="H78" s="108"/>
      <c r="I78" s="110"/>
      <c r="J78" s="104"/>
    </row>
    <row r="79" spans="2:10" x14ac:dyDescent="0.25">
      <c r="B79" s="69" t="s">
        <v>18</v>
      </c>
      <c r="C79" s="98" t="s">
        <v>19</v>
      </c>
      <c r="D79" s="105">
        <v>0</v>
      </c>
      <c r="E79" s="106">
        <f>E165</f>
        <v>5000</v>
      </c>
      <c r="F79" s="107">
        <f>F165</f>
        <v>0</v>
      </c>
      <c r="G79" s="106">
        <f>E79+F79</f>
        <v>5000</v>
      </c>
      <c r="H79" s="108">
        <f>G79-D79</f>
        <v>5000</v>
      </c>
      <c r="I79" s="110" t="e">
        <f>G79/D79%</f>
        <v>#DIV/0!</v>
      </c>
      <c r="J79" s="104"/>
    </row>
    <row r="80" spans="2:10" ht="15.75" thickBot="1" x14ac:dyDescent="0.3">
      <c r="B80" s="69"/>
      <c r="C80" s="98"/>
      <c r="D80" s="111"/>
      <c r="E80" s="112"/>
      <c r="F80" s="113"/>
      <c r="G80" s="112"/>
      <c r="H80" s="96"/>
      <c r="I80" s="97"/>
      <c r="J80" s="104"/>
    </row>
    <row r="81" spans="2:10" ht="16.5" thickTop="1" thickBot="1" x14ac:dyDescent="0.3">
      <c r="B81" s="114"/>
      <c r="C81" s="115" t="s">
        <v>24</v>
      </c>
      <c r="D81" s="116">
        <f>SUM(D75:D79)</f>
        <v>18000000</v>
      </c>
      <c r="E81" s="117">
        <f>SUM(E75:E79)</f>
        <v>7768000</v>
      </c>
      <c r="F81" s="118">
        <f>SUM(F75:F79)</f>
        <v>886000</v>
      </c>
      <c r="G81" s="117">
        <f>SUM(G75:G79)</f>
        <v>8654000</v>
      </c>
      <c r="H81" s="119">
        <f>SUM(H75:H79)</f>
        <v>-9346000</v>
      </c>
      <c r="I81" s="120">
        <f>G81/D81%</f>
        <v>48.077777777777776</v>
      </c>
      <c r="J81" s="121"/>
    </row>
    <row r="82" spans="2:10" x14ac:dyDescent="0.25">
      <c r="B82" s="75"/>
      <c r="C82" s="75"/>
      <c r="D82" s="75"/>
      <c r="E82" s="75"/>
      <c r="F82" s="75"/>
      <c r="G82" s="76"/>
      <c r="H82" s="75"/>
      <c r="I82" s="75"/>
      <c r="J82" s="75"/>
    </row>
    <row r="83" spans="2:10" x14ac:dyDescent="0.25">
      <c r="B83" s="75"/>
      <c r="C83" s="75"/>
      <c r="D83" s="75"/>
      <c r="E83" s="122" t="s">
        <v>25</v>
      </c>
      <c r="F83" s="242" t="s">
        <v>26</v>
      </c>
      <c r="G83" s="124" t="e">
        <f>#REF!</f>
        <v>#REF!</v>
      </c>
      <c r="H83" s="75"/>
      <c r="I83" s="75"/>
      <c r="J83" s="75"/>
    </row>
    <row r="84" spans="2:10" x14ac:dyDescent="0.25">
      <c r="B84" s="75"/>
      <c r="C84" s="75"/>
      <c r="D84" s="75"/>
      <c r="E84" s="122" t="s">
        <v>132</v>
      </c>
      <c r="F84" s="242" t="s">
        <v>26</v>
      </c>
      <c r="G84" s="124" t="e">
        <f>#REF!</f>
        <v>#REF!</v>
      </c>
      <c r="H84" s="75"/>
      <c r="I84" s="75"/>
      <c r="J84" s="75"/>
    </row>
    <row r="85" spans="2:10" x14ac:dyDescent="0.25">
      <c r="B85" s="75"/>
      <c r="C85" s="75"/>
      <c r="D85" s="75"/>
      <c r="E85" s="122" t="s">
        <v>27</v>
      </c>
      <c r="F85" s="242" t="s">
        <v>26</v>
      </c>
      <c r="G85" s="125">
        <f>197816+227000+133000+50000+134000+21000+153000</f>
        <v>915816</v>
      </c>
      <c r="H85" s="75"/>
      <c r="I85" s="75"/>
      <c r="J85" s="75"/>
    </row>
    <row r="86" spans="2:10" ht="19.5" x14ac:dyDescent="0.55000000000000004">
      <c r="B86" s="75"/>
      <c r="C86" s="75"/>
      <c r="D86" s="75"/>
      <c r="E86" s="122" t="s">
        <v>29</v>
      </c>
      <c r="F86" s="242" t="s">
        <v>26</v>
      </c>
      <c r="G86" s="126">
        <f>230000+100000+100000</f>
        <v>430000</v>
      </c>
      <c r="H86" s="75" t="s">
        <v>28</v>
      </c>
      <c r="I86" s="75"/>
      <c r="J86" s="75"/>
    </row>
    <row r="87" spans="2:10" ht="15.75" thickBot="1" x14ac:dyDescent="0.3">
      <c r="B87" s="75"/>
      <c r="C87" s="75"/>
      <c r="D87" s="75"/>
      <c r="E87" s="122" t="s">
        <v>30</v>
      </c>
      <c r="F87" s="123"/>
      <c r="G87" s="127" t="e">
        <f>SUM(G83:G86)</f>
        <v>#REF!</v>
      </c>
      <c r="H87" s="160" t="s">
        <v>126</v>
      </c>
      <c r="I87" s="27"/>
      <c r="J87" s="75"/>
    </row>
    <row r="88" spans="2:10" ht="15.75" thickTop="1" x14ac:dyDescent="0.25">
      <c r="B88" s="75"/>
      <c r="C88" s="75"/>
      <c r="D88" s="75"/>
      <c r="E88" s="122"/>
      <c r="F88" s="123"/>
      <c r="G88" s="159" t="s">
        <v>263</v>
      </c>
      <c r="H88" s="27"/>
      <c r="I88" s="27"/>
      <c r="J88" s="75"/>
    </row>
    <row r="89" spans="2:10" ht="15.75" thickBot="1" x14ac:dyDescent="0.3">
      <c r="B89" s="161" t="s">
        <v>128</v>
      </c>
      <c r="C89" s="161" t="s">
        <v>321</v>
      </c>
      <c r="D89" s="149"/>
      <c r="E89" s="162"/>
      <c r="F89" s="243" t="s">
        <v>26</v>
      </c>
      <c r="G89" s="244">
        <f>1500000+2000000</f>
        <v>3500000</v>
      </c>
      <c r="H89" s="165" t="s">
        <v>126</v>
      </c>
      <c r="I89" s="149"/>
      <c r="J89" s="245">
        <f>SUM(G89:G90)</f>
        <v>13515000</v>
      </c>
    </row>
    <row r="90" spans="2:10" ht="16.5" thickTop="1" thickBot="1" x14ac:dyDescent="0.3">
      <c r="B90" s="161"/>
      <c r="C90" s="161" t="s">
        <v>322</v>
      </c>
      <c r="D90" s="162"/>
      <c r="E90" s="161"/>
      <c r="F90" s="243" t="s">
        <v>26</v>
      </c>
      <c r="G90" s="164">
        <f>1000000+1000000+4000000+2015000+2000000</f>
        <v>10015000</v>
      </c>
      <c r="H90" s="165" t="s">
        <v>126</v>
      </c>
      <c r="I90" s="149"/>
      <c r="J90" s="162"/>
    </row>
    <row r="91" spans="2:10" ht="15.75" thickTop="1" x14ac:dyDescent="0.25">
      <c r="B91" s="27"/>
      <c r="C91" s="27"/>
      <c r="D91" s="27"/>
      <c r="E91" s="27"/>
      <c r="F91" s="27"/>
      <c r="G91" s="27"/>
      <c r="H91" s="403" t="s">
        <v>353</v>
      </c>
      <c r="I91" s="403"/>
      <c r="J91" s="27"/>
    </row>
    <row r="92" spans="2:10" x14ac:dyDescent="0.25">
      <c r="B92" s="27"/>
      <c r="C92" s="27"/>
      <c r="D92" s="27"/>
      <c r="E92" s="27"/>
      <c r="F92" s="27"/>
      <c r="G92" s="166" t="e">
        <f>G72-G83</f>
        <v>#REF!</v>
      </c>
      <c r="H92" s="27"/>
      <c r="I92" s="27"/>
      <c r="J92" s="27"/>
    </row>
    <row r="93" spans="2:10" ht="15.75" thickBot="1" x14ac:dyDescent="0.3">
      <c r="B93" s="27"/>
      <c r="C93" s="27"/>
      <c r="D93" s="27"/>
      <c r="E93" s="27"/>
      <c r="F93" s="27"/>
      <c r="G93" s="27" t="s">
        <v>133</v>
      </c>
      <c r="H93" s="27"/>
      <c r="I93" s="27"/>
      <c r="J93" s="128" t="e">
        <f>G83+G86</f>
        <v>#REF!</v>
      </c>
    </row>
    <row r="94" spans="2:10" ht="15.75" thickTop="1" x14ac:dyDescent="0.25">
      <c r="B94" s="27"/>
      <c r="C94" s="27"/>
      <c r="D94" s="27"/>
      <c r="E94" s="27"/>
      <c r="F94" s="27"/>
      <c r="G94" s="27"/>
      <c r="H94" s="27"/>
      <c r="I94" s="27"/>
      <c r="J94" s="166"/>
    </row>
    <row r="95" spans="2:10" ht="15.75" thickBot="1" x14ac:dyDescent="0.3">
      <c r="B95" s="27"/>
      <c r="C95" s="27"/>
      <c r="D95" s="27"/>
      <c r="E95" s="27"/>
      <c r="F95" s="27"/>
      <c r="G95" s="27"/>
      <c r="H95" s="27"/>
      <c r="I95" s="27"/>
      <c r="J95" s="128" t="e">
        <f>G87+G89+G90</f>
        <v>#REF!</v>
      </c>
    </row>
    <row r="96" spans="2:10" ht="15.75" thickTop="1" x14ac:dyDescent="0.25">
      <c r="B96" s="27"/>
      <c r="C96" s="27"/>
      <c r="D96" s="27"/>
      <c r="E96" s="27"/>
      <c r="F96" s="27"/>
      <c r="G96" s="27"/>
      <c r="H96" s="27"/>
      <c r="I96" s="27"/>
      <c r="J96" s="27"/>
    </row>
    <row r="97" spans="2:10" x14ac:dyDescent="0.25">
      <c r="B97" s="129"/>
      <c r="C97" s="129"/>
      <c r="D97" s="129"/>
      <c r="E97" s="129"/>
      <c r="F97" s="129"/>
      <c r="G97" s="129"/>
      <c r="H97" s="129"/>
      <c r="I97" s="129"/>
      <c r="J97" s="129"/>
    </row>
    <row r="98" spans="2:10" x14ac:dyDescent="0.25">
      <c r="B98" s="27"/>
      <c r="C98" s="27"/>
      <c r="D98" s="27"/>
      <c r="E98" s="27"/>
      <c r="F98" s="27"/>
      <c r="G98" s="27"/>
      <c r="H98" s="27"/>
      <c r="I98" s="27"/>
      <c r="J98" s="75"/>
    </row>
    <row r="99" spans="2:10" x14ac:dyDescent="0.25">
      <c r="B99" s="406" t="s">
        <v>347</v>
      </c>
      <c r="C99" s="406"/>
      <c r="D99" s="406"/>
      <c r="E99" s="406"/>
      <c r="F99" s="406"/>
      <c r="G99" s="406"/>
      <c r="H99" s="406"/>
      <c r="I99" s="406"/>
      <c r="J99" s="75"/>
    </row>
    <row r="100" spans="2:10" ht="15.75" thickBot="1" x14ac:dyDescent="0.3">
      <c r="B100" s="406" t="s">
        <v>359</v>
      </c>
      <c r="C100" s="406"/>
      <c r="D100" s="406"/>
      <c r="E100" s="406"/>
      <c r="F100" s="406"/>
      <c r="G100" s="406"/>
      <c r="H100" s="406"/>
      <c r="I100" s="406"/>
      <c r="J100" s="78"/>
    </row>
    <row r="101" spans="2:10" x14ac:dyDescent="0.25">
      <c r="B101" s="407" t="s">
        <v>2</v>
      </c>
      <c r="C101" s="409" t="s">
        <v>3</v>
      </c>
      <c r="D101" s="411" t="s">
        <v>4</v>
      </c>
      <c r="E101" s="413" t="s">
        <v>5</v>
      </c>
      <c r="F101" s="414"/>
      <c r="G101" s="415"/>
      <c r="H101" s="413" t="s">
        <v>6</v>
      </c>
      <c r="I101" s="415"/>
      <c r="J101" s="416" t="s">
        <v>0</v>
      </c>
    </row>
    <row r="102" spans="2:10" ht="15.75" thickBot="1" x14ac:dyDescent="0.3">
      <c r="B102" s="408"/>
      <c r="C102" s="410"/>
      <c r="D102" s="412"/>
      <c r="E102" s="145" t="str">
        <f>E6</f>
        <v>PENJ. S/D TGL. 28</v>
      </c>
      <c r="F102" s="146" t="str">
        <f>F6</f>
        <v>PENJ. TGL. 29 &amp; 30</v>
      </c>
      <c r="G102" s="130" t="s">
        <v>7</v>
      </c>
      <c r="H102" s="131" t="s">
        <v>8</v>
      </c>
      <c r="I102" s="130" t="s">
        <v>9</v>
      </c>
      <c r="J102" s="417"/>
    </row>
    <row r="103" spans="2:10" ht="15.75" thickTop="1" x14ac:dyDescent="0.25">
      <c r="B103" s="132"/>
      <c r="C103" s="133" t="s">
        <v>11</v>
      </c>
      <c r="D103" s="82"/>
      <c r="E103" s="42"/>
      <c r="F103" s="42"/>
      <c r="G103" s="41"/>
      <c r="H103" s="42"/>
      <c r="I103" s="42"/>
      <c r="J103" s="83"/>
    </row>
    <row r="104" spans="2:10" x14ac:dyDescent="0.25">
      <c r="B104" s="43" t="s">
        <v>12</v>
      </c>
      <c r="C104" s="44" t="s">
        <v>13</v>
      </c>
      <c r="D104" s="134">
        <v>13500000</v>
      </c>
      <c r="E104" s="45"/>
      <c r="F104" s="45"/>
      <c r="G104" s="59"/>
      <c r="H104" s="45"/>
      <c r="I104" s="45"/>
      <c r="J104" s="84"/>
    </row>
    <row r="105" spans="2:10" x14ac:dyDescent="0.25">
      <c r="B105" s="46"/>
      <c r="C105" s="47" t="s">
        <v>36</v>
      </c>
      <c r="D105" s="85">
        <v>0</v>
      </c>
      <c r="E105" s="48">
        <v>3668000</v>
      </c>
      <c r="F105" s="61">
        <f>70000+70000+80000+166000</f>
        <v>386000</v>
      </c>
      <c r="G105" s="61">
        <f>E105+F105</f>
        <v>4054000</v>
      </c>
      <c r="H105" s="85">
        <f>G105-D105</f>
        <v>4054000</v>
      </c>
      <c r="I105" s="86" t="e">
        <f>G105/D105%</f>
        <v>#DIV/0!</v>
      </c>
      <c r="J105" s="87"/>
    </row>
    <row r="106" spans="2:10" x14ac:dyDescent="0.25">
      <c r="B106" s="46"/>
      <c r="C106" s="47" t="s">
        <v>37</v>
      </c>
      <c r="D106" s="85">
        <v>0</v>
      </c>
      <c r="E106" s="48">
        <v>365000</v>
      </c>
      <c r="F106" s="61">
        <v>0</v>
      </c>
      <c r="G106" s="61">
        <f t="shared" ref="G106:G124" si="10">E106+F106</f>
        <v>365000</v>
      </c>
      <c r="H106" s="85">
        <f>G106-D106</f>
        <v>365000</v>
      </c>
      <c r="I106" s="86" t="e">
        <f>G106/D106%</f>
        <v>#DIV/0!</v>
      </c>
      <c r="J106" s="87"/>
    </row>
    <row r="107" spans="2:10" x14ac:dyDescent="0.25">
      <c r="B107" s="46"/>
      <c r="C107" s="47" t="s">
        <v>52</v>
      </c>
      <c r="D107" s="85">
        <v>0</v>
      </c>
      <c r="E107" s="48">
        <v>0</v>
      </c>
      <c r="F107" s="61">
        <v>0</v>
      </c>
      <c r="G107" s="61">
        <f t="shared" si="10"/>
        <v>0</v>
      </c>
      <c r="H107" s="85"/>
      <c r="I107" s="86"/>
      <c r="J107" s="87"/>
    </row>
    <row r="108" spans="2:10" x14ac:dyDescent="0.25">
      <c r="B108" s="46"/>
      <c r="C108" s="47" t="s">
        <v>53</v>
      </c>
      <c r="D108" s="85">
        <v>0</v>
      </c>
      <c r="E108" s="48">
        <v>907000</v>
      </c>
      <c r="F108" s="61">
        <f>50000+100000+100000</f>
        <v>250000</v>
      </c>
      <c r="G108" s="61">
        <f t="shared" si="10"/>
        <v>1157000</v>
      </c>
      <c r="H108" s="85">
        <f t="shared" ref="H108:H124" si="11">G108-D108</f>
        <v>1157000</v>
      </c>
      <c r="I108" s="86" t="e">
        <f t="shared" ref="I108:I123" si="12">G108/D108%</f>
        <v>#DIV/0!</v>
      </c>
      <c r="J108" s="87"/>
    </row>
    <row r="109" spans="2:10" x14ac:dyDescent="0.25">
      <c r="B109" s="46"/>
      <c r="C109" s="47" t="s">
        <v>54</v>
      </c>
      <c r="D109" s="85"/>
      <c r="E109" s="48">
        <v>354000</v>
      </c>
      <c r="F109" s="61">
        <v>0</v>
      </c>
      <c r="G109" s="61">
        <f t="shared" si="10"/>
        <v>354000</v>
      </c>
      <c r="H109" s="85">
        <f t="shared" si="11"/>
        <v>354000</v>
      </c>
      <c r="I109" s="86" t="e">
        <f t="shared" si="12"/>
        <v>#DIV/0!</v>
      </c>
      <c r="J109" s="88"/>
    </row>
    <row r="110" spans="2:10" x14ac:dyDescent="0.25">
      <c r="B110" s="46"/>
      <c r="C110" s="47" t="s">
        <v>55</v>
      </c>
      <c r="D110" s="85">
        <v>0</v>
      </c>
      <c r="E110" s="48">
        <v>260000</v>
      </c>
      <c r="F110" s="61">
        <v>0</v>
      </c>
      <c r="G110" s="61">
        <f t="shared" si="10"/>
        <v>260000</v>
      </c>
      <c r="H110" s="85">
        <f t="shared" si="11"/>
        <v>260000</v>
      </c>
      <c r="I110" s="86" t="e">
        <f t="shared" si="12"/>
        <v>#DIV/0!</v>
      </c>
      <c r="J110" s="88"/>
    </row>
    <row r="111" spans="2:10" x14ac:dyDescent="0.25">
      <c r="B111" s="46"/>
      <c r="C111" s="47" t="s">
        <v>56</v>
      </c>
      <c r="D111" s="85">
        <v>0</v>
      </c>
      <c r="E111" s="48">
        <v>400000</v>
      </c>
      <c r="F111" s="61">
        <v>0</v>
      </c>
      <c r="G111" s="61">
        <f t="shared" si="10"/>
        <v>400000</v>
      </c>
      <c r="H111" s="85">
        <f t="shared" si="11"/>
        <v>400000</v>
      </c>
      <c r="I111" s="86" t="e">
        <f t="shared" si="12"/>
        <v>#DIV/0!</v>
      </c>
      <c r="J111" s="87"/>
    </row>
    <row r="112" spans="2:10" x14ac:dyDescent="0.25">
      <c r="B112" s="46"/>
      <c r="C112" s="47" t="s">
        <v>57</v>
      </c>
      <c r="D112" s="85">
        <v>0</v>
      </c>
      <c r="E112" s="48">
        <v>560000</v>
      </c>
      <c r="F112" s="61">
        <v>0</v>
      </c>
      <c r="G112" s="61">
        <f t="shared" si="10"/>
        <v>560000</v>
      </c>
      <c r="H112" s="85">
        <f t="shared" si="11"/>
        <v>560000</v>
      </c>
      <c r="I112" s="86" t="e">
        <f t="shared" si="12"/>
        <v>#DIV/0!</v>
      </c>
      <c r="J112" s="87"/>
    </row>
    <row r="113" spans="2:10" x14ac:dyDescent="0.25">
      <c r="B113" s="46"/>
      <c r="C113" s="47" t="s">
        <v>58</v>
      </c>
      <c r="D113" s="85">
        <v>0</v>
      </c>
      <c r="E113" s="48">
        <v>222000</v>
      </c>
      <c r="F113" s="61">
        <v>100000</v>
      </c>
      <c r="G113" s="61">
        <f t="shared" si="10"/>
        <v>322000</v>
      </c>
      <c r="H113" s="85">
        <f t="shared" si="11"/>
        <v>322000</v>
      </c>
      <c r="I113" s="86" t="e">
        <f t="shared" si="12"/>
        <v>#DIV/0!</v>
      </c>
      <c r="J113" s="87"/>
    </row>
    <row r="114" spans="2:10" x14ac:dyDescent="0.25">
      <c r="B114" s="46"/>
      <c r="C114" s="47" t="s">
        <v>59</v>
      </c>
      <c r="D114" s="85">
        <v>0</v>
      </c>
      <c r="E114" s="48">
        <v>0</v>
      </c>
      <c r="F114" s="61">
        <v>50000</v>
      </c>
      <c r="G114" s="61">
        <f t="shared" si="10"/>
        <v>50000</v>
      </c>
      <c r="H114" s="85">
        <f t="shared" si="11"/>
        <v>50000</v>
      </c>
      <c r="I114" s="86" t="e">
        <f t="shared" si="12"/>
        <v>#DIV/0!</v>
      </c>
      <c r="J114" s="87"/>
    </row>
    <row r="115" spans="2:10" x14ac:dyDescent="0.25">
      <c r="B115" s="46"/>
      <c r="C115" s="47" t="s">
        <v>60</v>
      </c>
      <c r="D115" s="85">
        <v>0</v>
      </c>
      <c r="E115" s="48">
        <v>0</v>
      </c>
      <c r="F115" s="61">
        <v>0</v>
      </c>
      <c r="G115" s="61">
        <f t="shared" si="10"/>
        <v>0</v>
      </c>
      <c r="H115" s="85">
        <f t="shared" si="11"/>
        <v>0</v>
      </c>
      <c r="I115" s="86" t="e">
        <f t="shared" si="12"/>
        <v>#DIV/0!</v>
      </c>
      <c r="J115" s="87"/>
    </row>
    <row r="116" spans="2:10" x14ac:dyDescent="0.25">
      <c r="B116" s="46"/>
      <c r="C116" s="47" t="s">
        <v>61</v>
      </c>
      <c r="D116" s="85">
        <v>0</v>
      </c>
      <c r="E116" s="48">
        <v>0</v>
      </c>
      <c r="F116" s="61">
        <v>0</v>
      </c>
      <c r="G116" s="61">
        <f t="shared" si="10"/>
        <v>0</v>
      </c>
      <c r="H116" s="85">
        <f t="shared" si="11"/>
        <v>0</v>
      </c>
      <c r="I116" s="86" t="e">
        <f t="shared" si="12"/>
        <v>#DIV/0!</v>
      </c>
      <c r="J116" s="87"/>
    </row>
    <row r="117" spans="2:10" x14ac:dyDescent="0.25">
      <c r="B117" s="46"/>
      <c r="C117" s="47" t="s">
        <v>324</v>
      </c>
      <c r="D117" s="85">
        <v>0</v>
      </c>
      <c r="E117" s="48">
        <v>0</v>
      </c>
      <c r="F117" s="61">
        <v>0</v>
      </c>
      <c r="G117" s="61">
        <f t="shared" si="10"/>
        <v>0</v>
      </c>
      <c r="H117" s="85">
        <f t="shared" si="11"/>
        <v>0</v>
      </c>
      <c r="I117" s="86" t="e">
        <f t="shared" si="12"/>
        <v>#DIV/0!</v>
      </c>
      <c r="J117" s="87"/>
    </row>
    <row r="118" spans="2:10" x14ac:dyDescent="0.25">
      <c r="B118" s="46"/>
      <c r="C118" s="47" t="s">
        <v>63</v>
      </c>
      <c r="D118" s="85">
        <v>0</v>
      </c>
      <c r="E118" s="48">
        <v>0</v>
      </c>
      <c r="F118" s="61">
        <v>0</v>
      </c>
      <c r="G118" s="61">
        <f t="shared" si="10"/>
        <v>0</v>
      </c>
      <c r="H118" s="85">
        <f t="shared" si="11"/>
        <v>0</v>
      </c>
      <c r="I118" s="86" t="e">
        <f t="shared" si="12"/>
        <v>#DIV/0!</v>
      </c>
      <c r="J118" s="87"/>
    </row>
    <row r="119" spans="2:10" x14ac:dyDescent="0.25">
      <c r="B119" s="46"/>
      <c r="C119" s="47" t="s">
        <v>64</v>
      </c>
      <c r="D119" s="85">
        <v>0</v>
      </c>
      <c r="E119" s="48">
        <v>0</v>
      </c>
      <c r="F119" s="61">
        <v>0</v>
      </c>
      <c r="G119" s="61">
        <f t="shared" si="10"/>
        <v>0</v>
      </c>
      <c r="H119" s="85">
        <f t="shared" si="11"/>
        <v>0</v>
      </c>
      <c r="I119" s="86" t="e">
        <f t="shared" si="12"/>
        <v>#DIV/0!</v>
      </c>
      <c r="J119" s="87"/>
    </row>
    <row r="120" spans="2:10" x14ac:dyDescent="0.25">
      <c r="B120" s="46"/>
      <c r="C120" s="47" t="s">
        <v>65</v>
      </c>
      <c r="D120" s="85">
        <v>0</v>
      </c>
      <c r="E120" s="48">
        <v>37000</v>
      </c>
      <c r="F120" s="61">
        <v>0</v>
      </c>
      <c r="G120" s="61">
        <f t="shared" si="10"/>
        <v>37000</v>
      </c>
      <c r="H120" s="85">
        <f t="shared" si="11"/>
        <v>37000</v>
      </c>
      <c r="I120" s="86" t="e">
        <f t="shared" si="12"/>
        <v>#DIV/0!</v>
      </c>
      <c r="J120" s="87"/>
    </row>
    <row r="121" spans="2:10" x14ac:dyDescent="0.25">
      <c r="B121" s="46"/>
      <c r="C121" s="47" t="s">
        <v>66</v>
      </c>
      <c r="D121" s="85">
        <v>0</v>
      </c>
      <c r="E121" s="48">
        <v>0</v>
      </c>
      <c r="F121" s="61">
        <v>0</v>
      </c>
      <c r="G121" s="61">
        <f t="shared" si="10"/>
        <v>0</v>
      </c>
      <c r="H121" s="85">
        <f t="shared" si="11"/>
        <v>0</v>
      </c>
      <c r="I121" s="86" t="e">
        <f t="shared" si="12"/>
        <v>#DIV/0!</v>
      </c>
      <c r="J121" s="87"/>
    </row>
    <row r="122" spans="2:10" x14ac:dyDescent="0.25">
      <c r="B122" s="46"/>
      <c r="C122" s="47" t="s">
        <v>67</v>
      </c>
      <c r="D122" s="85">
        <v>0</v>
      </c>
      <c r="E122" s="48">
        <v>0</v>
      </c>
      <c r="F122" s="61">
        <v>0</v>
      </c>
      <c r="G122" s="61">
        <f t="shared" si="10"/>
        <v>0</v>
      </c>
      <c r="H122" s="85">
        <f t="shared" si="11"/>
        <v>0</v>
      </c>
      <c r="I122" s="86" t="e">
        <f t="shared" si="12"/>
        <v>#DIV/0!</v>
      </c>
      <c r="J122" s="87"/>
    </row>
    <row r="123" spans="2:10" x14ac:dyDescent="0.25">
      <c r="B123" s="46"/>
      <c r="C123" s="47" t="s">
        <v>68</v>
      </c>
      <c r="D123" s="85">
        <v>0</v>
      </c>
      <c r="E123" s="48">
        <v>0</v>
      </c>
      <c r="F123" s="61">
        <v>0</v>
      </c>
      <c r="G123" s="61">
        <f t="shared" si="10"/>
        <v>0</v>
      </c>
      <c r="H123" s="85">
        <f t="shared" si="11"/>
        <v>0</v>
      </c>
      <c r="I123" s="86" t="e">
        <f t="shared" si="12"/>
        <v>#DIV/0!</v>
      </c>
      <c r="J123" s="87"/>
    </row>
    <row r="124" spans="2:10" x14ac:dyDescent="0.25">
      <c r="B124" s="46"/>
      <c r="C124" s="47" t="s">
        <v>69</v>
      </c>
      <c r="D124" s="85">
        <v>0</v>
      </c>
      <c r="E124" s="48">
        <v>0</v>
      </c>
      <c r="F124" s="61">
        <v>0</v>
      </c>
      <c r="G124" s="61">
        <f t="shared" si="10"/>
        <v>0</v>
      </c>
      <c r="H124" s="85">
        <f t="shared" si="11"/>
        <v>0</v>
      </c>
      <c r="I124" s="86"/>
      <c r="J124" s="87"/>
    </row>
    <row r="125" spans="2:10" x14ac:dyDescent="0.25">
      <c r="B125" s="46"/>
      <c r="C125" s="47"/>
      <c r="D125" s="47"/>
      <c r="E125" s="61"/>
      <c r="F125" s="61"/>
      <c r="G125" s="61"/>
      <c r="H125" s="85"/>
      <c r="I125" s="86"/>
      <c r="J125" s="87"/>
    </row>
    <row r="126" spans="2:10" x14ac:dyDescent="0.25">
      <c r="B126" s="46"/>
      <c r="C126" s="60" t="s">
        <v>14</v>
      </c>
      <c r="D126" s="135">
        <f>D104</f>
        <v>13500000</v>
      </c>
      <c r="E126" s="89">
        <f>SUM(E105:E124)</f>
        <v>6773000</v>
      </c>
      <c r="F126" s="89">
        <f>SUM(F105:F124)</f>
        <v>786000</v>
      </c>
      <c r="G126" s="89">
        <f>SUM(G105:G124)</f>
        <v>7559000</v>
      </c>
      <c r="H126" s="90">
        <f>SUM(H105:H118)</f>
        <v>7522000</v>
      </c>
      <c r="I126" s="91">
        <f>G126/D126%</f>
        <v>55.992592592592594</v>
      </c>
      <c r="J126" s="87"/>
    </row>
    <row r="127" spans="2:10" x14ac:dyDescent="0.25">
      <c r="B127" s="46"/>
      <c r="C127" s="47"/>
      <c r="D127" s="47"/>
      <c r="E127" s="61"/>
      <c r="F127" s="62"/>
      <c r="G127" s="61"/>
      <c r="H127" s="85"/>
      <c r="I127" s="85"/>
      <c r="J127" s="87"/>
    </row>
    <row r="128" spans="2:10" x14ac:dyDescent="0.25">
      <c r="B128" s="46" t="s">
        <v>15</v>
      </c>
      <c r="C128" s="60" t="s">
        <v>16</v>
      </c>
      <c r="D128" s="134">
        <v>4500000</v>
      </c>
      <c r="E128" s="61"/>
      <c r="F128" s="62"/>
      <c r="G128" s="61"/>
      <c r="H128" s="85"/>
      <c r="I128" s="85"/>
      <c r="J128" s="87"/>
    </row>
    <row r="129" spans="2:10" x14ac:dyDescent="0.25">
      <c r="B129" s="46"/>
      <c r="C129" s="47" t="s">
        <v>38</v>
      </c>
      <c r="D129" s="85">
        <v>0</v>
      </c>
      <c r="E129" s="48">
        <v>0</v>
      </c>
      <c r="F129" s="61">
        <v>0</v>
      </c>
      <c r="G129" s="61">
        <f t="shared" ref="G129:G145" si="13">E129+F129</f>
        <v>0</v>
      </c>
      <c r="H129" s="85">
        <f t="shared" ref="H129:H145" si="14">G129-D129</f>
        <v>0</v>
      </c>
      <c r="I129" s="86" t="e">
        <f t="shared" ref="I129:I145" si="15">G129/D129%</f>
        <v>#DIV/0!</v>
      </c>
      <c r="J129" s="87"/>
    </row>
    <row r="130" spans="2:10" x14ac:dyDescent="0.25">
      <c r="B130" s="46"/>
      <c r="C130" s="47" t="s">
        <v>39</v>
      </c>
      <c r="D130" s="85">
        <v>0</v>
      </c>
      <c r="E130" s="48">
        <v>254000</v>
      </c>
      <c r="F130" s="61">
        <v>0</v>
      </c>
      <c r="G130" s="61">
        <f t="shared" si="13"/>
        <v>254000</v>
      </c>
      <c r="H130" s="85">
        <f t="shared" si="14"/>
        <v>254000</v>
      </c>
      <c r="I130" s="86" t="e">
        <f t="shared" si="15"/>
        <v>#DIV/0!</v>
      </c>
      <c r="J130" s="87"/>
    </row>
    <row r="131" spans="2:10" x14ac:dyDescent="0.25">
      <c r="B131" s="46"/>
      <c r="C131" s="47" t="s">
        <v>40</v>
      </c>
      <c r="D131" s="85">
        <v>0</v>
      </c>
      <c r="E131" s="48">
        <v>101000</v>
      </c>
      <c r="F131" s="61">
        <v>0</v>
      </c>
      <c r="G131" s="61">
        <f t="shared" si="13"/>
        <v>101000</v>
      </c>
      <c r="H131" s="85">
        <f t="shared" si="14"/>
        <v>101000</v>
      </c>
      <c r="I131" s="86" t="e">
        <f t="shared" si="15"/>
        <v>#DIV/0!</v>
      </c>
      <c r="J131" s="87"/>
    </row>
    <row r="132" spans="2:10" x14ac:dyDescent="0.25">
      <c r="B132" s="46"/>
      <c r="C132" s="47" t="s">
        <v>41</v>
      </c>
      <c r="D132" s="85">
        <v>0</v>
      </c>
      <c r="E132" s="48">
        <v>0</v>
      </c>
      <c r="F132" s="61">
        <v>0</v>
      </c>
      <c r="G132" s="61">
        <f t="shared" si="13"/>
        <v>0</v>
      </c>
      <c r="H132" s="85">
        <f t="shared" si="14"/>
        <v>0</v>
      </c>
      <c r="I132" s="86" t="e">
        <f t="shared" si="15"/>
        <v>#DIV/0!</v>
      </c>
      <c r="J132" s="87"/>
    </row>
    <row r="133" spans="2:10" x14ac:dyDescent="0.25">
      <c r="B133" s="46"/>
      <c r="C133" s="47" t="s">
        <v>50</v>
      </c>
      <c r="D133" s="85">
        <v>0</v>
      </c>
      <c r="E133" s="48">
        <v>0</v>
      </c>
      <c r="F133" s="61">
        <v>0</v>
      </c>
      <c r="G133" s="61">
        <f t="shared" si="13"/>
        <v>0</v>
      </c>
      <c r="H133" s="85">
        <f t="shared" si="14"/>
        <v>0</v>
      </c>
      <c r="I133" s="86" t="e">
        <f t="shared" si="15"/>
        <v>#DIV/0!</v>
      </c>
      <c r="J133" s="87"/>
    </row>
    <row r="134" spans="2:10" x14ac:dyDescent="0.25">
      <c r="B134" s="46"/>
      <c r="C134" s="47" t="s">
        <v>51</v>
      </c>
      <c r="D134" s="85">
        <v>0</v>
      </c>
      <c r="E134" s="48">
        <v>0</v>
      </c>
      <c r="F134" s="61">
        <v>0</v>
      </c>
      <c r="G134" s="61">
        <f t="shared" si="13"/>
        <v>0</v>
      </c>
      <c r="H134" s="85">
        <f t="shared" si="14"/>
        <v>0</v>
      </c>
      <c r="I134" s="86" t="e">
        <f t="shared" si="15"/>
        <v>#DIV/0!</v>
      </c>
      <c r="J134" s="87"/>
    </row>
    <row r="135" spans="2:10" x14ac:dyDescent="0.25">
      <c r="B135" s="46"/>
      <c r="C135" s="47" t="s">
        <v>49</v>
      </c>
      <c r="D135" s="85">
        <v>0</v>
      </c>
      <c r="E135" s="48">
        <v>0</v>
      </c>
      <c r="F135" s="61">
        <v>0</v>
      </c>
      <c r="G135" s="61">
        <f t="shared" si="13"/>
        <v>0</v>
      </c>
      <c r="H135" s="85">
        <f t="shared" si="14"/>
        <v>0</v>
      </c>
      <c r="I135" s="86" t="e">
        <f t="shared" si="15"/>
        <v>#DIV/0!</v>
      </c>
      <c r="J135" s="87"/>
    </row>
    <row r="136" spans="2:10" x14ac:dyDescent="0.25">
      <c r="B136" s="46"/>
      <c r="C136" s="47" t="s">
        <v>79</v>
      </c>
      <c r="D136" s="85">
        <v>0</v>
      </c>
      <c r="E136" s="48">
        <v>50000</v>
      </c>
      <c r="F136" s="61">
        <v>0</v>
      </c>
      <c r="G136" s="61">
        <f t="shared" si="13"/>
        <v>50000</v>
      </c>
      <c r="H136" s="85">
        <f t="shared" si="14"/>
        <v>50000</v>
      </c>
      <c r="I136" s="86" t="e">
        <f t="shared" si="15"/>
        <v>#DIV/0!</v>
      </c>
      <c r="J136" s="87"/>
    </row>
    <row r="137" spans="2:10" x14ac:dyDescent="0.25">
      <c r="B137" s="46"/>
      <c r="C137" s="47" t="s">
        <v>71</v>
      </c>
      <c r="D137" s="85">
        <v>0</v>
      </c>
      <c r="E137" s="48">
        <v>578000</v>
      </c>
      <c r="F137" s="61">
        <v>100000</v>
      </c>
      <c r="G137" s="61">
        <f t="shared" si="13"/>
        <v>678000</v>
      </c>
      <c r="H137" s="85">
        <f t="shared" si="14"/>
        <v>678000</v>
      </c>
      <c r="I137" s="86" t="e">
        <f t="shared" si="15"/>
        <v>#DIV/0!</v>
      </c>
      <c r="J137" s="87"/>
    </row>
    <row r="138" spans="2:10" x14ac:dyDescent="0.25">
      <c r="B138" s="46"/>
      <c r="C138" s="47" t="s">
        <v>72</v>
      </c>
      <c r="D138" s="85">
        <v>0</v>
      </c>
      <c r="E138" s="48">
        <v>0</v>
      </c>
      <c r="F138" s="61">
        <v>0</v>
      </c>
      <c r="G138" s="61">
        <f t="shared" si="13"/>
        <v>0</v>
      </c>
      <c r="H138" s="85">
        <f t="shared" si="14"/>
        <v>0</v>
      </c>
      <c r="I138" s="86" t="e">
        <f t="shared" si="15"/>
        <v>#DIV/0!</v>
      </c>
      <c r="J138" s="87"/>
    </row>
    <row r="139" spans="2:10" x14ac:dyDescent="0.25">
      <c r="B139" s="46"/>
      <c r="C139" s="47" t="s">
        <v>70</v>
      </c>
      <c r="D139" s="85">
        <v>0</v>
      </c>
      <c r="E139" s="48">
        <v>7000</v>
      </c>
      <c r="F139" s="61">
        <v>0</v>
      </c>
      <c r="G139" s="61">
        <f>E139+F139</f>
        <v>7000</v>
      </c>
      <c r="H139" s="85">
        <f t="shared" si="14"/>
        <v>7000</v>
      </c>
      <c r="I139" s="86" t="e">
        <f t="shared" si="15"/>
        <v>#DIV/0!</v>
      </c>
      <c r="J139" s="87"/>
    </row>
    <row r="140" spans="2:10" x14ac:dyDescent="0.25">
      <c r="B140" s="46"/>
      <c r="C140" s="47" t="s">
        <v>73</v>
      </c>
      <c r="D140" s="85">
        <v>0</v>
      </c>
      <c r="E140" s="48">
        <v>0</v>
      </c>
      <c r="F140" s="61">
        <v>0</v>
      </c>
      <c r="G140" s="61">
        <f t="shared" si="13"/>
        <v>0</v>
      </c>
      <c r="H140" s="85">
        <f t="shared" si="14"/>
        <v>0</v>
      </c>
      <c r="I140" s="86" t="e">
        <f t="shared" si="15"/>
        <v>#DIV/0!</v>
      </c>
      <c r="J140" s="87"/>
    </row>
    <row r="141" spans="2:10" x14ac:dyDescent="0.25">
      <c r="B141" s="46"/>
      <c r="C141" s="47" t="s">
        <v>74</v>
      </c>
      <c r="D141" s="85">
        <v>0</v>
      </c>
      <c r="E141" s="48">
        <v>0</v>
      </c>
      <c r="F141" s="61">
        <v>0</v>
      </c>
      <c r="G141" s="61">
        <f t="shared" si="13"/>
        <v>0</v>
      </c>
      <c r="H141" s="85">
        <f t="shared" si="14"/>
        <v>0</v>
      </c>
      <c r="I141" s="86" t="e">
        <f t="shared" si="15"/>
        <v>#DIV/0!</v>
      </c>
      <c r="J141" s="87"/>
    </row>
    <row r="142" spans="2:10" x14ac:dyDescent="0.25">
      <c r="B142" s="46"/>
      <c r="C142" s="47" t="s">
        <v>75</v>
      </c>
      <c r="D142" s="85">
        <v>0</v>
      </c>
      <c r="E142" s="48">
        <v>0</v>
      </c>
      <c r="F142" s="61">
        <v>0</v>
      </c>
      <c r="G142" s="61">
        <f t="shared" si="13"/>
        <v>0</v>
      </c>
      <c r="H142" s="85">
        <f t="shared" si="14"/>
        <v>0</v>
      </c>
      <c r="I142" s="86" t="e">
        <f t="shared" si="15"/>
        <v>#DIV/0!</v>
      </c>
      <c r="J142" s="87"/>
    </row>
    <row r="143" spans="2:10" x14ac:dyDescent="0.25">
      <c r="B143" s="46"/>
      <c r="C143" s="47" t="s">
        <v>76</v>
      </c>
      <c r="D143" s="85">
        <v>0</v>
      </c>
      <c r="E143" s="48">
        <v>0</v>
      </c>
      <c r="F143" s="61">
        <v>0</v>
      </c>
      <c r="G143" s="61">
        <f t="shared" si="13"/>
        <v>0</v>
      </c>
      <c r="H143" s="85">
        <f t="shared" si="14"/>
        <v>0</v>
      </c>
      <c r="I143" s="86" t="e">
        <f t="shared" si="15"/>
        <v>#DIV/0!</v>
      </c>
      <c r="J143" s="87"/>
    </row>
    <row r="144" spans="2:10" x14ac:dyDescent="0.25">
      <c r="B144" s="46"/>
      <c r="C144" s="47" t="s">
        <v>77</v>
      </c>
      <c r="D144" s="85">
        <v>0</v>
      </c>
      <c r="E144" s="48">
        <v>0</v>
      </c>
      <c r="F144" s="61">
        <v>0</v>
      </c>
      <c r="G144" s="61">
        <f t="shared" si="13"/>
        <v>0</v>
      </c>
      <c r="H144" s="85">
        <f t="shared" si="14"/>
        <v>0</v>
      </c>
      <c r="I144" s="86" t="e">
        <f t="shared" si="15"/>
        <v>#DIV/0!</v>
      </c>
      <c r="J144" s="87"/>
    </row>
    <row r="145" spans="2:10" x14ac:dyDescent="0.25">
      <c r="B145" s="46"/>
      <c r="C145" s="47" t="s">
        <v>323</v>
      </c>
      <c r="D145" s="85">
        <v>0</v>
      </c>
      <c r="E145" s="48">
        <v>0</v>
      </c>
      <c r="F145" s="61">
        <v>0</v>
      </c>
      <c r="G145" s="61">
        <f t="shared" si="13"/>
        <v>0</v>
      </c>
      <c r="H145" s="85">
        <f t="shared" si="14"/>
        <v>0</v>
      </c>
      <c r="I145" s="86" t="e">
        <f t="shared" si="15"/>
        <v>#DIV/0!</v>
      </c>
      <c r="J145" s="87"/>
    </row>
    <row r="146" spans="2:10" x14ac:dyDescent="0.25">
      <c r="B146" s="46"/>
      <c r="C146" s="47"/>
      <c r="D146" s="85"/>
      <c r="E146" s="61"/>
      <c r="F146" s="61"/>
      <c r="G146" s="61"/>
      <c r="H146" s="85"/>
      <c r="I146" s="85"/>
      <c r="J146" s="87"/>
    </row>
    <row r="147" spans="2:10" x14ac:dyDescent="0.25">
      <c r="B147" s="46"/>
      <c r="C147" s="60" t="s">
        <v>17</v>
      </c>
      <c r="D147" s="136">
        <f>D128</f>
        <v>4500000</v>
      </c>
      <c r="E147" s="89">
        <f>SUM(E129:E145)</f>
        <v>990000</v>
      </c>
      <c r="F147" s="89">
        <f>SUM(F129:F145)</f>
        <v>100000</v>
      </c>
      <c r="G147" s="89">
        <f>SUM(G129:G145)</f>
        <v>1090000</v>
      </c>
      <c r="H147" s="90">
        <f>SUM(H129:H145)</f>
        <v>1090000</v>
      </c>
      <c r="I147" s="91">
        <f>G147/D147%</f>
        <v>24.222222222222221</v>
      </c>
      <c r="J147" s="87"/>
    </row>
    <row r="148" spans="2:10" x14ac:dyDescent="0.25">
      <c r="B148" s="46"/>
      <c r="C148" s="47"/>
      <c r="D148" s="47"/>
      <c r="E148" s="61"/>
      <c r="F148" s="62"/>
      <c r="G148" s="61"/>
      <c r="H148" s="85"/>
      <c r="I148" s="85"/>
      <c r="J148" s="87"/>
    </row>
    <row r="149" spans="2:10" x14ac:dyDescent="0.25">
      <c r="B149" s="46" t="s">
        <v>18</v>
      </c>
      <c r="C149" s="60" t="s">
        <v>19</v>
      </c>
      <c r="D149" s="134"/>
      <c r="E149" s="61"/>
      <c r="F149" s="62"/>
      <c r="G149" s="61"/>
      <c r="H149" s="85"/>
      <c r="I149" s="85"/>
      <c r="J149" s="87"/>
    </row>
    <row r="150" spans="2:10" x14ac:dyDescent="0.25">
      <c r="B150" s="46"/>
      <c r="C150" s="47" t="s">
        <v>42</v>
      </c>
      <c r="D150" s="85">
        <v>0</v>
      </c>
      <c r="E150" s="85">
        <v>0</v>
      </c>
      <c r="F150" s="61">
        <v>0</v>
      </c>
      <c r="G150" s="61">
        <f>E150+F150</f>
        <v>0</v>
      </c>
      <c r="H150" s="85">
        <f t="shared" ref="H150:H163" si="16">G150-D150</f>
        <v>0</v>
      </c>
      <c r="I150" s="86" t="e">
        <f t="shared" ref="I150:I163" si="17">G150/D150%</f>
        <v>#DIV/0!</v>
      </c>
      <c r="J150" s="87"/>
    </row>
    <row r="151" spans="2:10" x14ac:dyDescent="0.25">
      <c r="B151" s="46"/>
      <c r="C151" s="47" t="s">
        <v>43</v>
      </c>
      <c r="D151" s="85">
        <v>0</v>
      </c>
      <c r="E151" s="85">
        <v>0</v>
      </c>
      <c r="F151" s="61">
        <v>0</v>
      </c>
      <c r="G151" s="61">
        <f t="shared" ref="G151:G163" si="18">E151+F151</f>
        <v>0</v>
      </c>
      <c r="H151" s="85">
        <f t="shared" si="16"/>
        <v>0</v>
      </c>
      <c r="I151" s="86" t="e">
        <f t="shared" si="17"/>
        <v>#DIV/0!</v>
      </c>
      <c r="J151" s="87"/>
    </row>
    <row r="152" spans="2:10" x14ac:dyDescent="0.25">
      <c r="B152" s="46"/>
      <c r="C152" s="47" t="s">
        <v>44</v>
      </c>
      <c r="D152" s="85">
        <v>0</v>
      </c>
      <c r="E152" s="85">
        <v>5000</v>
      </c>
      <c r="F152" s="61">
        <v>0</v>
      </c>
      <c r="G152" s="61">
        <f t="shared" si="18"/>
        <v>5000</v>
      </c>
      <c r="H152" s="85">
        <f t="shared" si="16"/>
        <v>5000</v>
      </c>
      <c r="I152" s="86" t="e">
        <f t="shared" si="17"/>
        <v>#DIV/0!</v>
      </c>
      <c r="J152" s="87"/>
    </row>
    <row r="153" spans="2:10" x14ac:dyDescent="0.25">
      <c r="B153" s="46"/>
      <c r="C153" s="47" t="s">
        <v>45</v>
      </c>
      <c r="D153" s="85">
        <v>0</v>
      </c>
      <c r="E153" s="85">
        <v>0</v>
      </c>
      <c r="F153" s="61">
        <v>0</v>
      </c>
      <c r="G153" s="61">
        <f t="shared" si="18"/>
        <v>0</v>
      </c>
      <c r="H153" s="85">
        <f t="shared" si="16"/>
        <v>0</v>
      </c>
      <c r="I153" s="86" t="e">
        <f t="shared" si="17"/>
        <v>#DIV/0!</v>
      </c>
      <c r="J153" s="87"/>
    </row>
    <row r="154" spans="2:10" x14ac:dyDescent="0.25">
      <c r="B154" s="46"/>
      <c r="C154" s="47" t="s">
        <v>46</v>
      </c>
      <c r="D154" s="85">
        <v>0</v>
      </c>
      <c r="E154" s="85">
        <v>0</v>
      </c>
      <c r="F154" s="92">
        <v>0</v>
      </c>
      <c r="G154" s="61">
        <f t="shared" si="18"/>
        <v>0</v>
      </c>
      <c r="H154" s="85">
        <f t="shared" si="16"/>
        <v>0</v>
      </c>
      <c r="I154" s="86" t="e">
        <f t="shared" si="17"/>
        <v>#DIV/0!</v>
      </c>
      <c r="J154" s="87"/>
    </row>
    <row r="155" spans="2:10" x14ac:dyDescent="0.25">
      <c r="B155" s="46"/>
      <c r="C155" s="47" t="s">
        <v>88</v>
      </c>
      <c r="D155" s="85">
        <v>0</v>
      </c>
      <c r="E155" s="85">
        <v>0</v>
      </c>
      <c r="F155" s="61">
        <v>0</v>
      </c>
      <c r="G155" s="61">
        <f t="shared" si="18"/>
        <v>0</v>
      </c>
      <c r="H155" s="85">
        <f t="shared" si="16"/>
        <v>0</v>
      </c>
      <c r="I155" s="86" t="e">
        <f t="shared" si="17"/>
        <v>#DIV/0!</v>
      </c>
      <c r="J155" s="87"/>
    </row>
    <row r="156" spans="2:10" x14ac:dyDescent="0.25">
      <c r="B156" s="46"/>
      <c r="C156" s="47" t="s">
        <v>80</v>
      </c>
      <c r="D156" s="85">
        <v>0</v>
      </c>
      <c r="E156" s="85">
        <v>0</v>
      </c>
      <c r="F156" s="61">
        <v>0</v>
      </c>
      <c r="G156" s="61">
        <f t="shared" si="18"/>
        <v>0</v>
      </c>
      <c r="H156" s="85">
        <f t="shared" si="16"/>
        <v>0</v>
      </c>
      <c r="I156" s="86" t="e">
        <f t="shared" si="17"/>
        <v>#DIV/0!</v>
      </c>
      <c r="J156" s="87"/>
    </row>
    <row r="157" spans="2:10" x14ac:dyDescent="0.25">
      <c r="B157" s="46"/>
      <c r="C157" s="47" t="s">
        <v>86</v>
      </c>
      <c r="D157" s="85">
        <v>0</v>
      </c>
      <c r="E157" s="85">
        <v>0</v>
      </c>
      <c r="F157" s="61">
        <v>0</v>
      </c>
      <c r="G157" s="61">
        <f t="shared" si="18"/>
        <v>0</v>
      </c>
      <c r="H157" s="85">
        <f t="shared" si="16"/>
        <v>0</v>
      </c>
      <c r="I157" s="86" t="e">
        <f t="shared" si="17"/>
        <v>#DIV/0!</v>
      </c>
      <c r="J157" s="87"/>
    </row>
    <row r="158" spans="2:10" x14ac:dyDescent="0.25">
      <c r="B158" s="46"/>
      <c r="C158" s="47" t="s">
        <v>87</v>
      </c>
      <c r="D158" s="85">
        <v>0</v>
      </c>
      <c r="E158" s="85">
        <v>0</v>
      </c>
      <c r="F158" s="61">
        <v>0</v>
      </c>
      <c r="G158" s="61">
        <f t="shared" si="18"/>
        <v>0</v>
      </c>
      <c r="H158" s="85">
        <f t="shared" si="16"/>
        <v>0</v>
      </c>
      <c r="I158" s="86" t="e">
        <f t="shared" si="17"/>
        <v>#DIV/0!</v>
      </c>
      <c r="J158" s="87"/>
    </row>
    <row r="159" spans="2:10" x14ac:dyDescent="0.25">
      <c r="B159" s="46"/>
      <c r="C159" s="47" t="s">
        <v>81</v>
      </c>
      <c r="D159" s="85">
        <v>0</v>
      </c>
      <c r="E159" s="85">
        <v>0</v>
      </c>
      <c r="F159" s="61">
        <v>0</v>
      </c>
      <c r="G159" s="61">
        <f t="shared" si="18"/>
        <v>0</v>
      </c>
      <c r="H159" s="85">
        <f t="shared" si="16"/>
        <v>0</v>
      </c>
      <c r="I159" s="86" t="e">
        <f t="shared" si="17"/>
        <v>#DIV/0!</v>
      </c>
      <c r="J159" s="87"/>
    </row>
    <row r="160" spans="2:10" x14ac:dyDescent="0.25">
      <c r="B160" s="46"/>
      <c r="C160" s="47" t="s">
        <v>82</v>
      </c>
      <c r="D160" s="85">
        <v>0</v>
      </c>
      <c r="E160" s="85">
        <v>0</v>
      </c>
      <c r="F160" s="61">
        <v>0</v>
      </c>
      <c r="G160" s="61">
        <f t="shared" si="18"/>
        <v>0</v>
      </c>
      <c r="H160" s="85">
        <f t="shared" si="16"/>
        <v>0</v>
      </c>
      <c r="I160" s="86" t="e">
        <f t="shared" si="17"/>
        <v>#DIV/0!</v>
      </c>
      <c r="J160" s="87"/>
    </row>
    <row r="161" spans="2:10" x14ac:dyDescent="0.25">
      <c r="B161" s="46"/>
      <c r="C161" s="47" t="s">
        <v>83</v>
      </c>
      <c r="D161" s="85">
        <v>0</v>
      </c>
      <c r="E161" s="85">
        <v>0</v>
      </c>
      <c r="F161" s="61">
        <v>0</v>
      </c>
      <c r="G161" s="61">
        <f t="shared" si="18"/>
        <v>0</v>
      </c>
      <c r="H161" s="85">
        <f t="shared" si="16"/>
        <v>0</v>
      </c>
      <c r="I161" s="86" t="e">
        <f t="shared" si="17"/>
        <v>#DIV/0!</v>
      </c>
      <c r="J161" s="87"/>
    </row>
    <row r="162" spans="2:10" x14ac:dyDescent="0.25">
      <c r="B162" s="46"/>
      <c r="C162" s="47" t="s">
        <v>84</v>
      </c>
      <c r="D162" s="85">
        <v>0</v>
      </c>
      <c r="E162" s="85">
        <v>0</v>
      </c>
      <c r="F162" s="61">
        <v>0</v>
      </c>
      <c r="G162" s="61">
        <f t="shared" si="18"/>
        <v>0</v>
      </c>
      <c r="H162" s="85">
        <f t="shared" si="16"/>
        <v>0</v>
      </c>
      <c r="I162" s="86" t="e">
        <f t="shared" si="17"/>
        <v>#DIV/0!</v>
      </c>
      <c r="J162" s="87"/>
    </row>
    <row r="163" spans="2:10" x14ac:dyDescent="0.25">
      <c r="B163" s="46"/>
      <c r="C163" s="47" t="s">
        <v>85</v>
      </c>
      <c r="D163" s="85">
        <v>0</v>
      </c>
      <c r="E163" s="85">
        <v>0</v>
      </c>
      <c r="F163" s="61">
        <v>0</v>
      </c>
      <c r="G163" s="61">
        <f t="shared" si="18"/>
        <v>0</v>
      </c>
      <c r="H163" s="85">
        <f t="shared" si="16"/>
        <v>0</v>
      </c>
      <c r="I163" s="86" t="e">
        <f t="shared" si="17"/>
        <v>#DIV/0!</v>
      </c>
      <c r="J163" s="87"/>
    </row>
    <row r="164" spans="2:10" x14ac:dyDescent="0.25">
      <c r="B164" s="46"/>
      <c r="C164" s="47"/>
      <c r="D164" s="85"/>
      <c r="E164" s="61"/>
      <c r="F164" s="61"/>
      <c r="G164" s="61"/>
      <c r="H164" s="85"/>
      <c r="I164" s="85"/>
      <c r="J164" s="87"/>
    </row>
    <row r="165" spans="2:10" x14ac:dyDescent="0.25">
      <c r="B165" s="46"/>
      <c r="C165" s="60" t="s">
        <v>20</v>
      </c>
      <c r="D165" s="136">
        <f>D149</f>
        <v>0</v>
      </c>
      <c r="E165" s="89">
        <f>SUM(E150:E163)</f>
        <v>5000</v>
      </c>
      <c r="F165" s="89">
        <f>SUM(F150:F163)</f>
        <v>0</v>
      </c>
      <c r="G165" s="89">
        <f>SUM(G150:G163)</f>
        <v>5000</v>
      </c>
      <c r="H165" s="90">
        <f>SUM(H150:H159)</f>
        <v>5000</v>
      </c>
      <c r="I165" s="91" t="e">
        <f>G165/D165%</f>
        <v>#DIV/0!</v>
      </c>
      <c r="J165" s="87"/>
    </row>
    <row r="166" spans="2:10" x14ac:dyDescent="0.25">
      <c r="B166" s="46"/>
      <c r="C166" s="47"/>
      <c r="D166" s="47"/>
      <c r="E166" s="61"/>
      <c r="F166" s="62"/>
      <c r="G166" s="61"/>
      <c r="H166" s="85"/>
      <c r="I166" s="85"/>
      <c r="J166" s="87"/>
    </row>
    <row r="167" spans="2:10" ht="15.75" thickBot="1" x14ac:dyDescent="0.3">
      <c r="B167" s="114"/>
      <c r="C167" s="115" t="s">
        <v>21</v>
      </c>
      <c r="D167" s="137">
        <f>D126+D147+D165</f>
        <v>18000000</v>
      </c>
      <c r="E167" s="138">
        <f>E126+E147+E165</f>
        <v>7768000</v>
      </c>
      <c r="F167" s="139">
        <f>F126+F147+F165</f>
        <v>886000</v>
      </c>
      <c r="G167" s="138">
        <f>G126+G147+G165</f>
        <v>8654000</v>
      </c>
      <c r="H167" s="140">
        <f>H126+H147+H165</f>
        <v>8617000</v>
      </c>
      <c r="I167" s="141">
        <f>G167/D167%</f>
        <v>48.077777777777776</v>
      </c>
      <c r="J167" s="142"/>
    </row>
    <row r="168" spans="2:10" x14ac:dyDescent="0.25">
      <c r="B168" s="75"/>
      <c r="C168" s="75"/>
      <c r="D168" s="75"/>
      <c r="E168" s="75"/>
      <c r="F168" s="75"/>
      <c r="G168" s="76"/>
      <c r="H168" s="75"/>
      <c r="I168" s="75"/>
      <c r="J168" s="75"/>
    </row>
    <row r="169" spans="2:10" x14ac:dyDescent="0.25">
      <c r="B169" s="75"/>
      <c r="C169" s="75"/>
      <c r="D169" s="75"/>
      <c r="E169" s="75"/>
      <c r="F169" s="75"/>
      <c r="G169" s="76"/>
      <c r="H169" s="75"/>
      <c r="I169" s="75"/>
      <c r="J169" s="75"/>
    </row>
    <row r="170" spans="2:10" x14ac:dyDescent="0.25">
      <c r="B170" s="75"/>
      <c r="C170" s="75"/>
      <c r="D170" s="75"/>
      <c r="E170" s="122" t="s">
        <v>25</v>
      </c>
      <c r="F170" s="123" t="s">
        <v>26</v>
      </c>
      <c r="G170" s="124" t="e">
        <f>#REF!</f>
        <v>#REF!</v>
      </c>
      <c r="H170" s="75"/>
      <c r="I170" s="75"/>
      <c r="J170" s="75"/>
    </row>
    <row r="171" spans="2:10" ht="19.5" x14ac:dyDescent="0.55000000000000004">
      <c r="B171" s="75"/>
      <c r="C171" s="75"/>
      <c r="D171" s="75"/>
      <c r="E171" s="122" t="s">
        <v>29</v>
      </c>
      <c r="F171" s="123" t="s">
        <v>26</v>
      </c>
      <c r="G171" s="126">
        <v>0</v>
      </c>
      <c r="H171" s="75" t="s">
        <v>28</v>
      </c>
      <c r="I171" s="75"/>
      <c r="J171" s="75"/>
    </row>
    <row r="172" spans="2:10" ht="15.75" thickBot="1" x14ac:dyDescent="0.3">
      <c r="B172" s="75"/>
      <c r="C172" s="75"/>
      <c r="D172" s="75"/>
      <c r="E172" s="122" t="s">
        <v>30</v>
      </c>
      <c r="F172" s="123"/>
      <c r="G172" s="127" t="e">
        <f>SUM(G170:G171)</f>
        <v>#REF!</v>
      </c>
      <c r="H172" s="160" t="s">
        <v>126</v>
      </c>
      <c r="I172" s="27"/>
      <c r="J172" s="75"/>
    </row>
    <row r="173" spans="2:10" ht="15.75" thickTop="1" x14ac:dyDescent="0.25">
      <c r="B173" s="27"/>
      <c r="C173" s="27"/>
      <c r="D173" s="27"/>
      <c r="E173" s="27"/>
      <c r="F173" s="27"/>
      <c r="G173" s="27"/>
      <c r="H173" s="403" t="str">
        <f>H91</f>
        <v>Jalang'E, 01 Juli 2019</v>
      </c>
      <c r="I173" s="403"/>
      <c r="J173" s="27"/>
    </row>
    <row r="175" spans="2:10" x14ac:dyDescent="0.25">
      <c r="G175" s="166" t="e">
        <f>G167-G170</f>
        <v>#REF!</v>
      </c>
    </row>
  </sheetData>
  <mergeCells count="19">
    <mergeCell ref="B2:I2"/>
    <mergeCell ref="B3:I3"/>
    <mergeCell ref="B4:I4"/>
    <mergeCell ref="B5:B6"/>
    <mergeCell ref="C5:C6"/>
    <mergeCell ref="D5:D6"/>
    <mergeCell ref="E5:G5"/>
    <mergeCell ref="H5:I5"/>
    <mergeCell ref="H173:I173"/>
    <mergeCell ref="J5:J6"/>
    <mergeCell ref="H91:I91"/>
    <mergeCell ref="B99:I99"/>
    <mergeCell ref="B100:I100"/>
    <mergeCell ref="B101:B102"/>
    <mergeCell ref="C101:C102"/>
    <mergeCell ref="D101:D102"/>
    <mergeCell ref="E101:G101"/>
    <mergeCell ref="H101:I101"/>
    <mergeCell ref="J101:J102"/>
  </mergeCells>
  <pageMargins left="0.81" right="0.15" top="0.12" bottom="0.12" header="0.12" footer="0.3"/>
  <pageSetup paperSize="9" scale="63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2:J175"/>
  <sheetViews>
    <sheetView zoomScale="90" zoomScaleNormal="90" workbookViewId="0">
      <pane ySplit="6" topLeftCell="A148" activePane="bottomLeft" state="frozen"/>
      <selection pane="bottomLeft" activeCell="H172" sqref="H172"/>
    </sheetView>
  </sheetViews>
  <sheetFormatPr defaultRowHeight="15" x14ac:dyDescent="0.25"/>
  <cols>
    <col min="1" max="1" width="5.42578125" customWidth="1"/>
    <col min="2" max="2" width="4.85546875" customWidth="1"/>
    <col min="3" max="3" width="27.28515625" customWidth="1"/>
    <col min="4" max="4" width="18.7109375" customWidth="1"/>
    <col min="5" max="5" width="19.140625" customWidth="1"/>
    <col min="6" max="6" width="18.5703125" customWidth="1"/>
    <col min="7" max="8" width="18.28515625" customWidth="1"/>
    <col min="9" max="9" width="18.5703125" customWidth="1"/>
    <col min="10" max="10" width="18.28515625" customWidth="1"/>
  </cols>
  <sheetData>
    <row r="2" spans="2:10" x14ac:dyDescent="0.25">
      <c r="B2" s="392" t="s">
        <v>354</v>
      </c>
      <c r="C2" s="392"/>
      <c r="D2" s="392"/>
      <c r="E2" s="392"/>
      <c r="F2" s="392"/>
      <c r="G2" s="392"/>
      <c r="H2" s="392"/>
      <c r="I2" s="392"/>
      <c r="J2" s="75"/>
    </row>
    <row r="3" spans="2:10" x14ac:dyDescent="0.25">
      <c r="B3" s="392" t="s">
        <v>361</v>
      </c>
      <c r="C3" s="392"/>
      <c r="D3" s="392"/>
      <c r="E3" s="392"/>
      <c r="F3" s="392"/>
      <c r="G3" s="392"/>
      <c r="H3" s="392"/>
      <c r="I3" s="392"/>
      <c r="J3" s="75"/>
    </row>
    <row r="4" spans="2:10" ht="15.75" thickBot="1" x14ac:dyDescent="0.3">
      <c r="B4" s="393" t="s">
        <v>1</v>
      </c>
      <c r="C4" s="393"/>
      <c r="D4" s="393"/>
      <c r="E4" s="393"/>
      <c r="F4" s="393"/>
      <c r="G4" s="393"/>
      <c r="H4" s="393"/>
      <c r="I4" s="393"/>
      <c r="J4" s="78"/>
    </row>
    <row r="5" spans="2:10" x14ac:dyDescent="0.25">
      <c r="B5" s="394" t="s">
        <v>2</v>
      </c>
      <c r="C5" s="396" t="s">
        <v>3</v>
      </c>
      <c r="D5" s="398" t="s">
        <v>4</v>
      </c>
      <c r="E5" s="400" t="s">
        <v>5</v>
      </c>
      <c r="F5" s="401"/>
      <c r="G5" s="402"/>
      <c r="H5" s="401" t="s">
        <v>6</v>
      </c>
      <c r="I5" s="402"/>
      <c r="J5" s="404" t="s">
        <v>0</v>
      </c>
    </row>
    <row r="6" spans="2:10" ht="15.75" thickBot="1" x14ac:dyDescent="0.3">
      <c r="B6" s="395"/>
      <c r="C6" s="397"/>
      <c r="D6" s="399"/>
      <c r="E6" s="147" t="s">
        <v>145</v>
      </c>
      <c r="F6" s="148" t="s">
        <v>146</v>
      </c>
      <c r="G6" s="79" t="s">
        <v>7</v>
      </c>
      <c r="H6" s="80" t="s">
        <v>8</v>
      </c>
      <c r="I6" s="81" t="s">
        <v>9</v>
      </c>
      <c r="J6" s="405"/>
    </row>
    <row r="7" spans="2:10" x14ac:dyDescent="0.25">
      <c r="B7" s="40"/>
      <c r="C7" s="41" t="s">
        <v>10</v>
      </c>
      <c r="D7" s="82"/>
      <c r="E7" s="42"/>
      <c r="F7" s="42"/>
      <c r="G7" s="41"/>
      <c r="H7" s="42"/>
      <c r="I7" s="42"/>
      <c r="J7" s="83"/>
    </row>
    <row r="8" spans="2:10" x14ac:dyDescent="0.25">
      <c r="B8" s="43" t="s">
        <v>12</v>
      </c>
      <c r="C8" s="44" t="s">
        <v>13</v>
      </c>
      <c r="D8" s="45"/>
      <c r="E8" s="45"/>
      <c r="F8" s="45"/>
      <c r="G8" s="59"/>
      <c r="H8" s="45"/>
      <c r="I8" s="45"/>
      <c r="J8" s="84"/>
    </row>
    <row r="9" spans="2:10" x14ac:dyDescent="0.25">
      <c r="B9" s="46"/>
      <c r="C9" s="47" t="s">
        <v>36</v>
      </c>
      <c r="D9" s="250">
        <v>5000000</v>
      </c>
      <c r="E9" s="247">
        <v>3713478</v>
      </c>
      <c r="F9" s="61">
        <f>65000+100000</f>
        <v>165000</v>
      </c>
      <c r="G9" s="61">
        <f>E9+F9</f>
        <v>3878478</v>
      </c>
      <c r="H9" s="85">
        <f t="shared" ref="H9:H28" si="0">G9-D9</f>
        <v>-1121522</v>
      </c>
      <c r="I9" s="86">
        <f t="shared" ref="I9:I22" si="1">G9/D9%</f>
        <v>77.569559999999996</v>
      </c>
      <c r="J9" s="87"/>
    </row>
    <row r="10" spans="2:10" x14ac:dyDescent="0.25">
      <c r="B10" s="46"/>
      <c r="C10" s="47" t="s">
        <v>37</v>
      </c>
      <c r="D10" s="250">
        <v>5370000</v>
      </c>
      <c r="E10" s="247">
        <v>4450500</v>
      </c>
      <c r="F10" s="61">
        <v>0</v>
      </c>
      <c r="G10" s="61">
        <f t="shared" ref="G10:G19" si="2">E10+F10</f>
        <v>4450500</v>
      </c>
      <c r="H10" s="85">
        <f t="shared" si="0"/>
        <v>-919500</v>
      </c>
      <c r="I10" s="86">
        <f t="shared" si="1"/>
        <v>82.877094972067042</v>
      </c>
      <c r="J10" s="87"/>
    </row>
    <row r="11" spans="2:10" x14ac:dyDescent="0.25">
      <c r="B11" s="46"/>
      <c r="C11" s="47" t="s">
        <v>52</v>
      </c>
      <c r="D11" s="250">
        <v>74000</v>
      </c>
      <c r="E11" s="247">
        <v>220000</v>
      </c>
      <c r="F11" s="61">
        <v>0</v>
      </c>
      <c r="G11" s="61">
        <f t="shared" si="2"/>
        <v>220000</v>
      </c>
      <c r="H11" s="85"/>
      <c r="I11" s="86"/>
      <c r="J11" s="87"/>
    </row>
    <row r="12" spans="2:10" x14ac:dyDescent="0.25">
      <c r="B12" s="46"/>
      <c r="C12" s="47" t="s">
        <v>53</v>
      </c>
      <c r="D12" s="250">
        <v>11685000</v>
      </c>
      <c r="E12" s="247">
        <v>14430932</v>
      </c>
      <c r="F12" s="61">
        <v>0</v>
      </c>
      <c r="G12" s="61">
        <f>E12+F12</f>
        <v>14430932</v>
      </c>
      <c r="H12" s="85">
        <f t="shared" si="0"/>
        <v>2745932</v>
      </c>
      <c r="I12" s="86">
        <f t="shared" si="1"/>
        <v>123.49963200684638</v>
      </c>
      <c r="J12" s="87"/>
    </row>
    <row r="13" spans="2:10" x14ac:dyDescent="0.25">
      <c r="B13" s="46"/>
      <c r="C13" s="47" t="s">
        <v>54</v>
      </c>
      <c r="D13" s="250">
        <v>5063000</v>
      </c>
      <c r="E13" s="247">
        <v>8250000</v>
      </c>
      <c r="F13" s="61">
        <f>300000</f>
        <v>300000</v>
      </c>
      <c r="G13" s="61">
        <f t="shared" si="2"/>
        <v>8550000</v>
      </c>
      <c r="H13" s="85">
        <f t="shared" si="0"/>
        <v>3487000</v>
      </c>
      <c r="I13" s="86">
        <f t="shared" si="1"/>
        <v>168.87221015208374</v>
      </c>
      <c r="J13" s="88"/>
    </row>
    <row r="14" spans="2:10" x14ac:dyDescent="0.25">
      <c r="B14" s="46"/>
      <c r="C14" s="47" t="s">
        <v>55</v>
      </c>
      <c r="D14" s="250">
        <v>5175000</v>
      </c>
      <c r="E14" s="247">
        <v>4495533</v>
      </c>
      <c r="F14" s="61">
        <f>160000</f>
        <v>160000</v>
      </c>
      <c r="G14" s="61">
        <f>E14+F14</f>
        <v>4655533</v>
      </c>
      <c r="H14" s="85">
        <f t="shared" si="0"/>
        <v>-519467</v>
      </c>
      <c r="I14" s="86">
        <f t="shared" si="1"/>
        <v>89.961990338164256</v>
      </c>
      <c r="J14" s="88"/>
    </row>
    <row r="15" spans="2:10" x14ac:dyDescent="0.25">
      <c r="B15" s="46"/>
      <c r="C15" s="47" t="s">
        <v>56</v>
      </c>
      <c r="D15" s="250">
        <v>5319000</v>
      </c>
      <c r="E15" s="247">
        <v>6909216</v>
      </c>
      <c r="F15" s="61">
        <f>285000</f>
        <v>285000</v>
      </c>
      <c r="G15" s="61">
        <f t="shared" si="2"/>
        <v>7194216</v>
      </c>
      <c r="H15" s="85">
        <f t="shared" si="0"/>
        <v>1875216</v>
      </c>
      <c r="I15" s="86">
        <f t="shared" si="1"/>
        <v>135.25504794134235</v>
      </c>
      <c r="J15" s="87"/>
    </row>
    <row r="16" spans="2:10" x14ac:dyDescent="0.25">
      <c r="B16" s="46"/>
      <c r="C16" s="47" t="s">
        <v>57</v>
      </c>
      <c r="D16" s="250">
        <v>18000000</v>
      </c>
      <c r="E16" s="247">
        <v>12440108</v>
      </c>
      <c r="F16" s="61">
        <v>0</v>
      </c>
      <c r="G16" s="168">
        <f>E16+F16</f>
        <v>12440108</v>
      </c>
      <c r="H16" s="85">
        <f t="shared" si="0"/>
        <v>-5559892</v>
      </c>
      <c r="I16" s="86">
        <f t="shared" si="1"/>
        <v>69.111711111111106</v>
      </c>
      <c r="J16" s="87"/>
    </row>
    <row r="17" spans="2:10" x14ac:dyDescent="0.25">
      <c r="B17" s="46"/>
      <c r="C17" s="47" t="s">
        <v>58</v>
      </c>
      <c r="D17" s="250">
        <v>2500000</v>
      </c>
      <c r="E17" s="247">
        <v>506516</v>
      </c>
      <c r="F17" s="61">
        <v>0</v>
      </c>
      <c r="G17" s="61">
        <f>E17+F17</f>
        <v>506516</v>
      </c>
      <c r="H17" s="85">
        <f t="shared" si="0"/>
        <v>-1993484</v>
      </c>
      <c r="I17" s="86">
        <f t="shared" si="1"/>
        <v>20.260639999999999</v>
      </c>
      <c r="J17" s="87"/>
    </row>
    <row r="18" spans="2:10" x14ac:dyDescent="0.25">
      <c r="B18" s="46"/>
      <c r="C18" s="47" t="s">
        <v>59</v>
      </c>
      <c r="D18" s="250">
        <v>2500000</v>
      </c>
      <c r="E18" s="247">
        <v>3874000</v>
      </c>
      <c r="F18" s="61">
        <v>0</v>
      </c>
      <c r="G18" s="61">
        <f t="shared" si="2"/>
        <v>3874000</v>
      </c>
      <c r="H18" s="85">
        <f t="shared" si="0"/>
        <v>1374000</v>
      </c>
      <c r="I18" s="86">
        <f t="shared" si="1"/>
        <v>154.96</v>
      </c>
      <c r="J18" s="87"/>
    </row>
    <row r="19" spans="2:10" x14ac:dyDescent="0.25">
      <c r="B19" s="46"/>
      <c r="C19" s="47" t="s">
        <v>60</v>
      </c>
      <c r="D19" s="250">
        <v>19345000</v>
      </c>
      <c r="E19" s="247">
        <v>24646676</v>
      </c>
      <c r="F19" s="61">
        <v>0</v>
      </c>
      <c r="G19" s="61">
        <f t="shared" si="2"/>
        <v>24646676</v>
      </c>
      <c r="H19" s="85">
        <f t="shared" si="0"/>
        <v>5301676</v>
      </c>
      <c r="I19" s="86">
        <f t="shared" si="1"/>
        <v>127.40592401137245</v>
      </c>
      <c r="J19" s="87"/>
    </row>
    <row r="20" spans="2:10" x14ac:dyDescent="0.25">
      <c r="B20" s="46"/>
      <c r="C20" s="47" t="s">
        <v>61</v>
      </c>
      <c r="D20" s="273">
        <v>13605000</v>
      </c>
      <c r="E20" s="247">
        <v>12760474</v>
      </c>
      <c r="F20" s="61">
        <v>0</v>
      </c>
      <c r="G20" s="61">
        <f>E20+F20</f>
        <v>12760474</v>
      </c>
      <c r="H20" s="85">
        <f t="shared" si="0"/>
        <v>-844526</v>
      </c>
      <c r="I20" s="86">
        <f t="shared" si="1"/>
        <v>93.792532157295113</v>
      </c>
      <c r="J20" s="87"/>
    </row>
    <row r="21" spans="2:10" x14ac:dyDescent="0.25">
      <c r="B21" s="46"/>
      <c r="C21" s="47" t="s">
        <v>324</v>
      </c>
      <c r="D21" s="273">
        <v>10000000</v>
      </c>
      <c r="E21" s="247">
        <v>7201000</v>
      </c>
      <c r="F21" s="61">
        <v>0</v>
      </c>
      <c r="G21" s="61">
        <f t="shared" ref="G21:G27" si="3">E21+F21</f>
        <v>7201000</v>
      </c>
      <c r="H21" s="85">
        <f>G21-D21</f>
        <v>-2799000</v>
      </c>
      <c r="I21" s="86">
        <f>G21/D21%</f>
        <v>72.010000000000005</v>
      </c>
      <c r="J21" s="87"/>
    </row>
    <row r="22" spans="2:10" x14ac:dyDescent="0.25">
      <c r="B22" s="46"/>
      <c r="C22" s="47" t="s">
        <v>63</v>
      </c>
      <c r="D22" s="250">
        <v>106000</v>
      </c>
      <c r="E22" s="247">
        <v>700000</v>
      </c>
      <c r="F22" s="61">
        <v>0</v>
      </c>
      <c r="G22" s="61">
        <f t="shared" si="3"/>
        <v>700000</v>
      </c>
      <c r="H22" s="85">
        <f t="shared" si="0"/>
        <v>594000</v>
      </c>
      <c r="I22" s="86">
        <f t="shared" si="1"/>
        <v>660.37735849056605</v>
      </c>
      <c r="J22" s="87"/>
    </row>
    <row r="23" spans="2:10" x14ac:dyDescent="0.25">
      <c r="B23" s="46"/>
      <c r="C23" s="47" t="s">
        <v>64</v>
      </c>
      <c r="D23" s="250">
        <v>3000000</v>
      </c>
      <c r="E23" s="247">
        <v>1300000</v>
      </c>
      <c r="F23" s="61">
        <v>0</v>
      </c>
      <c r="G23" s="61">
        <f t="shared" si="3"/>
        <v>1300000</v>
      </c>
      <c r="H23" s="85">
        <f>G23-D23</f>
        <v>-1700000</v>
      </c>
      <c r="I23" s="86">
        <f>G23/D23%</f>
        <v>43.333333333333336</v>
      </c>
      <c r="J23" s="87"/>
    </row>
    <row r="24" spans="2:10" x14ac:dyDescent="0.25">
      <c r="B24" s="46"/>
      <c r="C24" s="47" t="s">
        <v>65</v>
      </c>
      <c r="D24" s="250">
        <v>0</v>
      </c>
      <c r="E24" s="247">
        <v>0</v>
      </c>
      <c r="F24" s="61">
        <v>0</v>
      </c>
      <c r="G24" s="61">
        <f t="shared" si="3"/>
        <v>0</v>
      </c>
      <c r="H24" s="85">
        <f>G24-D24</f>
        <v>0</v>
      </c>
      <c r="I24" s="86" t="e">
        <f>G24/D24%</f>
        <v>#DIV/0!</v>
      </c>
      <c r="J24" s="87"/>
    </row>
    <row r="25" spans="2:10" x14ac:dyDescent="0.25">
      <c r="B25" s="46"/>
      <c r="C25" s="47" t="s">
        <v>66</v>
      </c>
      <c r="D25" s="250">
        <v>16346000</v>
      </c>
      <c r="E25" s="247">
        <v>24108835</v>
      </c>
      <c r="F25" s="61">
        <f>3870000+500000</f>
        <v>4370000</v>
      </c>
      <c r="G25" s="61">
        <f t="shared" si="3"/>
        <v>28478835</v>
      </c>
      <c r="H25" s="85">
        <f>G25-D25</f>
        <v>12132835</v>
      </c>
      <c r="I25" s="86">
        <f>G25/D25%</f>
        <v>174.22510094212652</v>
      </c>
      <c r="J25" s="87"/>
    </row>
    <row r="26" spans="2:10" x14ac:dyDescent="0.25">
      <c r="B26" s="46"/>
      <c r="C26" s="47" t="s">
        <v>67</v>
      </c>
      <c r="D26" s="248">
        <v>0</v>
      </c>
      <c r="E26" s="247">
        <v>1350000</v>
      </c>
      <c r="F26" s="61">
        <v>0</v>
      </c>
      <c r="G26" s="61">
        <f t="shared" si="3"/>
        <v>1350000</v>
      </c>
      <c r="H26" s="85">
        <f>G26-D26</f>
        <v>1350000</v>
      </c>
      <c r="I26" s="86" t="e">
        <f>G26/D26%</f>
        <v>#DIV/0!</v>
      </c>
      <c r="J26" s="87"/>
    </row>
    <row r="27" spans="2:10" x14ac:dyDescent="0.25">
      <c r="B27" s="46"/>
      <c r="C27" s="47" t="s">
        <v>68</v>
      </c>
      <c r="D27" s="248">
        <v>0</v>
      </c>
      <c r="E27" s="247">
        <v>0</v>
      </c>
      <c r="F27" s="61">
        <v>0</v>
      </c>
      <c r="G27" s="61">
        <f t="shared" si="3"/>
        <v>0</v>
      </c>
      <c r="H27" s="85">
        <f>G27-D27</f>
        <v>0</v>
      </c>
      <c r="I27" s="86" t="e">
        <f>G27/D27%</f>
        <v>#DIV/0!</v>
      </c>
      <c r="J27" s="87"/>
    </row>
    <row r="28" spans="2:10" x14ac:dyDescent="0.25">
      <c r="B28" s="46"/>
      <c r="C28" s="47" t="s">
        <v>69</v>
      </c>
      <c r="D28" s="248">
        <v>14483000</v>
      </c>
      <c r="E28" s="247">
        <v>10540000</v>
      </c>
      <c r="F28" s="61">
        <v>0</v>
      </c>
      <c r="G28" s="61">
        <f>E28+F28</f>
        <v>10540000</v>
      </c>
      <c r="H28" s="85">
        <f t="shared" si="0"/>
        <v>-3943000</v>
      </c>
      <c r="I28" s="86"/>
      <c r="J28" s="87"/>
    </row>
    <row r="29" spans="2:10" x14ac:dyDescent="0.25">
      <c r="B29" s="46"/>
      <c r="C29" s="47"/>
      <c r="D29" s="248"/>
      <c r="E29" s="269"/>
      <c r="F29" s="61"/>
      <c r="G29" s="61"/>
      <c r="H29" s="85"/>
      <c r="I29" s="86"/>
      <c r="J29" s="87"/>
    </row>
    <row r="30" spans="2:10" x14ac:dyDescent="0.25">
      <c r="B30" s="169"/>
      <c r="C30" s="170" t="s">
        <v>14</v>
      </c>
      <c r="D30" s="135">
        <f>SUM(D9:D28)</f>
        <v>137571000</v>
      </c>
      <c r="E30" s="89">
        <f>SUM(E9:E28)</f>
        <v>141897268</v>
      </c>
      <c r="F30" s="89">
        <f>SUM(F9:F28)</f>
        <v>5280000</v>
      </c>
      <c r="G30" s="89">
        <f>SUM(G9:G28)</f>
        <v>147177268</v>
      </c>
      <c r="H30" s="136">
        <f>SUM(H9:H22)</f>
        <v>1620433</v>
      </c>
      <c r="I30" s="91">
        <f>G30/D30%</f>
        <v>106.98277107820689</v>
      </c>
      <c r="J30" s="171"/>
    </row>
    <row r="31" spans="2:10" x14ac:dyDescent="0.25">
      <c r="B31" s="46"/>
      <c r="C31" s="47"/>
      <c r="D31" s="47"/>
      <c r="E31" s="61"/>
      <c r="F31" s="62"/>
      <c r="G31" s="61"/>
      <c r="H31" s="85"/>
      <c r="I31" s="85"/>
      <c r="J31" s="87"/>
    </row>
    <row r="32" spans="2:10" x14ac:dyDescent="0.25">
      <c r="B32" s="46" t="s">
        <v>15</v>
      </c>
      <c r="C32" s="60" t="s">
        <v>16</v>
      </c>
      <c r="D32" s="47"/>
      <c r="E32" s="269"/>
      <c r="F32" s="62"/>
      <c r="G32" s="61"/>
      <c r="H32" s="85"/>
      <c r="I32" s="85"/>
      <c r="J32" s="87"/>
    </row>
    <row r="33" spans="2:10" x14ac:dyDescent="0.25">
      <c r="B33" s="46"/>
      <c r="C33" s="47" t="s">
        <v>38</v>
      </c>
      <c r="D33" s="248">
        <v>222000</v>
      </c>
      <c r="E33" s="247">
        <v>265000</v>
      </c>
      <c r="F33" s="61">
        <v>0</v>
      </c>
      <c r="G33" s="61">
        <f>E33+F33</f>
        <v>265000</v>
      </c>
      <c r="H33" s="85">
        <f t="shared" ref="H33:H50" si="4">G33-D33</f>
        <v>43000</v>
      </c>
      <c r="I33" s="86">
        <f t="shared" ref="I33:I50" si="5">G33/D33%</f>
        <v>119.36936936936937</v>
      </c>
      <c r="J33" s="87"/>
    </row>
    <row r="34" spans="2:10" x14ac:dyDescent="0.25">
      <c r="B34" s="172"/>
      <c r="C34" s="173" t="s">
        <v>39</v>
      </c>
      <c r="D34" s="248">
        <v>10000000</v>
      </c>
      <c r="E34" s="249">
        <v>7184239</v>
      </c>
      <c r="F34" s="168">
        <f>30000</f>
        <v>30000</v>
      </c>
      <c r="G34" s="168">
        <f t="shared" ref="G34:G50" si="6">E34+F34</f>
        <v>7214239</v>
      </c>
      <c r="H34" s="174">
        <f t="shared" si="4"/>
        <v>-2785761</v>
      </c>
      <c r="I34" s="176">
        <f t="shared" si="5"/>
        <v>72.142390000000006</v>
      </c>
      <c r="J34" s="179"/>
    </row>
    <row r="35" spans="2:10" x14ac:dyDescent="0.25">
      <c r="B35" s="46"/>
      <c r="C35" s="47" t="s">
        <v>40</v>
      </c>
      <c r="D35" s="248">
        <v>6000000</v>
      </c>
      <c r="E35" s="247">
        <v>6887217</v>
      </c>
      <c r="F35" s="61">
        <f>250000</f>
        <v>250000</v>
      </c>
      <c r="G35" s="61">
        <f>E35+F35</f>
        <v>7137217</v>
      </c>
      <c r="H35" s="85">
        <f t="shared" si="4"/>
        <v>1137217</v>
      </c>
      <c r="I35" s="86">
        <f>G35/D35%</f>
        <v>118.95361666666666</v>
      </c>
      <c r="J35" s="180"/>
    </row>
    <row r="36" spans="2:10" x14ac:dyDescent="0.25">
      <c r="B36" s="46"/>
      <c r="C36" s="47" t="s">
        <v>41</v>
      </c>
      <c r="D36" s="248">
        <v>3206000</v>
      </c>
      <c r="E36" s="247">
        <v>4272000</v>
      </c>
      <c r="F36" s="61">
        <v>0</v>
      </c>
      <c r="G36" s="61">
        <f t="shared" si="6"/>
        <v>4272000</v>
      </c>
      <c r="H36" s="85">
        <f t="shared" si="4"/>
        <v>1066000</v>
      </c>
      <c r="I36" s="86">
        <f t="shared" si="5"/>
        <v>133.25015595757955</v>
      </c>
      <c r="J36" s="87"/>
    </row>
    <row r="37" spans="2:10" x14ac:dyDescent="0.25">
      <c r="B37" s="46"/>
      <c r="C37" s="47" t="s">
        <v>50</v>
      </c>
      <c r="D37" s="248">
        <v>0</v>
      </c>
      <c r="E37" s="247">
        <v>0</v>
      </c>
      <c r="F37" s="61">
        <v>0</v>
      </c>
      <c r="G37" s="61">
        <f t="shared" si="6"/>
        <v>0</v>
      </c>
      <c r="H37" s="85">
        <f>G37-D37</f>
        <v>0</v>
      </c>
      <c r="I37" s="86" t="e">
        <f>G37/D37%</f>
        <v>#DIV/0!</v>
      </c>
      <c r="J37" s="87"/>
    </row>
    <row r="38" spans="2:10" x14ac:dyDescent="0.25">
      <c r="B38" s="46"/>
      <c r="C38" s="47" t="s">
        <v>51</v>
      </c>
      <c r="D38" s="248">
        <v>0</v>
      </c>
      <c r="E38" s="247">
        <v>0</v>
      </c>
      <c r="F38" s="61">
        <v>0</v>
      </c>
      <c r="G38" s="61">
        <f>E38+F38</f>
        <v>0</v>
      </c>
      <c r="H38" s="85">
        <f>G38-D38</f>
        <v>0</v>
      </c>
      <c r="I38" s="86" t="e">
        <f>G38/D38%</f>
        <v>#DIV/0!</v>
      </c>
      <c r="J38" s="87"/>
    </row>
    <row r="39" spans="2:10" x14ac:dyDescent="0.25">
      <c r="B39" s="46"/>
      <c r="C39" s="47" t="s">
        <v>49</v>
      </c>
      <c r="D39" s="248">
        <v>0</v>
      </c>
      <c r="E39" s="247">
        <v>210000</v>
      </c>
      <c r="F39" s="61">
        <v>0</v>
      </c>
      <c r="G39" s="61">
        <f t="shared" si="6"/>
        <v>210000</v>
      </c>
      <c r="H39" s="85">
        <f>G39-D38</f>
        <v>210000</v>
      </c>
      <c r="I39" s="86" t="e">
        <f>G39/D38%</f>
        <v>#DIV/0!</v>
      </c>
      <c r="J39" s="87"/>
    </row>
    <row r="40" spans="2:10" x14ac:dyDescent="0.25">
      <c r="B40" s="46"/>
      <c r="C40" s="47" t="s">
        <v>79</v>
      </c>
      <c r="D40" s="248">
        <v>5500000</v>
      </c>
      <c r="E40" s="247">
        <f>3813800-34710</f>
        <v>3779090</v>
      </c>
      <c r="F40" s="61">
        <v>0</v>
      </c>
      <c r="G40" s="61">
        <f t="shared" si="6"/>
        <v>3779090</v>
      </c>
      <c r="H40" s="85">
        <f>G40-D39</f>
        <v>3779090</v>
      </c>
      <c r="I40" s="86" t="e">
        <f>G40/D39%</f>
        <v>#DIV/0!</v>
      </c>
      <c r="J40" s="87"/>
    </row>
    <row r="41" spans="2:10" x14ac:dyDescent="0.25">
      <c r="B41" s="46"/>
      <c r="C41" s="47" t="s">
        <v>71</v>
      </c>
      <c r="D41" s="248">
        <v>4000000</v>
      </c>
      <c r="E41" s="247">
        <v>7839444</v>
      </c>
      <c r="F41" s="61">
        <f>50000</f>
        <v>50000</v>
      </c>
      <c r="G41" s="61">
        <f t="shared" si="6"/>
        <v>7889444</v>
      </c>
      <c r="H41" s="85">
        <f>G41-D40</f>
        <v>2389444</v>
      </c>
      <c r="I41" s="86">
        <f>G41/D40%</f>
        <v>143.44443636363636</v>
      </c>
      <c r="J41" s="87"/>
    </row>
    <row r="42" spans="2:10" x14ac:dyDescent="0.25">
      <c r="B42" s="46"/>
      <c r="C42" s="47" t="s">
        <v>72</v>
      </c>
      <c r="D42" s="248">
        <v>4000000</v>
      </c>
      <c r="E42" s="247">
        <v>11193500</v>
      </c>
      <c r="F42" s="61">
        <v>0</v>
      </c>
      <c r="G42" s="61">
        <f t="shared" si="6"/>
        <v>11193500</v>
      </c>
      <c r="H42" s="85">
        <f>G42-D41</f>
        <v>7193500</v>
      </c>
      <c r="I42" s="86">
        <f>G42/D41%</f>
        <v>279.83749999999998</v>
      </c>
      <c r="J42" s="87"/>
    </row>
    <row r="43" spans="2:10" x14ac:dyDescent="0.25">
      <c r="B43" s="46"/>
      <c r="C43" s="47" t="s">
        <v>70</v>
      </c>
      <c r="D43" s="248">
        <v>500000</v>
      </c>
      <c r="E43" s="247">
        <v>1060000</v>
      </c>
      <c r="F43" s="61">
        <v>0</v>
      </c>
      <c r="G43" s="61">
        <f t="shared" si="6"/>
        <v>1060000</v>
      </c>
      <c r="H43" s="85">
        <f t="shared" si="4"/>
        <v>560000</v>
      </c>
      <c r="I43" s="86">
        <f t="shared" si="5"/>
        <v>212</v>
      </c>
      <c r="J43" s="87"/>
    </row>
    <row r="44" spans="2:10" x14ac:dyDescent="0.25">
      <c r="B44" s="46"/>
      <c r="C44" s="47" t="s">
        <v>73</v>
      </c>
      <c r="D44" s="248">
        <v>529000</v>
      </c>
      <c r="E44" s="247">
        <v>0</v>
      </c>
      <c r="F44" s="61">
        <v>0</v>
      </c>
      <c r="G44" s="61">
        <f t="shared" si="6"/>
        <v>0</v>
      </c>
      <c r="H44" s="85">
        <f t="shared" si="4"/>
        <v>-529000</v>
      </c>
      <c r="I44" s="86">
        <f t="shared" si="5"/>
        <v>0</v>
      </c>
      <c r="J44" s="87"/>
    </row>
    <row r="45" spans="2:10" x14ac:dyDescent="0.25">
      <c r="B45" s="46"/>
      <c r="C45" s="47" t="s">
        <v>74</v>
      </c>
      <c r="D45" s="248">
        <v>0</v>
      </c>
      <c r="E45" s="247">
        <v>0</v>
      </c>
      <c r="F45" s="61">
        <v>0</v>
      </c>
      <c r="G45" s="61">
        <f t="shared" si="6"/>
        <v>0</v>
      </c>
      <c r="H45" s="85">
        <f t="shared" si="4"/>
        <v>0</v>
      </c>
      <c r="I45" s="86" t="e">
        <f t="shared" si="5"/>
        <v>#DIV/0!</v>
      </c>
      <c r="J45" s="87"/>
    </row>
    <row r="46" spans="2:10" x14ac:dyDescent="0.25">
      <c r="B46" s="46"/>
      <c r="C46" s="47" t="s">
        <v>75</v>
      </c>
      <c r="D46" s="272">
        <v>10000000</v>
      </c>
      <c r="E46" s="247">
        <v>12540000</v>
      </c>
      <c r="F46" s="61">
        <v>0</v>
      </c>
      <c r="G46" s="61">
        <f t="shared" si="6"/>
        <v>12540000</v>
      </c>
      <c r="H46" s="85">
        <f t="shared" si="4"/>
        <v>2540000</v>
      </c>
      <c r="I46" s="86">
        <f t="shared" si="5"/>
        <v>125.4</v>
      </c>
      <c r="J46" s="87"/>
    </row>
    <row r="47" spans="2:10" x14ac:dyDescent="0.25">
      <c r="B47" s="46"/>
      <c r="C47" s="47" t="s">
        <v>76</v>
      </c>
      <c r="D47" s="248">
        <v>0</v>
      </c>
      <c r="E47" s="247">
        <v>0</v>
      </c>
      <c r="F47" s="61">
        <v>0</v>
      </c>
      <c r="G47" s="61">
        <f t="shared" si="6"/>
        <v>0</v>
      </c>
      <c r="H47" s="85">
        <f t="shared" si="4"/>
        <v>0</v>
      </c>
      <c r="I47" s="86" t="e">
        <f t="shared" si="5"/>
        <v>#DIV/0!</v>
      </c>
      <c r="J47" s="87"/>
    </row>
    <row r="48" spans="2:10" x14ac:dyDescent="0.25">
      <c r="B48" s="46"/>
      <c r="C48" s="47" t="s">
        <v>77</v>
      </c>
      <c r="D48" s="248">
        <v>0</v>
      </c>
      <c r="E48" s="247">
        <v>0</v>
      </c>
      <c r="F48" s="61">
        <v>0</v>
      </c>
      <c r="G48" s="61">
        <f t="shared" si="6"/>
        <v>0</v>
      </c>
      <c r="H48" s="85">
        <f t="shared" si="4"/>
        <v>0</v>
      </c>
      <c r="I48" s="86" t="e">
        <f t="shared" si="5"/>
        <v>#DIV/0!</v>
      </c>
      <c r="J48" s="87"/>
    </row>
    <row r="49" spans="2:10" x14ac:dyDescent="0.25">
      <c r="B49" s="46"/>
      <c r="C49" s="47" t="s">
        <v>325</v>
      </c>
      <c r="D49" s="248">
        <v>12000000</v>
      </c>
      <c r="E49" s="247">
        <v>9620000</v>
      </c>
      <c r="F49" s="61">
        <v>0</v>
      </c>
      <c r="G49" s="61">
        <f t="shared" si="6"/>
        <v>9620000</v>
      </c>
      <c r="H49" s="85">
        <f t="shared" si="4"/>
        <v>-2380000</v>
      </c>
      <c r="I49" s="86">
        <f t="shared" si="5"/>
        <v>80.166666666666671</v>
      </c>
      <c r="J49" s="87"/>
    </row>
    <row r="50" spans="2:10" x14ac:dyDescent="0.25">
      <c r="B50" s="46"/>
      <c r="C50" s="47" t="s">
        <v>326</v>
      </c>
      <c r="D50" s="248">
        <v>0</v>
      </c>
      <c r="E50" s="247">
        <v>0</v>
      </c>
      <c r="F50" s="61">
        <v>0</v>
      </c>
      <c r="G50" s="61">
        <f t="shared" si="6"/>
        <v>0</v>
      </c>
      <c r="H50" s="85">
        <f t="shared" si="4"/>
        <v>0</v>
      </c>
      <c r="I50" s="86" t="e">
        <f t="shared" si="5"/>
        <v>#DIV/0!</v>
      </c>
      <c r="J50" s="87"/>
    </row>
    <row r="51" spans="2:10" x14ac:dyDescent="0.25">
      <c r="B51" s="46"/>
      <c r="C51" s="47"/>
      <c r="D51" s="85"/>
      <c r="E51" s="269"/>
      <c r="F51" s="61"/>
      <c r="G51" s="61"/>
      <c r="H51" s="85"/>
      <c r="I51" s="85"/>
      <c r="J51" s="87"/>
    </row>
    <row r="52" spans="2:10" x14ac:dyDescent="0.25">
      <c r="B52" s="169"/>
      <c r="C52" s="170" t="s">
        <v>17</v>
      </c>
      <c r="D52" s="271">
        <f>SUM(D33:D50)</f>
        <v>55957000</v>
      </c>
      <c r="E52" s="89">
        <f>SUM(E33:E50)</f>
        <v>64850490</v>
      </c>
      <c r="F52" s="89">
        <f>SUM(F33:F50)</f>
        <v>330000</v>
      </c>
      <c r="G52" s="89">
        <f>SUM(G33:G50)</f>
        <v>65180490</v>
      </c>
      <c r="H52" s="136">
        <f>SUM(H33:H50)</f>
        <v>13223490</v>
      </c>
      <c r="I52" s="91">
        <f>G52/D52%</f>
        <v>116.48317458048145</v>
      </c>
      <c r="J52" s="171"/>
    </row>
    <row r="53" spans="2:10" x14ac:dyDescent="0.25">
      <c r="B53" s="46"/>
      <c r="C53" s="47"/>
      <c r="D53" s="47"/>
      <c r="E53" s="61"/>
      <c r="F53" s="62"/>
      <c r="G53" s="61"/>
      <c r="H53" s="85"/>
      <c r="I53" s="85"/>
      <c r="J53" s="87"/>
    </row>
    <row r="54" spans="2:10" x14ac:dyDescent="0.25">
      <c r="B54" s="46" t="s">
        <v>18</v>
      </c>
      <c r="C54" s="60" t="s">
        <v>19</v>
      </c>
      <c r="D54" s="47"/>
      <c r="E54" s="269"/>
      <c r="F54" s="62"/>
      <c r="G54" s="61"/>
      <c r="H54" s="85"/>
      <c r="I54" s="85"/>
      <c r="J54" s="87"/>
    </row>
    <row r="55" spans="2:10" x14ac:dyDescent="0.25">
      <c r="B55" s="46"/>
      <c r="C55" s="47" t="s">
        <v>42</v>
      </c>
      <c r="D55" s="248">
        <v>0</v>
      </c>
      <c r="E55" s="247">
        <v>484642</v>
      </c>
      <c r="F55" s="61">
        <f>30000+130000</f>
        <v>160000</v>
      </c>
      <c r="G55" s="61">
        <f>E55+F55</f>
        <v>644642</v>
      </c>
      <c r="H55" s="85">
        <f t="shared" ref="H55:H68" si="7">G55-D55</f>
        <v>644642</v>
      </c>
      <c r="I55" s="86" t="e">
        <f t="shared" ref="I55:I68" si="8">G55/D55%</f>
        <v>#DIV/0!</v>
      </c>
      <c r="J55" s="87"/>
    </row>
    <row r="56" spans="2:10" x14ac:dyDescent="0.25">
      <c r="B56" s="46"/>
      <c r="C56" s="47" t="s">
        <v>43</v>
      </c>
      <c r="D56" s="248">
        <v>12975000</v>
      </c>
      <c r="E56" s="247">
        <v>21292000</v>
      </c>
      <c r="F56" s="61">
        <f>567000</f>
        <v>567000</v>
      </c>
      <c r="G56" s="61">
        <f t="shared" ref="G56:G68" si="9">E56+F56</f>
        <v>21859000</v>
      </c>
      <c r="H56" s="85">
        <f t="shared" si="7"/>
        <v>8884000</v>
      </c>
      <c r="I56" s="86">
        <f t="shared" si="8"/>
        <v>168.47013487475914</v>
      </c>
      <c r="J56" s="87"/>
    </row>
    <row r="57" spans="2:10" x14ac:dyDescent="0.25">
      <c r="B57" s="46"/>
      <c r="C57" s="47" t="s">
        <v>44</v>
      </c>
      <c r="D57" s="248">
        <v>0</v>
      </c>
      <c r="E57" s="247">
        <v>400000</v>
      </c>
      <c r="F57" s="61">
        <v>0</v>
      </c>
      <c r="G57" s="61">
        <f t="shared" si="9"/>
        <v>400000</v>
      </c>
      <c r="H57" s="85">
        <f t="shared" si="7"/>
        <v>400000</v>
      </c>
      <c r="I57" s="86" t="e">
        <f t="shared" si="8"/>
        <v>#DIV/0!</v>
      </c>
      <c r="J57" s="87"/>
    </row>
    <row r="58" spans="2:10" x14ac:dyDescent="0.25">
      <c r="B58" s="46"/>
      <c r="C58" s="47" t="s">
        <v>45</v>
      </c>
      <c r="D58" s="248">
        <v>0</v>
      </c>
      <c r="E58" s="247">
        <v>0</v>
      </c>
      <c r="F58" s="61">
        <v>0</v>
      </c>
      <c r="G58" s="61">
        <f t="shared" si="9"/>
        <v>0</v>
      </c>
      <c r="H58" s="85">
        <f t="shared" si="7"/>
        <v>0</v>
      </c>
      <c r="I58" s="86" t="e">
        <f t="shared" si="8"/>
        <v>#DIV/0!</v>
      </c>
      <c r="J58" s="87"/>
    </row>
    <row r="59" spans="2:10" x14ac:dyDescent="0.25">
      <c r="B59" s="46"/>
      <c r="C59" s="47" t="s">
        <v>46</v>
      </c>
      <c r="D59" s="248">
        <v>0</v>
      </c>
      <c r="E59" s="247">
        <v>0</v>
      </c>
      <c r="F59" s="92">
        <v>0</v>
      </c>
      <c r="G59" s="61">
        <f t="shared" si="9"/>
        <v>0</v>
      </c>
      <c r="H59" s="85">
        <f t="shared" si="7"/>
        <v>0</v>
      </c>
      <c r="I59" s="86" t="e">
        <f t="shared" si="8"/>
        <v>#DIV/0!</v>
      </c>
      <c r="J59" s="87"/>
    </row>
    <row r="60" spans="2:10" x14ac:dyDescent="0.25">
      <c r="B60" s="46"/>
      <c r="C60" s="47" t="s">
        <v>47</v>
      </c>
      <c r="D60" s="248">
        <v>0</v>
      </c>
      <c r="E60" s="247">
        <v>0</v>
      </c>
      <c r="F60" s="61">
        <v>0</v>
      </c>
      <c r="G60" s="61">
        <f t="shared" si="9"/>
        <v>0</v>
      </c>
      <c r="H60" s="85">
        <f t="shared" si="7"/>
        <v>0</v>
      </c>
      <c r="I60" s="86" t="e">
        <f t="shared" si="8"/>
        <v>#DIV/0!</v>
      </c>
      <c r="J60" s="87"/>
    </row>
    <row r="61" spans="2:10" x14ac:dyDescent="0.25">
      <c r="B61" s="46"/>
      <c r="C61" s="47" t="s">
        <v>129</v>
      </c>
      <c r="D61" s="248">
        <v>600000</v>
      </c>
      <c r="E61" s="247">
        <v>0</v>
      </c>
      <c r="F61" s="61">
        <v>0</v>
      </c>
      <c r="G61" s="61">
        <f t="shared" si="9"/>
        <v>0</v>
      </c>
      <c r="H61" s="85">
        <f t="shared" si="7"/>
        <v>-600000</v>
      </c>
      <c r="I61" s="86">
        <f t="shared" si="8"/>
        <v>0</v>
      </c>
      <c r="J61" s="87"/>
    </row>
    <row r="62" spans="2:10" x14ac:dyDescent="0.25">
      <c r="B62" s="46"/>
      <c r="C62" s="47" t="s">
        <v>86</v>
      </c>
      <c r="D62" s="248">
        <v>0</v>
      </c>
      <c r="E62" s="247">
        <v>0</v>
      </c>
      <c r="F62" s="61">
        <v>0</v>
      </c>
      <c r="G62" s="61">
        <f t="shared" si="9"/>
        <v>0</v>
      </c>
      <c r="H62" s="85">
        <f t="shared" si="7"/>
        <v>0</v>
      </c>
      <c r="I62" s="86" t="e">
        <f t="shared" si="8"/>
        <v>#DIV/0!</v>
      </c>
      <c r="J62" s="87"/>
    </row>
    <row r="63" spans="2:10" x14ac:dyDescent="0.25">
      <c r="B63" s="46"/>
      <c r="C63" s="47" t="s">
        <v>87</v>
      </c>
      <c r="D63" s="248">
        <v>0</v>
      </c>
      <c r="E63" s="247">
        <v>270000</v>
      </c>
      <c r="F63" s="61">
        <v>0</v>
      </c>
      <c r="G63" s="61">
        <f>E63+F63</f>
        <v>270000</v>
      </c>
      <c r="H63" s="85">
        <f>G63-D63</f>
        <v>270000</v>
      </c>
      <c r="I63" s="86" t="e">
        <f>G63/D63%</f>
        <v>#DIV/0!</v>
      </c>
      <c r="J63" s="87"/>
    </row>
    <row r="64" spans="2:10" x14ac:dyDescent="0.25">
      <c r="B64" s="46"/>
      <c r="C64" s="47" t="s">
        <v>81</v>
      </c>
      <c r="D64" s="248">
        <v>0</v>
      </c>
      <c r="E64" s="247">
        <v>0</v>
      </c>
      <c r="F64" s="61">
        <v>0</v>
      </c>
      <c r="G64" s="61">
        <f t="shared" si="9"/>
        <v>0</v>
      </c>
      <c r="H64" s="85">
        <f t="shared" si="7"/>
        <v>0</v>
      </c>
      <c r="I64" s="86" t="e">
        <f t="shared" si="8"/>
        <v>#DIV/0!</v>
      </c>
      <c r="J64" s="87"/>
    </row>
    <row r="65" spans="2:10" x14ac:dyDescent="0.25">
      <c r="B65" s="46"/>
      <c r="C65" s="47" t="s">
        <v>82</v>
      </c>
      <c r="D65" s="248">
        <v>0</v>
      </c>
      <c r="E65" s="247">
        <v>100000</v>
      </c>
      <c r="F65" s="61">
        <v>0</v>
      </c>
      <c r="G65" s="61">
        <f t="shared" si="9"/>
        <v>100000</v>
      </c>
      <c r="H65" s="85">
        <f t="shared" si="7"/>
        <v>100000</v>
      </c>
      <c r="I65" s="86" t="e">
        <f t="shared" si="8"/>
        <v>#DIV/0!</v>
      </c>
      <c r="J65" s="87"/>
    </row>
    <row r="66" spans="2:10" x14ac:dyDescent="0.25">
      <c r="B66" s="46"/>
      <c r="C66" s="47" t="s">
        <v>83</v>
      </c>
      <c r="D66" s="248">
        <v>0</v>
      </c>
      <c r="E66" s="247">
        <v>0</v>
      </c>
      <c r="F66" s="61">
        <v>0</v>
      </c>
      <c r="G66" s="61">
        <f>E66+F66</f>
        <v>0</v>
      </c>
      <c r="H66" s="85">
        <f>G66-D66</f>
        <v>0</v>
      </c>
      <c r="I66" s="86" t="e">
        <f>G66/D66%</f>
        <v>#DIV/0!</v>
      </c>
      <c r="J66" s="87"/>
    </row>
    <row r="67" spans="2:10" x14ac:dyDescent="0.25">
      <c r="B67" s="46"/>
      <c r="C67" s="47" t="s">
        <v>142</v>
      </c>
      <c r="D67" s="248">
        <v>424000</v>
      </c>
      <c r="E67" s="247">
        <v>1234545</v>
      </c>
      <c r="F67" s="61">
        <v>0</v>
      </c>
      <c r="G67" s="61">
        <f>E67+F67</f>
        <v>1234545</v>
      </c>
      <c r="H67" s="85">
        <f>G67-D67</f>
        <v>810545</v>
      </c>
      <c r="I67" s="86">
        <f>G67/D67%</f>
        <v>291.16627358490564</v>
      </c>
      <c r="J67" s="87"/>
    </row>
    <row r="68" spans="2:10" x14ac:dyDescent="0.25">
      <c r="B68" s="46"/>
      <c r="C68" s="47" t="s">
        <v>85</v>
      </c>
      <c r="D68" s="248">
        <v>0</v>
      </c>
      <c r="E68" s="247">
        <v>0</v>
      </c>
      <c r="F68" s="61">
        <v>0</v>
      </c>
      <c r="G68" s="61">
        <f t="shared" si="9"/>
        <v>0</v>
      </c>
      <c r="H68" s="85">
        <f t="shared" si="7"/>
        <v>0</v>
      </c>
      <c r="I68" s="86" t="e">
        <f t="shared" si="8"/>
        <v>#DIV/0!</v>
      </c>
      <c r="J68" s="87"/>
    </row>
    <row r="69" spans="2:10" x14ac:dyDescent="0.25">
      <c r="B69" s="46"/>
      <c r="C69" s="47"/>
      <c r="D69" s="85"/>
      <c r="E69" s="269"/>
      <c r="F69" s="61"/>
      <c r="G69" s="61"/>
      <c r="H69" s="85"/>
      <c r="I69" s="85"/>
      <c r="J69" s="87"/>
    </row>
    <row r="70" spans="2:10" x14ac:dyDescent="0.25">
      <c r="B70" s="169"/>
      <c r="C70" s="170" t="s">
        <v>20</v>
      </c>
      <c r="D70" s="136">
        <f>SUM(D55:D68)</f>
        <v>13999000</v>
      </c>
      <c r="E70" s="89">
        <f>SUM(E55:E68)</f>
        <v>23781187</v>
      </c>
      <c r="F70" s="89">
        <f>SUM(F55:F68)</f>
        <v>727000</v>
      </c>
      <c r="G70" s="89">
        <f>SUM(G55:G68)</f>
        <v>24508187</v>
      </c>
      <c r="H70" s="136">
        <f>SUM(H55:H64)</f>
        <v>9598642</v>
      </c>
      <c r="I70" s="91">
        <f>G70/D70%</f>
        <v>175.07098364168868</v>
      </c>
      <c r="J70" s="171"/>
    </row>
    <row r="71" spans="2:10" x14ac:dyDescent="0.25">
      <c r="B71" s="46"/>
      <c r="C71" s="47"/>
      <c r="D71" s="47"/>
      <c r="E71" s="61"/>
      <c r="F71" s="62"/>
      <c r="G71" s="61"/>
      <c r="H71" s="85"/>
      <c r="I71" s="85"/>
      <c r="J71" s="87"/>
    </row>
    <row r="72" spans="2:10" ht="15.75" thickBot="1" x14ac:dyDescent="0.3">
      <c r="B72" s="46"/>
      <c r="C72" s="60" t="s">
        <v>21</v>
      </c>
      <c r="D72" s="93">
        <f>D30+D52+D70</f>
        <v>207527000</v>
      </c>
      <c r="E72" s="94">
        <f>E30+E52+E70</f>
        <v>230528945</v>
      </c>
      <c r="F72" s="95">
        <f>F30+F52+F70</f>
        <v>6337000</v>
      </c>
      <c r="G72" s="94">
        <f>G30+G52+G70</f>
        <v>236865945</v>
      </c>
      <c r="H72" s="96">
        <f>H30+H52+H70</f>
        <v>24442565</v>
      </c>
      <c r="I72" s="97">
        <f>G72/D72%</f>
        <v>114.13741103567247</v>
      </c>
      <c r="J72" s="87"/>
    </row>
    <row r="73" spans="2:10" ht="15.75" thickTop="1" x14ac:dyDescent="0.25">
      <c r="B73" s="69"/>
      <c r="C73" s="98"/>
      <c r="D73" s="99"/>
      <c r="E73" s="100"/>
      <c r="F73" s="101"/>
      <c r="G73" s="100"/>
      <c r="H73" s="102"/>
      <c r="I73" s="103"/>
      <c r="J73" s="104"/>
    </row>
    <row r="74" spans="2:10" x14ac:dyDescent="0.25">
      <c r="B74" s="69"/>
      <c r="C74" s="98" t="s">
        <v>22</v>
      </c>
      <c r="D74" s="105"/>
      <c r="E74" s="106"/>
      <c r="F74" s="107"/>
      <c r="G74" s="106"/>
      <c r="H74" s="108"/>
      <c r="I74" s="109"/>
      <c r="J74" s="104"/>
    </row>
    <row r="75" spans="2:10" x14ac:dyDescent="0.25">
      <c r="B75" s="69" t="s">
        <v>12</v>
      </c>
      <c r="C75" s="98" t="s">
        <v>23</v>
      </c>
      <c r="D75" s="105">
        <v>13500000</v>
      </c>
      <c r="E75" s="106">
        <f>E126</f>
        <v>10405000</v>
      </c>
      <c r="F75" s="107">
        <f>F126</f>
        <v>250000</v>
      </c>
      <c r="G75" s="106">
        <f>E75+F75</f>
        <v>10655000</v>
      </c>
      <c r="H75" s="108">
        <f>G75-D75</f>
        <v>-2845000</v>
      </c>
      <c r="I75" s="110">
        <f>G75/D75%</f>
        <v>78.925925925925924</v>
      </c>
      <c r="J75" s="104"/>
    </row>
    <row r="76" spans="2:10" x14ac:dyDescent="0.25">
      <c r="B76" s="69"/>
      <c r="C76" s="98"/>
      <c r="D76" s="105"/>
      <c r="E76" s="106"/>
      <c r="F76" s="107"/>
      <c r="G76" s="106"/>
      <c r="H76" s="108"/>
      <c r="I76" s="110"/>
      <c r="J76" s="104"/>
    </row>
    <row r="77" spans="2:10" x14ac:dyDescent="0.25">
      <c r="B77" s="69" t="s">
        <v>15</v>
      </c>
      <c r="C77" s="98" t="s">
        <v>16</v>
      </c>
      <c r="D77" s="105">
        <v>4500000</v>
      </c>
      <c r="E77" s="106">
        <f>E147</f>
        <v>2213000</v>
      </c>
      <c r="F77" s="107">
        <f>F147</f>
        <v>195000</v>
      </c>
      <c r="G77" s="106">
        <f>E77+F77</f>
        <v>2408000</v>
      </c>
      <c r="H77" s="108">
        <f>G77-D77</f>
        <v>-2092000</v>
      </c>
      <c r="I77" s="110">
        <f>G77/D77%</f>
        <v>53.511111111111113</v>
      </c>
      <c r="J77" s="104"/>
    </row>
    <row r="78" spans="2:10" x14ac:dyDescent="0.25">
      <c r="B78" s="69"/>
      <c r="C78" s="98"/>
      <c r="D78" s="105"/>
      <c r="E78" s="106"/>
      <c r="F78" s="107"/>
      <c r="G78" s="106"/>
      <c r="H78" s="108"/>
      <c r="I78" s="110"/>
      <c r="J78" s="104"/>
    </row>
    <row r="79" spans="2:10" x14ac:dyDescent="0.25">
      <c r="B79" s="69" t="s">
        <v>18</v>
      </c>
      <c r="C79" s="98" t="s">
        <v>19</v>
      </c>
      <c r="D79" s="105">
        <v>0</v>
      </c>
      <c r="E79" s="106">
        <f>E165</f>
        <v>200000</v>
      </c>
      <c r="F79" s="107">
        <f>F165</f>
        <v>0</v>
      </c>
      <c r="G79" s="106">
        <f>E79+F79</f>
        <v>200000</v>
      </c>
      <c r="H79" s="108">
        <f>G79-D79</f>
        <v>200000</v>
      </c>
      <c r="I79" s="110" t="e">
        <f>G79/D79%</f>
        <v>#DIV/0!</v>
      </c>
      <c r="J79" s="104"/>
    </row>
    <row r="80" spans="2:10" ht="15.75" thickBot="1" x14ac:dyDescent="0.3">
      <c r="B80" s="69"/>
      <c r="C80" s="98"/>
      <c r="D80" s="111"/>
      <c r="E80" s="112"/>
      <c r="F80" s="113"/>
      <c r="G80" s="112"/>
      <c r="H80" s="96"/>
      <c r="I80" s="97"/>
      <c r="J80" s="104"/>
    </row>
    <row r="81" spans="2:10" ht="16.5" thickTop="1" thickBot="1" x14ac:dyDescent="0.3">
      <c r="B81" s="114"/>
      <c r="C81" s="115" t="s">
        <v>24</v>
      </c>
      <c r="D81" s="116">
        <f>SUM(D75:D79)</f>
        <v>18000000</v>
      </c>
      <c r="E81" s="117">
        <f>SUM(E75:E79)</f>
        <v>12818000</v>
      </c>
      <c r="F81" s="118">
        <f>SUM(F75:F79)</f>
        <v>445000</v>
      </c>
      <c r="G81" s="117">
        <f>SUM(G75:G79)</f>
        <v>13263000</v>
      </c>
      <c r="H81" s="119">
        <f>SUM(H75:H79)</f>
        <v>-4737000</v>
      </c>
      <c r="I81" s="120">
        <f>G81/D81%</f>
        <v>73.683333333333337</v>
      </c>
      <c r="J81" s="121"/>
    </row>
    <row r="82" spans="2:10" x14ac:dyDescent="0.25">
      <c r="B82" s="75"/>
      <c r="C82" s="75"/>
      <c r="D82" s="75"/>
      <c r="E82" s="75"/>
      <c r="F82" s="75"/>
      <c r="G82" s="76"/>
      <c r="H82" s="75"/>
      <c r="I82" s="75"/>
      <c r="J82" s="75"/>
    </row>
    <row r="83" spans="2:10" x14ac:dyDescent="0.25">
      <c r="B83" s="75"/>
      <c r="C83" s="75"/>
      <c r="D83" s="75"/>
      <c r="E83" s="122" t="s">
        <v>25</v>
      </c>
      <c r="F83" s="242" t="s">
        <v>26</v>
      </c>
      <c r="G83" s="124" t="e">
        <f>#REF!</f>
        <v>#REF!</v>
      </c>
      <c r="H83" s="75"/>
      <c r="I83" s="75"/>
      <c r="J83" s="75"/>
    </row>
    <row r="84" spans="2:10" x14ac:dyDescent="0.25">
      <c r="B84" s="75"/>
      <c r="C84" s="75"/>
      <c r="D84" s="75"/>
      <c r="E84" s="122" t="s">
        <v>132</v>
      </c>
      <c r="F84" s="242" t="s">
        <v>26</v>
      </c>
      <c r="G84" s="124" t="e">
        <f>#REF!</f>
        <v>#REF!</v>
      </c>
      <c r="H84" s="75"/>
      <c r="I84" s="75"/>
      <c r="J84" s="75"/>
    </row>
    <row r="85" spans="2:10" x14ac:dyDescent="0.25">
      <c r="B85" s="75"/>
      <c r="C85" s="75"/>
      <c r="D85" s="75"/>
      <c r="E85" s="122" t="s">
        <v>27</v>
      </c>
      <c r="F85" s="242" t="s">
        <v>26</v>
      </c>
      <c r="G85" s="125">
        <f>40000+117000+250000+85000+107500</f>
        <v>599500</v>
      </c>
      <c r="H85" s="75"/>
      <c r="I85" s="75"/>
      <c r="J85" s="75"/>
    </row>
    <row r="86" spans="2:10" ht="19.5" x14ac:dyDescent="0.55000000000000004">
      <c r="B86" s="75"/>
      <c r="C86" s="75"/>
      <c r="D86" s="75"/>
      <c r="E86" s="122" t="s">
        <v>29</v>
      </c>
      <c r="F86" s="242" t="s">
        <v>26</v>
      </c>
      <c r="G86" s="126">
        <v>0</v>
      </c>
      <c r="H86" s="75" t="s">
        <v>28</v>
      </c>
      <c r="I86" s="75"/>
      <c r="J86" s="75"/>
    </row>
    <row r="87" spans="2:10" ht="15.75" thickBot="1" x14ac:dyDescent="0.3">
      <c r="B87" s="75"/>
      <c r="C87" s="75"/>
      <c r="D87" s="75"/>
      <c r="E87" s="122" t="s">
        <v>30</v>
      </c>
      <c r="F87" s="123"/>
      <c r="G87" s="127" t="e">
        <f>SUM(G83:G86)</f>
        <v>#REF!</v>
      </c>
      <c r="H87" s="160" t="s">
        <v>126</v>
      </c>
      <c r="I87" s="27"/>
      <c r="J87" s="75"/>
    </row>
    <row r="88" spans="2:10" ht="15.75" thickTop="1" x14ac:dyDescent="0.25">
      <c r="B88" s="75"/>
      <c r="C88" s="75"/>
      <c r="D88" s="75"/>
      <c r="E88" s="122"/>
      <c r="F88" s="123"/>
      <c r="G88" s="159" t="s">
        <v>263</v>
      </c>
      <c r="H88" s="27"/>
      <c r="I88" s="27"/>
      <c r="J88" s="75"/>
    </row>
    <row r="89" spans="2:10" ht="15.75" thickBot="1" x14ac:dyDescent="0.3">
      <c r="B89" s="161" t="s">
        <v>128</v>
      </c>
      <c r="C89" s="161" t="s">
        <v>321</v>
      </c>
      <c r="D89" s="149"/>
      <c r="E89" s="162"/>
      <c r="F89" s="243" t="s">
        <v>26</v>
      </c>
      <c r="G89" s="244">
        <f>2000000+400000+1700000+560000+700000</f>
        <v>5360000</v>
      </c>
      <c r="H89" s="165" t="s">
        <v>126</v>
      </c>
      <c r="I89" s="149"/>
      <c r="J89" s="245">
        <f>SUM(G89:G90)</f>
        <v>14390000</v>
      </c>
    </row>
    <row r="90" spans="2:10" ht="16.5" thickTop="1" thickBot="1" x14ac:dyDescent="0.3">
      <c r="B90" s="161"/>
      <c r="C90" s="161" t="s">
        <v>322</v>
      </c>
      <c r="D90" s="162"/>
      <c r="E90" s="161"/>
      <c r="F90" s="243" t="s">
        <v>26</v>
      </c>
      <c r="G90" s="164">
        <f>1845000+2000000+1185000+2000000+2000000</f>
        <v>9030000</v>
      </c>
      <c r="H90" s="165" t="s">
        <v>126</v>
      </c>
      <c r="I90" s="149"/>
      <c r="J90" s="162"/>
    </row>
    <row r="91" spans="2:10" ht="15.75" thickTop="1" x14ac:dyDescent="0.25">
      <c r="B91" s="27"/>
      <c r="C91" s="27"/>
      <c r="D91" s="27"/>
      <c r="E91" s="27"/>
      <c r="F91" s="27"/>
      <c r="G91" s="27"/>
      <c r="H91" s="403" t="s">
        <v>362</v>
      </c>
      <c r="I91" s="403"/>
      <c r="J91" s="27"/>
    </row>
    <row r="92" spans="2:10" x14ac:dyDescent="0.25">
      <c r="B92" s="27"/>
      <c r="C92" s="27"/>
      <c r="D92" s="27"/>
      <c r="E92" s="27"/>
      <c r="F92" s="27"/>
      <c r="G92" s="166" t="e">
        <f>G72-G83</f>
        <v>#REF!</v>
      </c>
      <c r="H92" s="27"/>
      <c r="I92" s="27"/>
      <c r="J92" s="27"/>
    </row>
    <row r="93" spans="2:10" ht="15.75" thickBot="1" x14ac:dyDescent="0.3">
      <c r="B93" s="27"/>
      <c r="C93" s="27"/>
      <c r="D93" s="27"/>
      <c r="E93" s="27"/>
      <c r="F93" s="27"/>
      <c r="G93" s="27" t="s">
        <v>133</v>
      </c>
      <c r="H93" s="27"/>
      <c r="I93" s="27"/>
      <c r="J93" s="128" t="e">
        <f>G83+G86</f>
        <v>#REF!</v>
      </c>
    </row>
    <row r="94" spans="2:10" ht="15.75" thickTop="1" x14ac:dyDescent="0.25">
      <c r="B94" s="27"/>
      <c r="C94" s="27"/>
      <c r="D94" s="27"/>
      <c r="E94" s="27"/>
      <c r="F94" s="27"/>
      <c r="G94" s="27"/>
      <c r="H94" s="27"/>
      <c r="I94" s="27"/>
      <c r="J94" s="166"/>
    </row>
    <row r="95" spans="2:10" ht="15.75" thickBot="1" x14ac:dyDescent="0.3">
      <c r="B95" s="27"/>
      <c r="C95" s="27"/>
      <c r="D95" s="27"/>
      <c r="E95" s="27"/>
      <c r="F95" s="27"/>
      <c r="G95" s="27"/>
      <c r="H95" s="27"/>
      <c r="I95" s="27"/>
      <c r="J95" s="128" t="e">
        <f>G87+G89+G90</f>
        <v>#REF!</v>
      </c>
    </row>
    <row r="96" spans="2:10" ht="15.75" thickTop="1" x14ac:dyDescent="0.25">
      <c r="B96" s="27"/>
      <c r="C96" s="27"/>
      <c r="D96" s="27"/>
      <c r="E96" s="27"/>
      <c r="F96" s="27"/>
      <c r="G96" s="27"/>
      <c r="H96" s="27"/>
      <c r="I96" s="27"/>
      <c r="J96" s="27"/>
    </row>
    <row r="97" spans="2:10" x14ac:dyDescent="0.25">
      <c r="B97" s="129"/>
      <c r="C97" s="129"/>
      <c r="D97" s="129"/>
      <c r="E97" s="129"/>
      <c r="F97" s="129"/>
      <c r="G97" s="129"/>
      <c r="H97" s="129"/>
      <c r="I97" s="129"/>
      <c r="J97" s="129"/>
    </row>
    <row r="98" spans="2:10" x14ac:dyDescent="0.25">
      <c r="B98" s="27"/>
      <c r="C98" s="27"/>
      <c r="D98" s="27"/>
      <c r="E98" s="27"/>
      <c r="F98" s="27"/>
      <c r="G98" s="27"/>
      <c r="H98" s="27"/>
      <c r="I98" s="27"/>
      <c r="J98" s="75"/>
    </row>
    <row r="99" spans="2:10" x14ac:dyDescent="0.25">
      <c r="B99" s="406" t="s">
        <v>355</v>
      </c>
      <c r="C99" s="406"/>
      <c r="D99" s="406"/>
      <c r="E99" s="406"/>
      <c r="F99" s="406"/>
      <c r="G99" s="406"/>
      <c r="H99" s="406"/>
      <c r="I99" s="406"/>
      <c r="J99" s="75"/>
    </row>
    <row r="100" spans="2:10" ht="15.75" thickBot="1" x14ac:dyDescent="0.3">
      <c r="B100" s="406" t="s">
        <v>363</v>
      </c>
      <c r="C100" s="406"/>
      <c r="D100" s="406"/>
      <c r="E100" s="406"/>
      <c r="F100" s="406"/>
      <c r="G100" s="406"/>
      <c r="H100" s="406"/>
      <c r="I100" s="406"/>
      <c r="J100" s="78"/>
    </row>
    <row r="101" spans="2:10" x14ac:dyDescent="0.25">
      <c r="B101" s="407" t="s">
        <v>2</v>
      </c>
      <c r="C101" s="409" t="s">
        <v>3</v>
      </c>
      <c r="D101" s="411" t="s">
        <v>4</v>
      </c>
      <c r="E101" s="413" t="s">
        <v>5</v>
      </c>
      <c r="F101" s="414"/>
      <c r="G101" s="415"/>
      <c r="H101" s="413" t="s">
        <v>6</v>
      </c>
      <c r="I101" s="415"/>
      <c r="J101" s="416" t="s">
        <v>0</v>
      </c>
    </row>
    <row r="102" spans="2:10" ht="15.75" thickBot="1" x14ac:dyDescent="0.3">
      <c r="B102" s="408"/>
      <c r="C102" s="410"/>
      <c r="D102" s="412"/>
      <c r="E102" s="145" t="str">
        <f>E6</f>
        <v>PENJ. S/D TGL. 30</v>
      </c>
      <c r="F102" s="146" t="str">
        <f>F6</f>
        <v>PENJ. TGL. 31</v>
      </c>
      <c r="G102" s="130" t="s">
        <v>7</v>
      </c>
      <c r="H102" s="131" t="s">
        <v>8</v>
      </c>
      <c r="I102" s="130" t="s">
        <v>9</v>
      </c>
      <c r="J102" s="417"/>
    </row>
    <row r="103" spans="2:10" ht="15.75" thickTop="1" x14ac:dyDescent="0.25">
      <c r="B103" s="132"/>
      <c r="C103" s="133" t="s">
        <v>11</v>
      </c>
      <c r="D103" s="82"/>
      <c r="E103" s="42"/>
      <c r="F103" s="42"/>
      <c r="G103" s="41"/>
      <c r="H103" s="42"/>
      <c r="I103" s="42"/>
      <c r="J103" s="83"/>
    </row>
    <row r="104" spans="2:10" x14ac:dyDescent="0.25">
      <c r="B104" s="43" t="s">
        <v>12</v>
      </c>
      <c r="C104" s="44" t="s">
        <v>13</v>
      </c>
      <c r="D104" s="134">
        <v>13500000</v>
      </c>
      <c r="E104" s="45"/>
      <c r="F104" s="45"/>
      <c r="G104" s="59"/>
      <c r="H104" s="45"/>
      <c r="I104" s="45"/>
      <c r="J104" s="84"/>
    </row>
    <row r="105" spans="2:10" x14ac:dyDescent="0.25">
      <c r="B105" s="46"/>
      <c r="C105" s="47" t="s">
        <v>36</v>
      </c>
      <c r="D105" s="85">
        <v>0</v>
      </c>
      <c r="E105" s="48">
        <v>5723000</v>
      </c>
      <c r="F105" s="61">
        <f>100000+100000</f>
        <v>200000</v>
      </c>
      <c r="G105" s="61">
        <f>E105+F105</f>
        <v>5923000</v>
      </c>
      <c r="H105" s="85">
        <f>G105-D105</f>
        <v>5923000</v>
      </c>
      <c r="I105" s="86" t="e">
        <f>G105/D105%</f>
        <v>#DIV/0!</v>
      </c>
      <c r="J105" s="87"/>
    </row>
    <row r="106" spans="2:10" x14ac:dyDescent="0.25">
      <c r="B106" s="46"/>
      <c r="C106" s="47" t="s">
        <v>37</v>
      </c>
      <c r="D106" s="85">
        <v>0</v>
      </c>
      <c r="E106" s="48">
        <v>514000</v>
      </c>
      <c r="F106" s="61">
        <v>0</v>
      </c>
      <c r="G106" s="61">
        <f t="shared" ref="G106:G124" si="10">E106+F106</f>
        <v>514000</v>
      </c>
      <c r="H106" s="85">
        <f>G106-D106</f>
        <v>514000</v>
      </c>
      <c r="I106" s="86" t="e">
        <f>G106/D106%</f>
        <v>#DIV/0!</v>
      </c>
      <c r="J106" s="87"/>
    </row>
    <row r="107" spans="2:10" x14ac:dyDescent="0.25">
      <c r="B107" s="46"/>
      <c r="C107" s="47" t="s">
        <v>52</v>
      </c>
      <c r="D107" s="85">
        <v>0</v>
      </c>
      <c r="E107" s="48">
        <v>0</v>
      </c>
      <c r="F107" s="61">
        <v>0</v>
      </c>
      <c r="G107" s="61">
        <f t="shared" si="10"/>
        <v>0</v>
      </c>
      <c r="H107" s="85"/>
      <c r="I107" s="86"/>
      <c r="J107" s="87"/>
    </row>
    <row r="108" spans="2:10" x14ac:dyDescent="0.25">
      <c r="B108" s="46"/>
      <c r="C108" s="47" t="s">
        <v>53</v>
      </c>
      <c r="D108" s="85">
        <v>0</v>
      </c>
      <c r="E108" s="48">
        <v>942000</v>
      </c>
      <c r="F108" s="61">
        <v>0</v>
      </c>
      <c r="G108" s="61">
        <f t="shared" si="10"/>
        <v>942000</v>
      </c>
      <c r="H108" s="85">
        <f t="shared" ref="H108:H124" si="11">G108-D108</f>
        <v>942000</v>
      </c>
      <c r="I108" s="86" t="e">
        <f t="shared" ref="I108:I123" si="12">G108/D108%</f>
        <v>#DIV/0!</v>
      </c>
      <c r="J108" s="87"/>
    </row>
    <row r="109" spans="2:10" x14ac:dyDescent="0.25">
      <c r="B109" s="46"/>
      <c r="C109" s="47" t="s">
        <v>54</v>
      </c>
      <c r="D109" s="85"/>
      <c r="E109" s="48">
        <v>100000</v>
      </c>
      <c r="F109" s="61">
        <v>0</v>
      </c>
      <c r="G109" s="61">
        <f t="shared" si="10"/>
        <v>100000</v>
      </c>
      <c r="H109" s="85">
        <f t="shared" si="11"/>
        <v>100000</v>
      </c>
      <c r="I109" s="86" t="e">
        <f t="shared" si="12"/>
        <v>#DIV/0!</v>
      </c>
      <c r="J109" s="88"/>
    </row>
    <row r="110" spans="2:10" x14ac:dyDescent="0.25">
      <c r="B110" s="46"/>
      <c r="C110" s="47" t="s">
        <v>55</v>
      </c>
      <c r="D110" s="85">
        <v>0</v>
      </c>
      <c r="E110" s="48">
        <v>410000</v>
      </c>
      <c r="F110" s="61">
        <v>0</v>
      </c>
      <c r="G110" s="61">
        <f t="shared" si="10"/>
        <v>410000</v>
      </c>
      <c r="H110" s="85">
        <f t="shared" si="11"/>
        <v>410000</v>
      </c>
      <c r="I110" s="86" t="e">
        <f t="shared" si="12"/>
        <v>#DIV/0!</v>
      </c>
      <c r="J110" s="88"/>
    </row>
    <row r="111" spans="2:10" x14ac:dyDescent="0.25">
      <c r="B111" s="46"/>
      <c r="C111" s="47" t="s">
        <v>56</v>
      </c>
      <c r="D111" s="85">
        <v>0</v>
      </c>
      <c r="E111" s="48">
        <v>100000</v>
      </c>
      <c r="F111" s="61">
        <v>0</v>
      </c>
      <c r="G111" s="61">
        <f t="shared" si="10"/>
        <v>100000</v>
      </c>
      <c r="H111" s="85">
        <f t="shared" si="11"/>
        <v>100000</v>
      </c>
      <c r="I111" s="86" t="e">
        <f t="shared" si="12"/>
        <v>#DIV/0!</v>
      </c>
      <c r="J111" s="87"/>
    </row>
    <row r="112" spans="2:10" x14ac:dyDescent="0.25">
      <c r="B112" s="46"/>
      <c r="C112" s="47" t="s">
        <v>57</v>
      </c>
      <c r="D112" s="85">
        <v>0</v>
      </c>
      <c r="E112" s="48">
        <v>1390000</v>
      </c>
      <c r="F112" s="61">
        <v>0</v>
      </c>
      <c r="G112" s="61">
        <f t="shared" si="10"/>
        <v>1390000</v>
      </c>
      <c r="H112" s="85">
        <f t="shared" si="11"/>
        <v>1390000</v>
      </c>
      <c r="I112" s="86" t="e">
        <f t="shared" si="12"/>
        <v>#DIV/0!</v>
      </c>
      <c r="J112" s="87"/>
    </row>
    <row r="113" spans="2:10" x14ac:dyDescent="0.25">
      <c r="B113" s="46"/>
      <c r="C113" s="47" t="s">
        <v>58</v>
      </c>
      <c r="D113" s="85">
        <v>0</v>
      </c>
      <c r="E113" s="48">
        <v>686000</v>
      </c>
      <c r="F113" s="61">
        <v>50000</v>
      </c>
      <c r="G113" s="61">
        <f t="shared" si="10"/>
        <v>736000</v>
      </c>
      <c r="H113" s="85">
        <f t="shared" si="11"/>
        <v>736000</v>
      </c>
      <c r="I113" s="86" t="e">
        <f t="shared" si="12"/>
        <v>#DIV/0!</v>
      </c>
      <c r="J113" s="87"/>
    </row>
    <row r="114" spans="2:10" x14ac:dyDescent="0.25">
      <c r="B114" s="46"/>
      <c r="C114" s="47" t="s">
        <v>59</v>
      </c>
      <c r="D114" s="85">
        <v>0</v>
      </c>
      <c r="E114" s="48">
        <v>220000</v>
      </c>
      <c r="F114" s="61">
        <v>0</v>
      </c>
      <c r="G114" s="61">
        <f t="shared" si="10"/>
        <v>220000</v>
      </c>
      <c r="H114" s="85">
        <f t="shared" si="11"/>
        <v>220000</v>
      </c>
      <c r="I114" s="86" t="e">
        <f t="shared" si="12"/>
        <v>#DIV/0!</v>
      </c>
      <c r="J114" s="87"/>
    </row>
    <row r="115" spans="2:10" x14ac:dyDescent="0.25">
      <c r="B115" s="46"/>
      <c r="C115" s="47" t="s">
        <v>60</v>
      </c>
      <c r="D115" s="85">
        <v>0</v>
      </c>
      <c r="E115" s="48">
        <v>20000</v>
      </c>
      <c r="F115" s="61">
        <v>0</v>
      </c>
      <c r="G115" s="61">
        <f t="shared" si="10"/>
        <v>20000</v>
      </c>
      <c r="H115" s="85">
        <f t="shared" si="11"/>
        <v>20000</v>
      </c>
      <c r="I115" s="86" t="e">
        <f t="shared" si="12"/>
        <v>#DIV/0!</v>
      </c>
      <c r="J115" s="87"/>
    </row>
    <row r="116" spans="2:10" x14ac:dyDescent="0.25">
      <c r="B116" s="46"/>
      <c r="C116" s="47" t="s">
        <v>61</v>
      </c>
      <c r="D116" s="85">
        <v>0</v>
      </c>
      <c r="E116" s="48">
        <v>300000</v>
      </c>
      <c r="F116" s="61">
        <v>0</v>
      </c>
      <c r="G116" s="61">
        <f t="shared" si="10"/>
        <v>300000</v>
      </c>
      <c r="H116" s="85">
        <f t="shared" si="11"/>
        <v>300000</v>
      </c>
      <c r="I116" s="86" t="e">
        <f t="shared" si="12"/>
        <v>#DIV/0!</v>
      </c>
      <c r="J116" s="87"/>
    </row>
    <row r="117" spans="2:10" x14ac:dyDescent="0.25">
      <c r="B117" s="46"/>
      <c r="C117" s="47" t="s">
        <v>324</v>
      </c>
      <c r="D117" s="85">
        <v>0</v>
      </c>
      <c r="E117" s="48">
        <v>0</v>
      </c>
      <c r="F117" s="61">
        <v>0</v>
      </c>
      <c r="G117" s="61">
        <f t="shared" si="10"/>
        <v>0</v>
      </c>
      <c r="H117" s="85">
        <f t="shared" si="11"/>
        <v>0</v>
      </c>
      <c r="I117" s="86" t="e">
        <f t="shared" si="12"/>
        <v>#DIV/0!</v>
      </c>
      <c r="J117" s="87"/>
    </row>
    <row r="118" spans="2:10" x14ac:dyDescent="0.25">
      <c r="B118" s="46"/>
      <c r="C118" s="47" t="s">
        <v>63</v>
      </c>
      <c r="D118" s="85">
        <v>0</v>
      </c>
      <c r="E118" s="48">
        <v>0</v>
      </c>
      <c r="F118" s="61">
        <v>0</v>
      </c>
      <c r="G118" s="61">
        <f t="shared" si="10"/>
        <v>0</v>
      </c>
      <c r="H118" s="85">
        <f t="shared" si="11"/>
        <v>0</v>
      </c>
      <c r="I118" s="86" t="e">
        <f t="shared" si="12"/>
        <v>#DIV/0!</v>
      </c>
      <c r="J118" s="87"/>
    </row>
    <row r="119" spans="2:10" x14ac:dyDescent="0.25">
      <c r="B119" s="46"/>
      <c r="C119" s="47" t="s">
        <v>64</v>
      </c>
      <c r="D119" s="85">
        <v>0</v>
      </c>
      <c r="E119" s="48">
        <v>0</v>
      </c>
      <c r="F119" s="61">
        <v>0</v>
      </c>
      <c r="G119" s="61">
        <f t="shared" si="10"/>
        <v>0</v>
      </c>
      <c r="H119" s="85">
        <f t="shared" si="11"/>
        <v>0</v>
      </c>
      <c r="I119" s="86" t="e">
        <f t="shared" si="12"/>
        <v>#DIV/0!</v>
      </c>
      <c r="J119" s="87"/>
    </row>
    <row r="120" spans="2:10" x14ac:dyDescent="0.25">
      <c r="B120" s="46"/>
      <c r="C120" s="47" t="s">
        <v>65</v>
      </c>
      <c r="D120" s="85">
        <v>0</v>
      </c>
      <c r="E120" s="48">
        <v>0</v>
      </c>
      <c r="F120" s="61">
        <v>0</v>
      </c>
      <c r="G120" s="61">
        <f t="shared" si="10"/>
        <v>0</v>
      </c>
      <c r="H120" s="85">
        <f t="shared" si="11"/>
        <v>0</v>
      </c>
      <c r="I120" s="86" t="e">
        <f t="shared" si="12"/>
        <v>#DIV/0!</v>
      </c>
      <c r="J120" s="87"/>
    </row>
    <row r="121" spans="2:10" x14ac:dyDescent="0.25">
      <c r="B121" s="46"/>
      <c r="C121" s="47" t="s">
        <v>66</v>
      </c>
      <c r="D121" s="85">
        <v>0</v>
      </c>
      <c r="E121" s="48">
        <v>0</v>
      </c>
      <c r="F121" s="61">
        <v>0</v>
      </c>
      <c r="G121" s="61">
        <f t="shared" si="10"/>
        <v>0</v>
      </c>
      <c r="H121" s="85">
        <f t="shared" si="11"/>
        <v>0</v>
      </c>
      <c r="I121" s="86" t="e">
        <f t="shared" si="12"/>
        <v>#DIV/0!</v>
      </c>
      <c r="J121" s="87"/>
    </row>
    <row r="122" spans="2:10" x14ac:dyDescent="0.25">
      <c r="B122" s="46"/>
      <c r="C122" s="47" t="s">
        <v>67</v>
      </c>
      <c r="D122" s="85">
        <v>0</v>
      </c>
      <c r="E122" s="48">
        <v>0</v>
      </c>
      <c r="F122" s="61">
        <v>0</v>
      </c>
      <c r="G122" s="61">
        <f t="shared" si="10"/>
        <v>0</v>
      </c>
      <c r="H122" s="85">
        <f t="shared" si="11"/>
        <v>0</v>
      </c>
      <c r="I122" s="86" t="e">
        <f t="shared" si="12"/>
        <v>#DIV/0!</v>
      </c>
      <c r="J122" s="87"/>
    </row>
    <row r="123" spans="2:10" x14ac:dyDescent="0.25">
      <c r="B123" s="46"/>
      <c r="C123" s="47" t="s">
        <v>68</v>
      </c>
      <c r="D123" s="85">
        <v>0</v>
      </c>
      <c r="E123" s="48">
        <v>0</v>
      </c>
      <c r="F123" s="61">
        <v>0</v>
      </c>
      <c r="G123" s="61">
        <f t="shared" si="10"/>
        <v>0</v>
      </c>
      <c r="H123" s="85">
        <f t="shared" si="11"/>
        <v>0</v>
      </c>
      <c r="I123" s="86" t="e">
        <f t="shared" si="12"/>
        <v>#DIV/0!</v>
      </c>
      <c r="J123" s="87"/>
    </row>
    <row r="124" spans="2:10" x14ac:dyDescent="0.25">
      <c r="B124" s="46"/>
      <c r="C124" s="47" t="s">
        <v>69</v>
      </c>
      <c r="D124" s="85">
        <v>0</v>
      </c>
      <c r="E124" s="48">
        <v>0</v>
      </c>
      <c r="F124" s="61">
        <v>0</v>
      </c>
      <c r="G124" s="61">
        <f t="shared" si="10"/>
        <v>0</v>
      </c>
      <c r="H124" s="85">
        <f t="shared" si="11"/>
        <v>0</v>
      </c>
      <c r="I124" s="86"/>
      <c r="J124" s="87"/>
    </row>
    <row r="125" spans="2:10" x14ac:dyDescent="0.25">
      <c r="B125" s="46"/>
      <c r="C125" s="47"/>
      <c r="D125" s="47"/>
      <c r="E125" s="61"/>
      <c r="F125" s="61"/>
      <c r="G125" s="61"/>
      <c r="H125" s="85"/>
      <c r="I125" s="86"/>
      <c r="J125" s="87"/>
    </row>
    <row r="126" spans="2:10" x14ac:dyDescent="0.25">
      <c r="B126" s="46"/>
      <c r="C126" s="60" t="s">
        <v>14</v>
      </c>
      <c r="D126" s="135">
        <f>D104</f>
        <v>13500000</v>
      </c>
      <c r="E126" s="89">
        <f>SUM(E105:E124)</f>
        <v>10405000</v>
      </c>
      <c r="F126" s="89">
        <f>SUM(F105:F124)</f>
        <v>250000</v>
      </c>
      <c r="G126" s="89">
        <f>SUM(G105:G124)</f>
        <v>10655000</v>
      </c>
      <c r="H126" s="90">
        <f>SUM(H105:H118)</f>
        <v>10655000</v>
      </c>
      <c r="I126" s="91">
        <f>G126/D126%</f>
        <v>78.925925925925924</v>
      </c>
      <c r="J126" s="87"/>
    </row>
    <row r="127" spans="2:10" x14ac:dyDescent="0.25">
      <c r="B127" s="46"/>
      <c r="C127" s="47"/>
      <c r="D127" s="47"/>
      <c r="E127" s="61"/>
      <c r="F127" s="62"/>
      <c r="G127" s="61"/>
      <c r="H127" s="85"/>
      <c r="I127" s="85"/>
      <c r="J127" s="87"/>
    </row>
    <row r="128" spans="2:10" x14ac:dyDescent="0.25">
      <c r="B128" s="46" t="s">
        <v>15</v>
      </c>
      <c r="C128" s="60" t="s">
        <v>16</v>
      </c>
      <c r="D128" s="134">
        <v>4500000</v>
      </c>
      <c r="E128" s="61"/>
      <c r="F128" s="62"/>
      <c r="G128" s="61"/>
      <c r="H128" s="85"/>
      <c r="I128" s="85"/>
      <c r="J128" s="87"/>
    </row>
    <row r="129" spans="2:10" x14ac:dyDescent="0.25">
      <c r="B129" s="46"/>
      <c r="C129" s="47" t="s">
        <v>38</v>
      </c>
      <c r="D129" s="85">
        <v>0</v>
      </c>
      <c r="E129" s="48">
        <v>0</v>
      </c>
      <c r="F129" s="61">
        <v>0</v>
      </c>
      <c r="G129" s="61">
        <f t="shared" ref="G129:G145" si="13">E129+F129</f>
        <v>0</v>
      </c>
      <c r="H129" s="85">
        <f t="shared" ref="H129:H145" si="14">G129-D129</f>
        <v>0</v>
      </c>
      <c r="I129" s="86" t="e">
        <f t="shared" ref="I129:I145" si="15">G129/D129%</f>
        <v>#DIV/0!</v>
      </c>
      <c r="J129" s="87"/>
    </row>
    <row r="130" spans="2:10" x14ac:dyDescent="0.25">
      <c r="B130" s="46"/>
      <c r="C130" s="47" t="s">
        <v>39</v>
      </c>
      <c r="D130" s="85">
        <v>0</v>
      </c>
      <c r="E130" s="48">
        <v>503000</v>
      </c>
      <c r="F130" s="61">
        <v>5000</v>
      </c>
      <c r="G130" s="61">
        <f t="shared" si="13"/>
        <v>508000</v>
      </c>
      <c r="H130" s="85">
        <f t="shared" si="14"/>
        <v>508000</v>
      </c>
      <c r="I130" s="86" t="e">
        <f t="shared" si="15"/>
        <v>#DIV/0!</v>
      </c>
      <c r="J130" s="87"/>
    </row>
    <row r="131" spans="2:10" x14ac:dyDescent="0.25">
      <c r="B131" s="46"/>
      <c r="C131" s="47" t="s">
        <v>40</v>
      </c>
      <c r="D131" s="85">
        <v>0</v>
      </c>
      <c r="E131" s="48">
        <v>220000</v>
      </c>
      <c r="F131" s="61">
        <v>0</v>
      </c>
      <c r="G131" s="61">
        <f t="shared" si="13"/>
        <v>220000</v>
      </c>
      <c r="H131" s="85">
        <f t="shared" si="14"/>
        <v>220000</v>
      </c>
      <c r="I131" s="86" t="e">
        <f t="shared" si="15"/>
        <v>#DIV/0!</v>
      </c>
      <c r="J131" s="87"/>
    </row>
    <row r="132" spans="2:10" x14ac:dyDescent="0.25">
      <c r="B132" s="46"/>
      <c r="C132" s="47" t="s">
        <v>41</v>
      </c>
      <c r="D132" s="85">
        <v>0</v>
      </c>
      <c r="E132" s="48">
        <v>50000</v>
      </c>
      <c r="F132" s="61">
        <v>0</v>
      </c>
      <c r="G132" s="61">
        <f t="shared" si="13"/>
        <v>50000</v>
      </c>
      <c r="H132" s="85">
        <f t="shared" si="14"/>
        <v>50000</v>
      </c>
      <c r="I132" s="86" t="e">
        <f t="shared" si="15"/>
        <v>#DIV/0!</v>
      </c>
      <c r="J132" s="87"/>
    </row>
    <row r="133" spans="2:10" x14ac:dyDescent="0.25">
      <c r="B133" s="46"/>
      <c r="C133" s="47" t="s">
        <v>50</v>
      </c>
      <c r="D133" s="85">
        <v>0</v>
      </c>
      <c r="E133" s="48">
        <v>0</v>
      </c>
      <c r="F133" s="61">
        <v>0</v>
      </c>
      <c r="G133" s="61">
        <f t="shared" si="13"/>
        <v>0</v>
      </c>
      <c r="H133" s="85">
        <f t="shared" si="14"/>
        <v>0</v>
      </c>
      <c r="I133" s="86" t="e">
        <f t="shared" si="15"/>
        <v>#DIV/0!</v>
      </c>
      <c r="J133" s="87"/>
    </row>
    <row r="134" spans="2:10" x14ac:dyDescent="0.25">
      <c r="B134" s="46"/>
      <c r="C134" s="47" t="s">
        <v>51</v>
      </c>
      <c r="D134" s="85">
        <v>0</v>
      </c>
      <c r="E134" s="48">
        <v>0</v>
      </c>
      <c r="F134" s="61">
        <v>0</v>
      </c>
      <c r="G134" s="61">
        <f t="shared" si="13"/>
        <v>0</v>
      </c>
      <c r="H134" s="85">
        <f t="shared" si="14"/>
        <v>0</v>
      </c>
      <c r="I134" s="86" t="e">
        <f t="shared" si="15"/>
        <v>#DIV/0!</v>
      </c>
      <c r="J134" s="87"/>
    </row>
    <row r="135" spans="2:10" x14ac:dyDescent="0.25">
      <c r="B135" s="46"/>
      <c r="C135" s="47" t="s">
        <v>49</v>
      </c>
      <c r="D135" s="85">
        <v>0</v>
      </c>
      <c r="E135" s="48">
        <v>0</v>
      </c>
      <c r="F135" s="61">
        <v>0</v>
      </c>
      <c r="G135" s="61">
        <f t="shared" si="13"/>
        <v>0</v>
      </c>
      <c r="H135" s="85">
        <f t="shared" si="14"/>
        <v>0</v>
      </c>
      <c r="I135" s="86" t="e">
        <f t="shared" si="15"/>
        <v>#DIV/0!</v>
      </c>
      <c r="J135" s="87"/>
    </row>
    <row r="136" spans="2:10" x14ac:dyDescent="0.25">
      <c r="B136" s="46"/>
      <c r="C136" s="47" t="s">
        <v>79</v>
      </c>
      <c r="D136" s="85">
        <v>0</v>
      </c>
      <c r="E136" s="48">
        <v>0</v>
      </c>
      <c r="F136" s="61">
        <v>0</v>
      </c>
      <c r="G136" s="61">
        <f t="shared" si="13"/>
        <v>0</v>
      </c>
      <c r="H136" s="85">
        <f t="shared" si="14"/>
        <v>0</v>
      </c>
      <c r="I136" s="86" t="e">
        <f t="shared" si="15"/>
        <v>#DIV/0!</v>
      </c>
      <c r="J136" s="87"/>
    </row>
    <row r="137" spans="2:10" x14ac:dyDescent="0.25">
      <c r="B137" s="46"/>
      <c r="C137" s="47" t="s">
        <v>71</v>
      </c>
      <c r="D137" s="85">
        <v>0</v>
      </c>
      <c r="E137" s="48">
        <v>1360000</v>
      </c>
      <c r="F137" s="61">
        <f>70000+120000</f>
        <v>190000</v>
      </c>
      <c r="G137" s="61">
        <f t="shared" si="13"/>
        <v>1550000</v>
      </c>
      <c r="H137" s="85">
        <f t="shared" si="14"/>
        <v>1550000</v>
      </c>
      <c r="I137" s="86" t="e">
        <f t="shared" si="15"/>
        <v>#DIV/0!</v>
      </c>
      <c r="J137" s="87"/>
    </row>
    <row r="138" spans="2:10" x14ac:dyDescent="0.25">
      <c r="B138" s="46"/>
      <c r="C138" s="47" t="s">
        <v>72</v>
      </c>
      <c r="D138" s="85">
        <v>0</v>
      </c>
      <c r="E138" s="48">
        <v>80000</v>
      </c>
      <c r="F138" s="61">
        <v>0</v>
      </c>
      <c r="G138" s="61">
        <f t="shared" si="13"/>
        <v>80000</v>
      </c>
      <c r="H138" s="85">
        <f t="shared" si="14"/>
        <v>80000</v>
      </c>
      <c r="I138" s="86" t="e">
        <f t="shared" si="15"/>
        <v>#DIV/0!</v>
      </c>
      <c r="J138" s="87"/>
    </row>
    <row r="139" spans="2:10" x14ac:dyDescent="0.25">
      <c r="B139" s="46"/>
      <c r="C139" s="47" t="s">
        <v>70</v>
      </c>
      <c r="D139" s="85">
        <v>0</v>
      </c>
      <c r="E139" s="48">
        <v>0</v>
      </c>
      <c r="F139" s="61">
        <v>0</v>
      </c>
      <c r="G139" s="61">
        <f>E139+F139</f>
        <v>0</v>
      </c>
      <c r="H139" s="85">
        <f t="shared" si="14"/>
        <v>0</v>
      </c>
      <c r="I139" s="86" t="e">
        <f t="shared" si="15"/>
        <v>#DIV/0!</v>
      </c>
      <c r="J139" s="87"/>
    </row>
    <row r="140" spans="2:10" x14ac:dyDescent="0.25">
      <c r="B140" s="46"/>
      <c r="C140" s="47" t="s">
        <v>73</v>
      </c>
      <c r="D140" s="85">
        <v>0</v>
      </c>
      <c r="E140" s="48">
        <v>0</v>
      </c>
      <c r="F140" s="61">
        <v>0</v>
      </c>
      <c r="G140" s="61">
        <f t="shared" si="13"/>
        <v>0</v>
      </c>
      <c r="H140" s="85">
        <f t="shared" si="14"/>
        <v>0</v>
      </c>
      <c r="I140" s="86" t="e">
        <f t="shared" si="15"/>
        <v>#DIV/0!</v>
      </c>
      <c r="J140" s="87"/>
    </row>
    <row r="141" spans="2:10" x14ac:dyDescent="0.25">
      <c r="B141" s="46"/>
      <c r="C141" s="47" t="s">
        <v>74</v>
      </c>
      <c r="D141" s="85">
        <v>0</v>
      </c>
      <c r="E141" s="48">
        <v>0</v>
      </c>
      <c r="F141" s="61">
        <v>0</v>
      </c>
      <c r="G141" s="61">
        <f t="shared" si="13"/>
        <v>0</v>
      </c>
      <c r="H141" s="85">
        <f t="shared" si="14"/>
        <v>0</v>
      </c>
      <c r="I141" s="86" t="e">
        <f t="shared" si="15"/>
        <v>#DIV/0!</v>
      </c>
      <c r="J141" s="87"/>
    </row>
    <row r="142" spans="2:10" x14ac:dyDescent="0.25">
      <c r="B142" s="46"/>
      <c r="C142" s="47" t="s">
        <v>75</v>
      </c>
      <c r="D142" s="85">
        <v>0</v>
      </c>
      <c r="E142" s="48">
        <v>0</v>
      </c>
      <c r="F142" s="61">
        <v>0</v>
      </c>
      <c r="G142" s="61">
        <f t="shared" si="13"/>
        <v>0</v>
      </c>
      <c r="H142" s="85">
        <f t="shared" si="14"/>
        <v>0</v>
      </c>
      <c r="I142" s="86" t="e">
        <f t="shared" si="15"/>
        <v>#DIV/0!</v>
      </c>
      <c r="J142" s="87"/>
    </row>
    <row r="143" spans="2:10" x14ac:dyDescent="0.25">
      <c r="B143" s="46"/>
      <c r="C143" s="47" t="s">
        <v>76</v>
      </c>
      <c r="D143" s="85">
        <v>0</v>
      </c>
      <c r="E143" s="48">
        <v>0</v>
      </c>
      <c r="F143" s="61">
        <v>0</v>
      </c>
      <c r="G143" s="61">
        <f t="shared" si="13"/>
        <v>0</v>
      </c>
      <c r="H143" s="85">
        <f t="shared" si="14"/>
        <v>0</v>
      </c>
      <c r="I143" s="86" t="e">
        <f t="shared" si="15"/>
        <v>#DIV/0!</v>
      </c>
      <c r="J143" s="87"/>
    </row>
    <row r="144" spans="2:10" x14ac:dyDescent="0.25">
      <c r="B144" s="46"/>
      <c r="C144" s="47" t="s">
        <v>77</v>
      </c>
      <c r="D144" s="85">
        <v>0</v>
      </c>
      <c r="E144" s="48">
        <v>0</v>
      </c>
      <c r="F144" s="61">
        <v>0</v>
      </c>
      <c r="G144" s="61">
        <f t="shared" si="13"/>
        <v>0</v>
      </c>
      <c r="H144" s="85">
        <f t="shared" si="14"/>
        <v>0</v>
      </c>
      <c r="I144" s="86" t="e">
        <f t="shared" si="15"/>
        <v>#DIV/0!</v>
      </c>
      <c r="J144" s="87"/>
    </row>
    <row r="145" spans="2:10" x14ac:dyDescent="0.25">
      <c r="B145" s="46"/>
      <c r="C145" s="47" t="s">
        <v>323</v>
      </c>
      <c r="D145" s="85">
        <v>0</v>
      </c>
      <c r="E145" s="48">
        <v>0</v>
      </c>
      <c r="F145" s="61">
        <v>0</v>
      </c>
      <c r="G145" s="61">
        <f t="shared" si="13"/>
        <v>0</v>
      </c>
      <c r="H145" s="85">
        <f t="shared" si="14"/>
        <v>0</v>
      </c>
      <c r="I145" s="86" t="e">
        <f t="shared" si="15"/>
        <v>#DIV/0!</v>
      </c>
      <c r="J145" s="87"/>
    </row>
    <row r="146" spans="2:10" x14ac:dyDescent="0.25">
      <c r="B146" s="46"/>
      <c r="C146" s="47"/>
      <c r="D146" s="85"/>
      <c r="E146" s="61"/>
      <c r="F146" s="61"/>
      <c r="G146" s="61"/>
      <c r="H146" s="85"/>
      <c r="I146" s="85"/>
      <c r="J146" s="87"/>
    </row>
    <row r="147" spans="2:10" x14ac:dyDescent="0.25">
      <c r="B147" s="46"/>
      <c r="C147" s="60" t="s">
        <v>17</v>
      </c>
      <c r="D147" s="136">
        <f>D128</f>
        <v>4500000</v>
      </c>
      <c r="E147" s="89">
        <f>SUM(E129:E145)</f>
        <v>2213000</v>
      </c>
      <c r="F147" s="89">
        <f>SUM(F129:F145)</f>
        <v>195000</v>
      </c>
      <c r="G147" s="89">
        <f>SUM(G129:G145)</f>
        <v>2408000</v>
      </c>
      <c r="H147" s="90">
        <f>SUM(H129:H145)</f>
        <v>2408000</v>
      </c>
      <c r="I147" s="91">
        <f>G147/D147%</f>
        <v>53.511111111111113</v>
      </c>
      <c r="J147" s="87"/>
    </row>
    <row r="148" spans="2:10" x14ac:dyDescent="0.25">
      <c r="B148" s="46"/>
      <c r="C148" s="47"/>
      <c r="D148" s="47"/>
      <c r="E148" s="61"/>
      <c r="F148" s="62"/>
      <c r="G148" s="61"/>
      <c r="H148" s="85"/>
      <c r="I148" s="85"/>
      <c r="J148" s="87"/>
    </row>
    <row r="149" spans="2:10" x14ac:dyDescent="0.25">
      <c r="B149" s="46" t="s">
        <v>18</v>
      </c>
      <c r="C149" s="60" t="s">
        <v>19</v>
      </c>
      <c r="D149" s="134"/>
      <c r="E149" s="61"/>
      <c r="F149" s="62"/>
      <c r="G149" s="61"/>
      <c r="H149" s="85"/>
      <c r="I149" s="85"/>
      <c r="J149" s="87"/>
    </row>
    <row r="150" spans="2:10" x14ac:dyDescent="0.25">
      <c r="B150" s="46"/>
      <c r="C150" s="47" t="s">
        <v>42</v>
      </c>
      <c r="D150" s="85">
        <v>0</v>
      </c>
      <c r="E150" s="85">
        <v>0</v>
      </c>
      <c r="F150" s="61">
        <v>0</v>
      </c>
      <c r="G150" s="61">
        <f>E150+F150</f>
        <v>0</v>
      </c>
      <c r="H150" s="85">
        <f t="shared" ref="H150:H163" si="16">G150-D150</f>
        <v>0</v>
      </c>
      <c r="I150" s="86" t="e">
        <f t="shared" ref="I150:I163" si="17">G150/D150%</f>
        <v>#DIV/0!</v>
      </c>
      <c r="J150" s="87"/>
    </row>
    <row r="151" spans="2:10" x14ac:dyDescent="0.25">
      <c r="B151" s="46"/>
      <c r="C151" s="47" t="s">
        <v>43</v>
      </c>
      <c r="D151" s="85">
        <v>0</v>
      </c>
      <c r="E151" s="85">
        <v>0</v>
      </c>
      <c r="F151" s="61">
        <v>0</v>
      </c>
      <c r="G151" s="61">
        <f t="shared" ref="G151:G163" si="18">E151+F151</f>
        <v>0</v>
      </c>
      <c r="H151" s="85">
        <f t="shared" si="16"/>
        <v>0</v>
      </c>
      <c r="I151" s="86" t="e">
        <f t="shared" si="17"/>
        <v>#DIV/0!</v>
      </c>
      <c r="J151" s="87"/>
    </row>
    <row r="152" spans="2:10" x14ac:dyDescent="0.25">
      <c r="B152" s="46"/>
      <c r="C152" s="47" t="s">
        <v>44</v>
      </c>
      <c r="D152" s="85">
        <v>0</v>
      </c>
      <c r="E152" s="85">
        <v>10000</v>
      </c>
      <c r="F152" s="61">
        <v>0</v>
      </c>
      <c r="G152" s="61">
        <f t="shared" si="18"/>
        <v>10000</v>
      </c>
      <c r="H152" s="85">
        <f t="shared" si="16"/>
        <v>10000</v>
      </c>
      <c r="I152" s="86" t="e">
        <f t="shared" si="17"/>
        <v>#DIV/0!</v>
      </c>
      <c r="J152" s="87"/>
    </row>
    <row r="153" spans="2:10" x14ac:dyDescent="0.25">
      <c r="B153" s="46"/>
      <c r="C153" s="47" t="s">
        <v>45</v>
      </c>
      <c r="D153" s="85">
        <v>0</v>
      </c>
      <c r="E153" s="85">
        <v>0</v>
      </c>
      <c r="F153" s="61">
        <v>0</v>
      </c>
      <c r="G153" s="61">
        <f t="shared" si="18"/>
        <v>0</v>
      </c>
      <c r="H153" s="85">
        <f t="shared" si="16"/>
        <v>0</v>
      </c>
      <c r="I153" s="86" t="e">
        <f t="shared" si="17"/>
        <v>#DIV/0!</v>
      </c>
      <c r="J153" s="87"/>
    </row>
    <row r="154" spans="2:10" x14ac:dyDescent="0.25">
      <c r="B154" s="46"/>
      <c r="C154" s="47" t="s">
        <v>46</v>
      </c>
      <c r="D154" s="85">
        <v>0</v>
      </c>
      <c r="E154" s="85">
        <v>0</v>
      </c>
      <c r="F154" s="92">
        <v>0</v>
      </c>
      <c r="G154" s="61">
        <f t="shared" si="18"/>
        <v>0</v>
      </c>
      <c r="H154" s="85">
        <f t="shared" si="16"/>
        <v>0</v>
      </c>
      <c r="I154" s="86" t="e">
        <f t="shared" si="17"/>
        <v>#DIV/0!</v>
      </c>
      <c r="J154" s="87"/>
    </row>
    <row r="155" spans="2:10" x14ac:dyDescent="0.25">
      <c r="B155" s="46"/>
      <c r="C155" s="47" t="s">
        <v>88</v>
      </c>
      <c r="D155" s="85">
        <v>0</v>
      </c>
      <c r="E155" s="85">
        <v>0</v>
      </c>
      <c r="F155" s="61">
        <v>0</v>
      </c>
      <c r="G155" s="61">
        <f t="shared" si="18"/>
        <v>0</v>
      </c>
      <c r="H155" s="85">
        <f t="shared" si="16"/>
        <v>0</v>
      </c>
      <c r="I155" s="86" t="e">
        <f t="shared" si="17"/>
        <v>#DIV/0!</v>
      </c>
      <c r="J155" s="87"/>
    </row>
    <row r="156" spans="2:10" x14ac:dyDescent="0.25">
      <c r="B156" s="46"/>
      <c r="C156" s="47" t="s">
        <v>80</v>
      </c>
      <c r="D156" s="85">
        <v>0</v>
      </c>
      <c r="E156" s="85">
        <v>0</v>
      </c>
      <c r="F156" s="61">
        <v>0</v>
      </c>
      <c r="G156" s="61">
        <f t="shared" si="18"/>
        <v>0</v>
      </c>
      <c r="H156" s="85">
        <f t="shared" si="16"/>
        <v>0</v>
      </c>
      <c r="I156" s="86" t="e">
        <f t="shared" si="17"/>
        <v>#DIV/0!</v>
      </c>
      <c r="J156" s="87"/>
    </row>
    <row r="157" spans="2:10" x14ac:dyDescent="0.25">
      <c r="B157" s="46"/>
      <c r="C157" s="47" t="s">
        <v>86</v>
      </c>
      <c r="D157" s="85">
        <v>0</v>
      </c>
      <c r="E157" s="85">
        <v>40000</v>
      </c>
      <c r="F157" s="61">
        <v>0</v>
      </c>
      <c r="G157" s="61">
        <f t="shared" si="18"/>
        <v>40000</v>
      </c>
      <c r="H157" s="85">
        <f t="shared" si="16"/>
        <v>40000</v>
      </c>
      <c r="I157" s="86" t="e">
        <f t="shared" si="17"/>
        <v>#DIV/0!</v>
      </c>
      <c r="J157" s="87"/>
    </row>
    <row r="158" spans="2:10" x14ac:dyDescent="0.25">
      <c r="B158" s="46"/>
      <c r="C158" s="47" t="s">
        <v>87</v>
      </c>
      <c r="D158" s="85">
        <v>0</v>
      </c>
      <c r="E158" s="85">
        <v>150000</v>
      </c>
      <c r="F158" s="61">
        <v>0</v>
      </c>
      <c r="G158" s="61">
        <f t="shared" si="18"/>
        <v>150000</v>
      </c>
      <c r="H158" s="85">
        <f t="shared" si="16"/>
        <v>150000</v>
      </c>
      <c r="I158" s="86" t="e">
        <f t="shared" si="17"/>
        <v>#DIV/0!</v>
      </c>
      <c r="J158" s="87"/>
    </row>
    <row r="159" spans="2:10" x14ac:dyDescent="0.25">
      <c r="B159" s="46"/>
      <c r="C159" s="47" t="s">
        <v>81</v>
      </c>
      <c r="D159" s="85">
        <v>0</v>
      </c>
      <c r="E159" s="85">
        <v>0</v>
      </c>
      <c r="F159" s="61">
        <v>0</v>
      </c>
      <c r="G159" s="61">
        <f t="shared" si="18"/>
        <v>0</v>
      </c>
      <c r="H159" s="85">
        <f t="shared" si="16"/>
        <v>0</v>
      </c>
      <c r="I159" s="86" t="e">
        <f t="shared" si="17"/>
        <v>#DIV/0!</v>
      </c>
      <c r="J159" s="87"/>
    </row>
    <row r="160" spans="2:10" x14ac:dyDescent="0.25">
      <c r="B160" s="46"/>
      <c r="C160" s="47" t="s">
        <v>82</v>
      </c>
      <c r="D160" s="85">
        <v>0</v>
      </c>
      <c r="E160" s="85">
        <v>0</v>
      </c>
      <c r="F160" s="61">
        <v>0</v>
      </c>
      <c r="G160" s="61">
        <f t="shared" si="18"/>
        <v>0</v>
      </c>
      <c r="H160" s="85">
        <f t="shared" si="16"/>
        <v>0</v>
      </c>
      <c r="I160" s="86" t="e">
        <f t="shared" si="17"/>
        <v>#DIV/0!</v>
      </c>
      <c r="J160" s="87"/>
    </row>
    <row r="161" spans="2:10" x14ac:dyDescent="0.25">
      <c r="B161" s="46"/>
      <c r="C161" s="47" t="s">
        <v>83</v>
      </c>
      <c r="D161" s="85">
        <v>0</v>
      </c>
      <c r="E161" s="85">
        <v>0</v>
      </c>
      <c r="F161" s="61">
        <v>0</v>
      </c>
      <c r="G161" s="61">
        <f t="shared" si="18"/>
        <v>0</v>
      </c>
      <c r="H161" s="85">
        <f t="shared" si="16"/>
        <v>0</v>
      </c>
      <c r="I161" s="86" t="e">
        <f t="shared" si="17"/>
        <v>#DIV/0!</v>
      </c>
      <c r="J161" s="87"/>
    </row>
    <row r="162" spans="2:10" x14ac:dyDescent="0.25">
      <c r="B162" s="46"/>
      <c r="C162" s="47" t="s">
        <v>84</v>
      </c>
      <c r="D162" s="85">
        <v>0</v>
      </c>
      <c r="E162" s="85">
        <v>0</v>
      </c>
      <c r="F162" s="61">
        <v>0</v>
      </c>
      <c r="G162" s="61">
        <f t="shared" si="18"/>
        <v>0</v>
      </c>
      <c r="H162" s="85">
        <f t="shared" si="16"/>
        <v>0</v>
      </c>
      <c r="I162" s="86" t="e">
        <f t="shared" si="17"/>
        <v>#DIV/0!</v>
      </c>
      <c r="J162" s="87"/>
    </row>
    <row r="163" spans="2:10" x14ac:dyDescent="0.25">
      <c r="B163" s="46"/>
      <c r="C163" s="47" t="s">
        <v>85</v>
      </c>
      <c r="D163" s="85">
        <v>0</v>
      </c>
      <c r="E163" s="85">
        <v>0</v>
      </c>
      <c r="F163" s="61">
        <v>0</v>
      </c>
      <c r="G163" s="61">
        <f t="shared" si="18"/>
        <v>0</v>
      </c>
      <c r="H163" s="85">
        <f t="shared" si="16"/>
        <v>0</v>
      </c>
      <c r="I163" s="86" t="e">
        <f t="shared" si="17"/>
        <v>#DIV/0!</v>
      </c>
      <c r="J163" s="87"/>
    </row>
    <row r="164" spans="2:10" x14ac:dyDescent="0.25">
      <c r="B164" s="46"/>
      <c r="C164" s="47"/>
      <c r="D164" s="85"/>
      <c r="E164" s="61"/>
      <c r="F164" s="61"/>
      <c r="G164" s="61"/>
      <c r="H164" s="85"/>
      <c r="I164" s="85"/>
      <c r="J164" s="87"/>
    </row>
    <row r="165" spans="2:10" x14ac:dyDescent="0.25">
      <c r="B165" s="46"/>
      <c r="C165" s="60" t="s">
        <v>20</v>
      </c>
      <c r="D165" s="136">
        <f>D149</f>
        <v>0</v>
      </c>
      <c r="E165" s="89">
        <f>SUM(E150:E163)</f>
        <v>200000</v>
      </c>
      <c r="F165" s="89">
        <f>SUM(F150:F163)</f>
        <v>0</v>
      </c>
      <c r="G165" s="89">
        <f>SUM(G150:G163)</f>
        <v>200000</v>
      </c>
      <c r="H165" s="90">
        <f>SUM(H150:H159)</f>
        <v>200000</v>
      </c>
      <c r="I165" s="91" t="e">
        <f>G165/D165%</f>
        <v>#DIV/0!</v>
      </c>
      <c r="J165" s="87"/>
    </row>
    <row r="166" spans="2:10" x14ac:dyDescent="0.25">
      <c r="B166" s="46"/>
      <c r="C166" s="47"/>
      <c r="D166" s="47"/>
      <c r="E166" s="61"/>
      <c r="F166" s="62"/>
      <c r="G166" s="61"/>
      <c r="H166" s="85"/>
      <c r="I166" s="85"/>
      <c r="J166" s="87"/>
    </row>
    <row r="167" spans="2:10" ht="15.75" thickBot="1" x14ac:dyDescent="0.3">
      <c r="B167" s="114"/>
      <c r="C167" s="115" t="s">
        <v>21</v>
      </c>
      <c r="D167" s="137">
        <f>D126+D147+D165</f>
        <v>18000000</v>
      </c>
      <c r="E167" s="138">
        <f>E126+E147+E165</f>
        <v>12818000</v>
      </c>
      <c r="F167" s="139">
        <f>F126+F147+F165</f>
        <v>445000</v>
      </c>
      <c r="G167" s="138">
        <f>G126+G147+G165</f>
        <v>13263000</v>
      </c>
      <c r="H167" s="140">
        <f>H126+H147+H165</f>
        <v>13263000</v>
      </c>
      <c r="I167" s="141">
        <f>G167/D167%</f>
        <v>73.683333333333337</v>
      </c>
      <c r="J167" s="142"/>
    </row>
    <row r="168" spans="2:10" x14ac:dyDescent="0.25">
      <c r="B168" s="75"/>
      <c r="C168" s="75"/>
      <c r="D168" s="75"/>
      <c r="E168" s="75"/>
      <c r="F168" s="75"/>
      <c r="G168" s="76"/>
      <c r="H168" s="75"/>
      <c r="I168" s="75"/>
      <c r="J168" s="75"/>
    </row>
    <row r="169" spans="2:10" x14ac:dyDescent="0.25">
      <c r="B169" s="75"/>
      <c r="C169" s="75"/>
      <c r="D169" s="75"/>
      <c r="E169" s="75"/>
      <c r="F169" s="75"/>
      <c r="G169" s="76"/>
      <c r="H169" s="75"/>
      <c r="I169" s="75"/>
      <c r="J169" s="75"/>
    </row>
    <row r="170" spans="2:10" x14ac:dyDescent="0.25">
      <c r="B170" s="75"/>
      <c r="C170" s="75"/>
      <c r="D170" s="75"/>
      <c r="E170" s="122" t="s">
        <v>25</v>
      </c>
      <c r="F170" s="123" t="s">
        <v>26</v>
      </c>
      <c r="G170" s="124" t="e">
        <f>#REF!</f>
        <v>#REF!</v>
      </c>
      <c r="H170" s="75"/>
      <c r="I170" s="75"/>
      <c r="J170" s="75"/>
    </row>
    <row r="171" spans="2:10" ht="19.5" x14ac:dyDescent="0.55000000000000004">
      <c r="B171" s="75"/>
      <c r="C171" s="75"/>
      <c r="D171" s="75"/>
      <c r="E171" s="122" t="s">
        <v>29</v>
      </c>
      <c r="F171" s="123" t="s">
        <v>26</v>
      </c>
      <c r="G171" s="126">
        <v>0</v>
      </c>
      <c r="H171" s="75" t="s">
        <v>28</v>
      </c>
      <c r="I171" s="75"/>
      <c r="J171" s="75"/>
    </row>
    <row r="172" spans="2:10" ht="15.75" thickBot="1" x14ac:dyDescent="0.3">
      <c r="B172" s="75"/>
      <c r="C172" s="75"/>
      <c r="D172" s="75"/>
      <c r="E172" s="122" t="s">
        <v>30</v>
      </c>
      <c r="F172" s="123"/>
      <c r="G172" s="127" t="e">
        <f>SUM(G170:G171)</f>
        <v>#REF!</v>
      </c>
      <c r="H172" s="160" t="s">
        <v>126</v>
      </c>
      <c r="I172" s="27"/>
      <c r="J172" s="75"/>
    </row>
    <row r="173" spans="2:10" ht="15.75" thickTop="1" x14ac:dyDescent="0.25">
      <c r="B173" s="27"/>
      <c r="C173" s="27"/>
      <c r="D173" s="27"/>
      <c r="E173" s="27"/>
      <c r="F173" s="27"/>
      <c r="G173" s="27"/>
      <c r="H173" s="403" t="str">
        <f>H91</f>
        <v>Jalang'E, 01 Agustus 2019</v>
      </c>
      <c r="I173" s="403"/>
      <c r="J173" s="27"/>
    </row>
    <row r="175" spans="2:10" x14ac:dyDescent="0.25">
      <c r="G175" s="166" t="e">
        <f>G167-G170</f>
        <v>#REF!</v>
      </c>
    </row>
  </sheetData>
  <mergeCells count="19">
    <mergeCell ref="H173:I173"/>
    <mergeCell ref="J5:J6"/>
    <mergeCell ref="H91:I91"/>
    <mergeCell ref="B99:I99"/>
    <mergeCell ref="B100:I100"/>
    <mergeCell ref="B101:B102"/>
    <mergeCell ref="C101:C102"/>
    <mergeCell ref="D101:D102"/>
    <mergeCell ref="E101:G101"/>
    <mergeCell ref="H101:I101"/>
    <mergeCell ref="J101:J102"/>
    <mergeCell ref="B2:I2"/>
    <mergeCell ref="B3:I3"/>
    <mergeCell ref="B4:I4"/>
    <mergeCell ref="B5:B6"/>
    <mergeCell ref="C5:C6"/>
    <mergeCell ref="D5:D6"/>
    <mergeCell ref="E5:G5"/>
    <mergeCell ref="H5:I5"/>
  </mergeCells>
  <pageMargins left="0.86" right="0.12" top="0.12" bottom="0.12" header="0.3" footer="0.12"/>
  <pageSetup paperSize="9" scale="63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J175"/>
  <sheetViews>
    <sheetView zoomScale="90" zoomScaleNormal="90" workbookViewId="0">
      <pane ySplit="6" topLeftCell="A76" activePane="bottomLeft" state="frozen"/>
      <selection pane="bottomLeft" activeCell="B2" sqref="B2:I91"/>
    </sheetView>
  </sheetViews>
  <sheetFormatPr defaultRowHeight="15" x14ac:dyDescent="0.25"/>
  <cols>
    <col min="1" max="1" width="5.28515625" customWidth="1"/>
    <col min="2" max="2" width="6" style="285" customWidth="1"/>
    <col min="3" max="3" width="27.5703125" customWidth="1"/>
    <col min="4" max="4" width="18.140625" customWidth="1"/>
    <col min="5" max="5" width="18.5703125" customWidth="1"/>
    <col min="6" max="6" width="19" customWidth="1"/>
    <col min="7" max="7" width="18.28515625" customWidth="1"/>
    <col min="8" max="8" width="17" customWidth="1"/>
    <col min="9" max="9" width="13" customWidth="1"/>
    <col min="10" max="10" width="18.140625" customWidth="1"/>
  </cols>
  <sheetData>
    <row r="2" spans="2:10" x14ac:dyDescent="0.25">
      <c r="B2" s="392" t="s">
        <v>365</v>
      </c>
      <c r="C2" s="392"/>
      <c r="D2" s="392"/>
      <c r="E2" s="392"/>
      <c r="F2" s="392"/>
      <c r="G2" s="392"/>
      <c r="H2" s="392"/>
      <c r="I2" s="392"/>
      <c r="J2" s="75"/>
    </row>
    <row r="3" spans="2:10" x14ac:dyDescent="0.25">
      <c r="B3" s="392" t="s">
        <v>371</v>
      </c>
      <c r="C3" s="392"/>
      <c r="D3" s="392"/>
      <c r="E3" s="392"/>
      <c r="F3" s="392"/>
      <c r="G3" s="392"/>
      <c r="H3" s="392"/>
      <c r="I3" s="392"/>
      <c r="J3" s="75"/>
    </row>
    <row r="4" spans="2:10" ht="15.75" thickBot="1" x14ac:dyDescent="0.3">
      <c r="B4" s="393" t="s">
        <v>1</v>
      </c>
      <c r="C4" s="393"/>
      <c r="D4" s="393"/>
      <c r="E4" s="393"/>
      <c r="F4" s="393"/>
      <c r="G4" s="393"/>
      <c r="H4" s="393"/>
      <c r="I4" s="393"/>
      <c r="J4" s="78"/>
    </row>
    <row r="5" spans="2:10" x14ac:dyDescent="0.25">
      <c r="B5" s="418" t="s">
        <v>2</v>
      </c>
      <c r="C5" s="396" t="s">
        <v>3</v>
      </c>
      <c r="D5" s="398" t="s">
        <v>4</v>
      </c>
      <c r="E5" s="400" t="s">
        <v>5</v>
      </c>
      <c r="F5" s="401"/>
      <c r="G5" s="402"/>
      <c r="H5" s="401" t="s">
        <v>6</v>
      </c>
      <c r="I5" s="402"/>
      <c r="J5" s="404" t="s">
        <v>0</v>
      </c>
    </row>
    <row r="6" spans="2:10" ht="15.75" thickBot="1" x14ac:dyDescent="0.3">
      <c r="B6" s="419"/>
      <c r="C6" s="397"/>
      <c r="D6" s="399"/>
      <c r="E6" s="147" t="s">
        <v>145</v>
      </c>
      <c r="F6" s="148" t="s">
        <v>146</v>
      </c>
      <c r="G6" s="79" t="s">
        <v>7</v>
      </c>
      <c r="H6" s="80" t="s">
        <v>8</v>
      </c>
      <c r="I6" s="81" t="s">
        <v>9</v>
      </c>
      <c r="J6" s="405"/>
    </row>
    <row r="7" spans="2:10" x14ac:dyDescent="0.25">
      <c r="B7" s="274"/>
      <c r="C7" s="41" t="s">
        <v>10</v>
      </c>
      <c r="D7" s="82"/>
      <c r="E7" s="42"/>
      <c r="F7" s="42"/>
      <c r="G7" s="41"/>
      <c r="H7" s="42"/>
      <c r="I7" s="42"/>
      <c r="J7" s="83"/>
    </row>
    <row r="8" spans="2:10" x14ac:dyDescent="0.25">
      <c r="B8" s="274" t="s">
        <v>12</v>
      </c>
      <c r="C8" s="44" t="s">
        <v>13</v>
      </c>
      <c r="D8" s="45"/>
      <c r="E8" s="45"/>
      <c r="F8" s="45"/>
      <c r="G8" s="59"/>
      <c r="H8" s="45"/>
      <c r="I8" s="45"/>
      <c r="J8" s="84"/>
    </row>
    <row r="9" spans="2:10" x14ac:dyDescent="0.25">
      <c r="B9" s="275"/>
      <c r="C9" s="47" t="s">
        <v>36</v>
      </c>
      <c r="D9" s="250">
        <v>5000000</v>
      </c>
      <c r="E9" s="247">
        <v>3370000</v>
      </c>
      <c r="F9" s="61">
        <f>50000</f>
        <v>50000</v>
      </c>
      <c r="G9" s="61">
        <f>E9+F9</f>
        <v>3420000</v>
      </c>
      <c r="H9" s="85">
        <f t="shared" ref="H9:H28" si="0">G9-D9</f>
        <v>-1580000</v>
      </c>
      <c r="I9" s="86">
        <f t="shared" ref="I9:I22" si="1">G9/D9%</f>
        <v>68.400000000000006</v>
      </c>
      <c r="J9" s="87"/>
    </row>
    <row r="10" spans="2:10" x14ac:dyDescent="0.25">
      <c r="B10" s="275"/>
      <c r="C10" s="47" t="s">
        <v>37</v>
      </c>
      <c r="D10" s="250">
        <v>5000000</v>
      </c>
      <c r="E10" s="247">
        <f>3397000-230000</f>
        <v>3167000</v>
      </c>
      <c r="F10" s="61">
        <v>230000</v>
      </c>
      <c r="G10" s="61">
        <f t="shared" ref="G10:G19" si="2">E10+F10</f>
        <v>3397000</v>
      </c>
      <c r="H10" s="85">
        <f>G10-D10</f>
        <v>-1603000</v>
      </c>
      <c r="I10" s="86">
        <f>G10/D10%</f>
        <v>67.94</v>
      </c>
      <c r="J10" s="87"/>
    </row>
    <row r="11" spans="2:10" x14ac:dyDescent="0.25">
      <c r="B11" s="275"/>
      <c r="C11" s="47" t="s">
        <v>52</v>
      </c>
      <c r="D11" s="250">
        <v>74000</v>
      </c>
      <c r="E11" s="247">
        <v>235000</v>
      </c>
      <c r="F11" s="61">
        <v>0</v>
      </c>
      <c r="G11" s="61">
        <f t="shared" si="2"/>
        <v>235000</v>
      </c>
      <c r="H11" s="85">
        <f>G11-D11</f>
        <v>161000</v>
      </c>
      <c r="I11" s="86">
        <f>G11/D11%</f>
        <v>317.56756756756755</v>
      </c>
      <c r="J11" s="87"/>
    </row>
    <row r="12" spans="2:10" x14ac:dyDescent="0.25">
      <c r="B12" s="275"/>
      <c r="C12" s="47" t="s">
        <v>53</v>
      </c>
      <c r="D12" s="250">
        <v>10267000</v>
      </c>
      <c r="E12" s="247">
        <f>12365961-90000</f>
        <v>12275961</v>
      </c>
      <c r="F12" s="61">
        <f>40000+50000</f>
        <v>90000</v>
      </c>
      <c r="G12" s="61">
        <f>E12+F12</f>
        <v>12365961</v>
      </c>
      <c r="H12" s="85">
        <f t="shared" si="0"/>
        <v>2098961</v>
      </c>
      <c r="I12" s="86">
        <f t="shared" si="1"/>
        <v>120.44376156618291</v>
      </c>
      <c r="J12" s="87"/>
    </row>
    <row r="13" spans="2:10" x14ac:dyDescent="0.25">
      <c r="B13" s="275"/>
      <c r="C13" s="47" t="s">
        <v>54</v>
      </c>
      <c r="D13" s="250">
        <v>6818000</v>
      </c>
      <c r="E13" s="247">
        <f>10544000-650000</f>
        <v>9894000</v>
      </c>
      <c r="F13" s="61">
        <f>100000+550000</f>
        <v>650000</v>
      </c>
      <c r="G13" s="61">
        <f t="shared" si="2"/>
        <v>10544000</v>
      </c>
      <c r="H13" s="85">
        <f t="shared" si="0"/>
        <v>3726000</v>
      </c>
      <c r="I13" s="86">
        <f t="shared" si="1"/>
        <v>154.64945731886183</v>
      </c>
      <c r="J13" s="88"/>
    </row>
    <row r="14" spans="2:10" x14ac:dyDescent="0.25">
      <c r="B14" s="275"/>
      <c r="C14" s="47" t="s">
        <v>55</v>
      </c>
      <c r="D14" s="250">
        <v>5981000</v>
      </c>
      <c r="E14" s="247">
        <v>3825000</v>
      </c>
      <c r="F14" s="61">
        <f>220000</f>
        <v>220000</v>
      </c>
      <c r="G14" s="61">
        <f>E14+F14</f>
        <v>4045000</v>
      </c>
      <c r="H14" s="85">
        <f t="shared" si="0"/>
        <v>-1936000</v>
      </c>
      <c r="I14" s="86">
        <f t="shared" si="1"/>
        <v>67.630830964721625</v>
      </c>
      <c r="J14" s="88"/>
    </row>
    <row r="15" spans="2:10" x14ac:dyDescent="0.25">
      <c r="B15" s="275"/>
      <c r="C15" s="47" t="s">
        <v>56</v>
      </c>
      <c r="D15" s="250">
        <v>7428000</v>
      </c>
      <c r="E15" s="247">
        <f>10127652-50000</f>
        <v>10077652</v>
      </c>
      <c r="F15" s="61">
        <v>50000</v>
      </c>
      <c r="G15" s="61">
        <f t="shared" si="2"/>
        <v>10127652</v>
      </c>
      <c r="H15" s="85">
        <f t="shared" si="0"/>
        <v>2699652</v>
      </c>
      <c r="I15" s="86">
        <f t="shared" si="1"/>
        <v>136.34426494345718</v>
      </c>
      <c r="J15" s="87"/>
    </row>
    <row r="16" spans="2:10" x14ac:dyDescent="0.25">
      <c r="B16" s="275"/>
      <c r="C16" s="47" t="s">
        <v>57</v>
      </c>
      <c r="D16" s="250">
        <v>20000000</v>
      </c>
      <c r="E16" s="247">
        <f>11489381-400000</f>
        <v>11089381</v>
      </c>
      <c r="F16" s="61">
        <v>400000</v>
      </c>
      <c r="G16" s="168">
        <f>E16+F16</f>
        <v>11489381</v>
      </c>
      <c r="H16" s="85">
        <f t="shared" si="0"/>
        <v>-8510619</v>
      </c>
      <c r="I16" s="86">
        <f t="shared" si="1"/>
        <v>57.446905000000001</v>
      </c>
      <c r="J16" s="87"/>
    </row>
    <row r="17" spans="2:10" x14ac:dyDescent="0.25">
      <c r="B17" s="275"/>
      <c r="C17" s="47" t="s">
        <v>58</v>
      </c>
      <c r="D17" s="250">
        <v>2500000</v>
      </c>
      <c r="E17" s="247">
        <v>428260</v>
      </c>
      <c r="F17" s="61">
        <v>0</v>
      </c>
      <c r="G17" s="61">
        <f>E17+F17</f>
        <v>428260</v>
      </c>
      <c r="H17" s="85">
        <f t="shared" si="0"/>
        <v>-2071740</v>
      </c>
      <c r="I17" s="86">
        <f t="shared" si="1"/>
        <v>17.130400000000002</v>
      </c>
      <c r="J17" s="87"/>
    </row>
    <row r="18" spans="2:10" x14ac:dyDescent="0.25">
      <c r="B18" s="275"/>
      <c r="C18" s="47" t="s">
        <v>59</v>
      </c>
      <c r="D18" s="250">
        <v>2500000</v>
      </c>
      <c r="E18" s="247">
        <v>1748888</v>
      </c>
      <c r="F18" s="61">
        <v>0</v>
      </c>
      <c r="G18" s="61">
        <f t="shared" si="2"/>
        <v>1748888</v>
      </c>
      <c r="H18" s="85">
        <f t="shared" si="0"/>
        <v>-751112</v>
      </c>
      <c r="I18" s="86">
        <f t="shared" si="1"/>
        <v>69.955520000000007</v>
      </c>
      <c r="J18" s="87"/>
    </row>
    <row r="19" spans="2:10" x14ac:dyDescent="0.25">
      <c r="B19" s="275"/>
      <c r="C19" s="47" t="s">
        <v>60</v>
      </c>
      <c r="D19" s="250">
        <v>17690000</v>
      </c>
      <c r="E19" s="247">
        <f>20560333-865000</f>
        <v>19695333</v>
      </c>
      <c r="F19" s="61">
        <f>320000+395000+150000</f>
        <v>865000</v>
      </c>
      <c r="G19" s="61">
        <f t="shared" si="2"/>
        <v>20560333</v>
      </c>
      <c r="H19" s="85">
        <f t="shared" si="0"/>
        <v>2870333</v>
      </c>
      <c r="I19" s="86">
        <f t="shared" si="1"/>
        <v>116.22573770491803</v>
      </c>
      <c r="J19" s="87"/>
    </row>
    <row r="20" spans="2:10" x14ac:dyDescent="0.25">
      <c r="B20" s="275"/>
      <c r="C20" s="47" t="s">
        <v>61</v>
      </c>
      <c r="D20" s="250">
        <v>22552000</v>
      </c>
      <c r="E20" s="247">
        <f>14158690</f>
        <v>14158690</v>
      </c>
      <c r="F20" s="61">
        <v>0</v>
      </c>
      <c r="G20" s="61">
        <f>E20+F20</f>
        <v>14158690</v>
      </c>
      <c r="H20" s="85">
        <f t="shared" si="0"/>
        <v>-8393310</v>
      </c>
      <c r="I20" s="86">
        <f t="shared" si="1"/>
        <v>62.782413976587442</v>
      </c>
      <c r="J20" s="87"/>
    </row>
    <row r="21" spans="2:10" x14ac:dyDescent="0.25">
      <c r="B21" s="275"/>
      <c r="C21" s="47" t="s">
        <v>324</v>
      </c>
      <c r="D21" s="250">
        <v>10000000</v>
      </c>
      <c r="E21" s="247">
        <v>8780000</v>
      </c>
      <c r="F21" s="61">
        <v>0</v>
      </c>
      <c r="G21" s="61">
        <f t="shared" ref="G21:G27" si="3">E21+F21</f>
        <v>8780000</v>
      </c>
      <c r="H21" s="85">
        <f>G21-D21</f>
        <v>-1220000</v>
      </c>
      <c r="I21" s="86">
        <f>G21/D21%</f>
        <v>87.8</v>
      </c>
      <c r="J21" s="87"/>
    </row>
    <row r="22" spans="2:10" x14ac:dyDescent="0.25">
      <c r="B22" s="275"/>
      <c r="C22" s="47" t="s">
        <v>63</v>
      </c>
      <c r="D22" s="250">
        <v>306000</v>
      </c>
      <c r="E22" s="247">
        <v>600000</v>
      </c>
      <c r="F22" s="61">
        <v>0</v>
      </c>
      <c r="G22" s="61">
        <f t="shared" si="3"/>
        <v>600000</v>
      </c>
      <c r="H22" s="85">
        <f t="shared" si="0"/>
        <v>294000</v>
      </c>
      <c r="I22" s="86">
        <f t="shared" si="1"/>
        <v>196.07843137254903</v>
      </c>
      <c r="J22" s="87"/>
    </row>
    <row r="23" spans="2:10" x14ac:dyDescent="0.25">
      <c r="B23" s="275"/>
      <c r="C23" s="47" t="s">
        <v>64</v>
      </c>
      <c r="D23" s="250">
        <v>3252000</v>
      </c>
      <c r="E23" s="247">
        <v>0</v>
      </c>
      <c r="F23" s="61">
        <v>0</v>
      </c>
      <c r="G23" s="61">
        <f t="shared" si="3"/>
        <v>0</v>
      </c>
      <c r="H23" s="85">
        <f>G23-D23</f>
        <v>-3252000</v>
      </c>
      <c r="I23" s="86">
        <f>G23/D23%</f>
        <v>0</v>
      </c>
      <c r="J23" s="87"/>
    </row>
    <row r="24" spans="2:10" x14ac:dyDescent="0.25">
      <c r="B24" s="275"/>
      <c r="C24" s="47" t="s">
        <v>65</v>
      </c>
      <c r="D24" s="250">
        <v>0</v>
      </c>
      <c r="E24" s="247">
        <v>113869</v>
      </c>
      <c r="F24" s="61">
        <v>0</v>
      </c>
      <c r="G24" s="61">
        <f t="shared" si="3"/>
        <v>113869</v>
      </c>
      <c r="H24" s="85">
        <f>G24-D24</f>
        <v>113869</v>
      </c>
      <c r="I24" s="86" t="e">
        <f>G24/D24%</f>
        <v>#DIV/0!</v>
      </c>
      <c r="J24" s="87"/>
    </row>
    <row r="25" spans="2:10" x14ac:dyDescent="0.25">
      <c r="B25" s="275"/>
      <c r="C25" s="47" t="s">
        <v>66</v>
      </c>
      <c r="D25" s="250">
        <v>16346000</v>
      </c>
      <c r="E25" s="247">
        <v>31389390</v>
      </c>
      <c r="F25" s="61">
        <v>0</v>
      </c>
      <c r="G25" s="61">
        <f t="shared" si="3"/>
        <v>31389390</v>
      </c>
      <c r="H25" s="85">
        <f>G25-D25</f>
        <v>15043390</v>
      </c>
      <c r="I25" s="86">
        <f>G25/D25%</f>
        <v>192.03101676251072</v>
      </c>
      <c r="J25" s="87"/>
    </row>
    <row r="26" spans="2:10" x14ac:dyDescent="0.25">
      <c r="B26" s="275"/>
      <c r="C26" s="47" t="s">
        <v>67</v>
      </c>
      <c r="D26" s="250">
        <v>0</v>
      </c>
      <c r="E26" s="247">
        <v>380000</v>
      </c>
      <c r="F26" s="61">
        <v>0</v>
      </c>
      <c r="G26" s="61">
        <f t="shared" si="3"/>
        <v>380000</v>
      </c>
      <c r="H26" s="85">
        <f>G26-D26</f>
        <v>380000</v>
      </c>
      <c r="I26" s="86" t="e">
        <f>G26/D26%</f>
        <v>#DIV/0!</v>
      </c>
      <c r="J26" s="87"/>
    </row>
    <row r="27" spans="2:10" x14ac:dyDescent="0.25">
      <c r="B27" s="275"/>
      <c r="C27" s="47" t="s">
        <v>68</v>
      </c>
      <c r="D27" s="250">
        <v>0</v>
      </c>
      <c r="E27" s="247">
        <v>0</v>
      </c>
      <c r="F27" s="61">
        <v>0</v>
      </c>
      <c r="G27" s="61">
        <f t="shared" si="3"/>
        <v>0</v>
      </c>
      <c r="H27" s="85">
        <f>G27-D27</f>
        <v>0</v>
      </c>
      <c r="I27" s="86" t="e">
        <f>G27/D27%</f>
        <v>#DIV/0!</v>
      </c>
      <c r="J27" s="87"/>
    </row>
    <row r="28" spans="2:10" x14ac:dyDescent="0.25">
      <c r="B28" s="275"/>
      <c r="C28" s="47" t="s">
        <v>69</v>
      </c>
      <c r="D28" s="250">
        <v>10263000</v>
      </c>
      <c r="E28" s="247">
        <v>11628500</v>
      </c>
      <c r="F28" s="61">
        <f>1327500+2400000+300000</f>
        <v>4027500</v>
      </c>
      <c r="G28" s="61">
        <f>E28+F28</f>
        <v>15656000</v>
      </c>
      <c r="H28" s="85">
        <f t="shared" si="0"/>
        <v>5393000</v>
      </c>
      <c r="I28" s="86"/>
      <c r="J28" s="87"/>
    </row>
    <row r="29" spans="2:10" x14ac:dyDescent="0.25">
      <c r="B29" s="275"/>
      <c r="C29" s="47"/>
      <c r="D29" s="248"/>
      <c r="E29" s="269"/>
      <c r="F29" s="61"/>
      <c r="G29" s="61"/>
      <c r="H29" s="85"/>
      <c r="I29" s="86"/>
      <c r="J29" s="87"/>
    </row>
    <row r="30" spans="2:10" x14ac:dyDescent="0.25">
      <c r="B30" s="276"/>
      <c r="C30" s="170" t="s">
        <v>14</v>
      </c>
      <c r="D30" s="135">
        <f>SUM(D9:D28)</f>
        <v>145977000</v>
      </c>
      <c r="E30" s="89">
        <f>SUM(E9:E28)</f>
        <v>142856924</v>
      </c>
      <c r="F30" s="89">
        <f>SUM(F9:F28)</f>
        <v>6582500</v>
      </c>
      <c r="G30" s="89">
        <f>SUM(G9:G28)</f>
        <v>149439424</v>
      </c>
      <c r="H30" s="136">
        <f>SUM(H9:H22)</f>
        <v>-14215835</v>
      </c>
      <c r="I30" s="91">
        <f>G30/D30%</f>
        <v>102.37189694266905</v>
      </c>
      <c r="J30" s="171"/>
    </row>
    <row r="31" spans="2:10" x14ac:dyDescent="0.25">
      <c r="B31" s="275"/>
      <c r="C31" s="47"/>
      <c r="D31" s="47"/>
      <c r="E31" s="61"/>
      <c r="F31" s="62"/>
      <c r="G31" s="61"/>
      <c r="H31" s="85"/>
      <c r="I31" s="85"/>
      <c r="J31" s="87"/>
    </row>
    <row r="32" spans="2:10" x14ac:dyDescent="0.25">
      <c r="B32" s="275" t="s">
        <v>15</v>
      </c>
      <c r="C32" s="60" t="s">
        <v>16</v>
      </c>
      <c r="D32" s="47"/>
      <c r="E32" s="269"/>
      <c r="F32" s="62"/>
      <c r="G32" s="61"/>
      <c r="H32" s="85"/>
      <c r="I32" s="85"/>
      <c r="J32" s="87"/>
    </row>
    <row r="33" spans="2:10" x14ac:dyDescent="0.25">
      <c r="B33" s="275"/>
      <c r="C33" s="47" t="s">
        <v>38</v>
      </c>
      <c r="D33" s="248">
        <v>122000</v>
      </c>
      <c r="E33" s="247">
        <v>165000</v>
      </c>
      <c r="F33" s="61">
        <v>0</v>
      </c>
      <c r="G33" s="61">
        <f>E33+F33</f>
        <v>165000</v>
      </c>
      <c r="H33" s="85">
        <f t="shared" ref="H33:H50" si="4">G33-D33</f>
        <v>43000</v>
      </c>
      <c r="I33" s="86">
        <f t="shared" ref="I33:I50" si="5">G33/D33%</f>
        <v>135.24590163934425</v>
      </c>
      <c r="J33" s="87"/>
    </row>
    <row r="34" spans="2:10" x14ac:dyDescent="0.25">
      <c r="B34" s="277"/>
      <c r="C34" s="173" t="s">
        <v>39</v>
      </c>
      <c r="D34" s="248">
        <v>13496000</v>
      </c>
      <c r="E34" s="247">
        <v>7011000</v>
      </c>
      <c r="F34" s="168">
        <f>60000+50000+55000+75000+75000+65000+170000</f>
        <v>550000</v>
      </c>
      <c r="G34" s="61">
        <f>E34+F34</f>
        <v>7561000</v>
      </c>
      <c r="H34" s="174">
        <f t="shared" si="4"/>
        <v>-5935000</v>
      </c>
      <c r="I34" s="176">
        <f t="shared" si="5"/>
        <v>56.02400711321873</v>
      </c>
      <c r="J34" s="179"/>
    </row>
    <row r="35" spans="2:10" x14ac:dyDescent="0.25">
      <c r="B35" s="275"/>
      <c r="C35" s="47" t="s">
        <v>40</v>
      </c>
      <c r="D35" s="248">
        <v>5265000</v>
      </c>
      <c r="E35" s="247">
        <v>5911391</v>
      </c>
      <c r="F35" s="61">
        <v>0</v>
      </c>
      <c r="G35" s="61">
        <f>E35+F35</f>
        <v>5911391</v>
      </c>
      <c r="H35" s="85">
        <f t="shared" si="4"/>
        <v>646391</v>
      </c>
      <c r="I35" s="86">
        <f>G35/D35%</f>
        <v>112.27713200379867</v>
      </c>
      <c r="J35" s="180"/>
    </row>
    <row r="36" spans="2:10" x14ac:dyDescent="0.25">
      <c r="B36" s="275"/>
      <c r="C36" s="47" t="s">
        <v>41</v>
      </c>
      <c r="D36" s="248">
        <v>1166000</v>
      </c>
      <c r="E36" s="247">
        <v>2496000</v>
      </c>
      <c r="F36" s="61">
        <f>50000</f>
        <v>50000</v>
      </c>
      <c r="G36" s="61">
        <f>E36+F36</f>
        <v>2546000</v>
      </c>
      <c r="H36" s="85">
        <f t="shared" si="4"/>
        <v>1380000</v>
      </c>
      <c r="I36" s="86">
        <f t="shared" si="5"/>
        <v>218.35334476843911</v>
      </c>
      <c r="J36" s="87"/>
    </row>
    <row r="37" spans="2:10" x14ac:dyDescent="0.25">
      <c r="B37" s="275"/>
      <c r="C37" s="47" t="s">
        <v>50</v>
      </c>
      <c r="D37" s="248">
        <v>0</v>
      </c>
      <c r="E37" s="247">
        <v>0</v>
      </c>
      <c r="F37" s="61">
        <v>0</v>
      </c>
      <c r="G37" s="61">
        <f t="shared" ref="G37:G50" si="6">E37+F37</f>
        <v>0</v>
      </c>
      <c r="H37" s="85">
        <f>G37-D37</f>
        <v>0</v>
      </c>
      <c r="I37" s="86" t="e">
        <f>G37/D37%</f>
        <v>#DIV/0!</v>
      </c>
      <c r="J37" s="87"/>
    </row>
    <row r="38" spans="2:10" x14ac:dyDescent="0.25">
      <c r="B38" s="275"/>
      <c r="C38" s="47" t="s">
        <v>51</v>
      </c>
      <c r="D38" s="248">
        <v>0</v>
      </c>
      <c r="E38" s="247">
        <v>600000</v>
      </c>
      <c r="F38" s="61">
        <v>0</v>
      </c>
      <c r="G38" s="61">
        <f>E38+F38</f>
        <v>600000</v>
      </c>
      <c r="H38" s="85">
        <f>G38-D38</f>
        <v>600000</v>
      </c>
      <c r="I38" s="86" t="e">
        <f>G38/D38%</f>
        <v>#DIV/0!</v>
      </c>
      <c r="J38" s="87"/>
    </row>
    <row r="39" spans="2:10" x14ac:dyDescent="0.25">
      <c r="B39" s="275"/>
      <c r="C39" s="47" t="s">
        <v>49</v>
      </c>
      <c r="D39" s="248">
        <v>0</v>
      </c>
      <c r="E39" s="247">
        <v>0</v>
      </c>
      <c r="F39" s="61">
        <v>0</v>
      </c>
      <c r="G39" s="61">
        <f t="shared" si="6"/>
        <v>0</v>
      </c>
      <c r="H39" s="85">
        <f>G39-D38</f>
        <v>0</v>
      </c>
      <c r="I39" s="86" t="e">
        <f>G39/D38%</f>
        <v>#DIV/0!</v>
      </c>
      <c r="J39" s="87"/>
    </row>
    <row r="40" spans="2:10" x14ac:dyDescent="0.25">
      <c r="B40" s="275"/>
      <c r="C40" s="47" t="s">
        <v>79</v>
      </c>
      <c r="D40" s="248">
        <v>1749000</v>
      </c>
      <c r="E40" s="247">
        <v>1230000</v>
      </c>
      <c r="F40" s="61">
        <v>0</v>
      </c>
      <c r="G40" s="61">
        <f t="shared" si="6"/>
        <v>1230000</v>
      </c>
      <c r="H40" s="85">
        <f>G40-D39</f>
        <v>1230000</v>
      </c>
      <c r="I40" s="86" t="e">
        <f>G40/D39%</f>
        <v>#DIV/0!</v>
      </c>
      <c r="J40" s="87"/>
    </row>
    <row r="41" spans="2:10" x14ac:dyDescent="0.25">
      <c r="B41" s="275"/>
      <c r="C41" s="47" t="s">
        <v>71</v>
      </c>
      <c r="D41" s="248">
        <v>4000000</v>
      </c>
      <c r="E41" s="247">
        <v>4299000</v>
      </c>
      <c r="F41" s="61">
        <v>0</v>
      </c>
      <c r="G41" s="61">
        <f t="shared" si="6"/>
        <v>4299000</v>
      </c>
      <c r="H41" s="85">
        <f>G41-D40</f>
        <v>2550000</v>
      </c>
      <c r="I41" s="86">
        <f>G41/D40%</f>
        <v>245.79759862778729</v>
      </c>
      <c r="J41" s="87"/>
    </row>
    <row r="42" spans="2:10" x14ac:dyDescent="0.25">
      <c r="B42" s="275"/>
      <c r="C42" s="47" t="s">
        <v>72</v>
      </c>
      <c r="D42" s="248">
        <v>4000000</v>
      </c>
      <c r="E42" s="247">
        <v>11281000</v>
      </c>
      <c r="F42" s="61">
        <v>0</v>
      </c>
      <c r="G42" s="61">
        <f t="shared" si="6"/>
        <v>11281000</v>
      </c>
      <c r="H42" s="85">
        <f>G42-D41</f>
        <v>7281000</v>
      </c>
      <c r="I42" s="86">
        <f>G42/D41%</f>
        <v>282.02499999999998</v>
      </c>
      <c r="J42" s="87"/>
    </row>
    <row r="43" spans="2:10" x14ac:dyDescent="0.25">
      <c r="B43" s="275"/>
      <c r="C43" s="47" t="s">
        <v>70</v>
      </c>
      <c r="D43" s="248">
        <v>500000</v>
      </c>
      <c r="E43" s="247">
        <v>1421666</v>
      </c>
      <c r="F43" s="61">
        <v>0</v>
      </c>
      <c r="G43" s="61">
        <f t="shared" si="6"/>
        <v>1421666</v>
      </c>
      <c r="H43" s="85">
        <f t="shared" si="4"/>
        <v>921666</v>
      </c>
      <c r="I43" s="86">
        <f t="shared" si="5"/>
        <v>284.33319999999998</v>
      </c>
      <c r="J43" s="87"/>
    </row>
    <row r="44" spans="2:10" x14ac:dyDescent="0.25">
      <c r="B44" s="275"/>
      <c r="C44" s="47" t="s">
        <v>73</v>
      </c>
      <c r="D44" s="248">
        <v>378000</v>
      </c>
      <c r="E44" s="247">
        <v>0</v>
      </c>
      <c r="F44" s="61">
        <v>0</v>
      </c>
      <c r="G44" s="61">
        <f t="shared" si="6"/>
        <v>0</v>
      </c>
      <c r="H44" s="85">
        <f t="shared" si="4"/>
        <v>-378000</v>
      </c>
      <c r="I44" s="86">
        <f t="shared" si="5"/>
        <v>0</v>
      </c>
      <c r="J44" s="87"/>
    </row>
    <row r="45" spans="2:10" x14ac:dyDescent="0.25">
      <c r="B45" s="275"/>
      <c r="C45" s="47" t="s">
        <v>74</v>
      </c>
      <c r="D45" s="248">
        <v>0</v>
      </c>
      <c r="E45" s="247"/>
      <c r="F45" s="61">
        <v>0</v>
      </c>
      <c r="G45" s="61">
        <f t="shared" si="6"/>
        <v>0</v>
      </c>
      <c r="H45" s="85">
        <f t="shared" si="4"/>
        <v>0</v>
      </c>
      <c r="I45" s="86" t="e">
        <f t="shared" si="5"/>
        <v>#DIV/0!</v>
      </c>
      <c r="J45" s="87"/>
    </row>
    <row r="46" spans="2:10" x14ac:dyDescent="0.25">
      <c r="B46" s="275"/>
      <c r="C46" s="47" t="s">
        <v>75</v>
      </c>
      <c r="D46" s="248">
        <v>10000000</v>
      </c>
      <c r="E46" s="247">
        <v>9895238</v>
      </c>
      <c r="F46" s="61">
        <v>0</v>
      </c>
      <c r="G46" s="61">
        <f t="shared" si="6"/>
        <v>9895238</v>
      </c>
      <c r="H46" s="85">
        <f t="shared" si="4"/>
        <v>-104762</v>
      </c>
      <c r="I46" s="86">
        <f t="shared" si="5"/>
        <v>98.952380000000005</v>
      </c>
      <c r="J46" s="87"/>
    </row>
    <row r="47" spans="2:10" x14ac:dyDescent="0.25">
      <c r="B47" s="275"/>
      <c r="C47" s="47" t="s">
        <v>76</v>
      </c>
      <c r="D47" s="248">
        <v>0</v>
      </c>
      <c r="E47" s="247">
        <v>0</v>
      </c>
      <c r="F47" s="61">
        <v>0</v>
      </c>
      <c r="G47" s="61">
        <f t="shared" si="6"/>
        <v>0</v>
      </c>
      <c r="H47" s="85">
        <f t="shared" si="4"/>
        <v>0</v>
      </c>
      <c r="I47" s="86" t="e">
        <f t="shared" si="5"/>
        <v>#DIV/0!</v>
      </c>
      <c r="J47" s="87"/>
    </row>
    <row r="48" spans="2:10" x14ac:dyDescent="0.25">
      <c r="B48" s="275"/>
      <c r="C48" s="47" t="s">
        <v>77</v>
      </c>
      <c r="D48" s="248">
        <v>0</v>
      </c>
      <c r="E48" s="247">
        <v>0</v>
      </c>
      <c r="F48" s="61">
        <v>0</v>
      </c>
      <c r="G48" s="61">
        <f t="shared" si="6"/>
        <v>0</v>
      </c>
      <c r="H48" s="85">
        <f t="shared" si="4"/>
        <v>0</v>
      </c>
      <c r="I48" s="86" t="e">
        <f t="shared" si="5"/>
        <v>#DIV/0!</v>
      </c>
      <c r="J48" s="87"/>
    </row>
    <row r="49" spans="2:10" x14ac:dyDescent="0.25">
      <c r="B49" s="275"/>
      <c r="C49" s="47" t="s">
        <v>325</v>
      </c>
      <c r="D49" s="248">
        <v>12000000</v>
      </c>
      <c r="E49" s="247">
        <v>2700000</v>
      </c>
      <c r="F49" s="61">
        <v>0</v>
      </c>
      <c r="G49" s="61">
        <f t="shared" si="6"/>
        <v>2700000</v>
      </c>
      <c r="H49" s="85">
        <f t="shared" si="4"/>
        <v>-9300000</v>
      </c>
      <c r="I49" s="86">
        <f t="shared" si="5"/>
        <v>22.5</v>
      </c>
      <c r="J49" s="87"/>
    </row>
    <row r="50" spans="2:10" x14ac:dyDescent="0.25">
      <c r="B50" s="275"/>
      <c r="C50" s="47" t="s">
        <v>326</v>
      </c>
      <c r="D50" s="248">
        <v>0</v>
      </c>
      <c r="E50" s="247">
        <v>0</v>
      </c>
      <c r="F50" s="61">
        <v>0</v>
      </c>
      <c r="G50" s="61">
        <f t="shared" si="6"/>
        <v>0</v>
      </c>
      <c r="H50" s="85">
        <f t="shared" si="4"/>
        <v>0</v>
      </c>
      <c r="I50" s="86" t="e">
        <f t="shared" si="5"/>
        <v>#DIV/0!</v>
      </c>
      <c r="J50" s="87"/>
    </row>
    <row r="51" spans="2:10" x14ac:dyDescent="0.25">
      <c r="B51" s="275"/>
      <c r="C51" s="47"/>
      <c r="D51" s="85"/>
      <c r="E51" s="269"/>
      <c r="F51" s="61"/>
      <c r="G51" s="61"/>
      <c r="H51" s="85"/>
      <c r="I51" s="85"/>
      <c r="J51" s="87"/>
    </row>
    <row r="52" spans="2:10" x14ac:dyDescent="0.25">
      <c r="B52" s="276"/>
      <c r="C52" s="170" t="s">
        <v>17</v>
      </c>
      <c r="D52" s="271">
        <f>SUM(D33:D50)</f>
        <v>52676000</v>
      </c>
      <c r="E52" s="89">
        <f>SUM(E33:E50)</f>
        <v>47010295</v>
      </c>
      <c r="F52" s="89">
        <f>SUM(F33:F50)</f>
        <v>600000</v>
      </c>
      <c r="G52" s="89">
        <f>SUM(G33:G50)</f>
        <v>47610295</v>
      </c>
      <c r="H52" s="136">
        <f>SUM(H33:H50)</f>
        <v>-1065705</v>
      </c>
      <c r="I52" s="91">
        <f>G52/D52%</f>
        <v>90.383277014200019</v>
      </c>
      <c r="J52" s="171"/>
    </row>
    <row r="53" spans="2:10" x14ac:dyDescent="0.25">
      <c r="B53" s="275"/>
      <c r="C53" s="47"/>
      <c r="D53" s="47"/>
      <c r="E53" s="61"/>
      <c r="F53" s="62"/>
      <c r="G53" s="61"/>
      <c r="H53" s="85"/>
      <c r="I53" s="85"/>
      <c r="J53" s="87"/>
    </row>
    <row r="54" spans="2:10" x14ac:dyDescent="0.25">
      <c r="B54" s="275" t="s">
        <v>18</v>
      </c>
      <c r="C54" s="60" t="s">
        <v>19</v>
      </c>
      <c r="D54" s="47"/>
      <c r="E54" s="269"/>
      <c r="F54" s="62"/>
      <c r="G54" s="61"/>
      <c r="H54" s="85"/>
      <c r="I54" s="85"/>
      <c r="J54" s="87"/>
    </row>
    <row r="55" spans="2:10" x14ac:dyDescent="0.25">
      <c r="B55" s="275"/>
      <c r="C55" s="47" t="s">
        <v>42</v>
      </c>
      <c r="D55" s="250">
        <v>0</v>
      </c>
      <c r="E55" s="247">
        <v>257142</v>
      </c>
      <c r="F55" s="61">
        <v>0</v>
      </c>
      <c r="G55" s="61">
        <f>E55+F55</f>
        <v>257142</v>
      </c>
      <c r="H55" s="85">
        <f t="shared" ref="H55:H68" si="7">G55-D55</f>
        <v>257142</v>
      </c>
      <c r="I55" s="86" t="e">
        <f t="shared" ref="I55:I68" si="8">G55/D55%</f>
        <v>#DIV/0!</v>
      </c>
      <c r="J55" s="87"/>
    </row>
    <row r="56" spans="2:10" x14ac:dyDescent="0.25">
      <c r="B56" s="275"/>
      <c r="C56" s="47" t="s">
        <v>43</v>
      </c>
      <c r="D56" s="250">
        <v>11382000</v>
      </c>
      <c r="E56" s="247">
        <v>14768500</v>
      </c>
      <c r="F56" s="61">
        <f>1197000</f>
        <v>1197000</v>
      </c>
      <c r="G56" s="61">
        <f t="shared" ref="G56:G68" si="9">E56+F56</f>
        <v>15965500</v>
      </c>
      <c r="H56" s="85">
        <f t="shared" si="7"/>
        <v>4583500</v>
      </c>
      <c r="I56" s="86">
        <f t="shared" si="8"/>
        <v>140.2697241258127</v>
      </c>
      <c r="J56" s="87"/>
    </row>
    <row r="57" spans="2:10" x14ac:dyDescent="0.25">
      <c r="B57" s="275"/>
      <c r="C57" s="47" t="s">
        <v>44</v>
      </c>
      <c r="D57" s="250">
        <v>697000</v>
      </c>
      <c r="E57" s="247">
        <v>57500</v>
      </c>
      <c r="F57" s="61">
        <v>0</v>
      </c>
      <c r="G57" s="61">
        <f t="shared" si="9"/>
        <v>57500</v>
      </c>
      <c r="H57" s="85">
        <f t="shared" si="7"/>
        <v>-639500</v>
      </c>
      <c r="I57" s="86">
        <f t="shared" si="8"/>
        <v>8.2496413199426115</v>
      </c>
      <c r="J57" s="87"/>
    </row>
    <row r="58" spans="2:10" x14ac:dyDescent="0.25">
      <c r="B58" s="275"/>
      <c r="C58" s="47" t="s">
        <v>45</v>
      </c>
      <c r="D58" s="250">
        <v>0</v>
      </c>
      <c r="E58" s="247">
        <v>0</v>
      </c>
      <c r="F58" s="61">
        <v>0</v>
      </c>
      <c r="G58" s="61">
        <f t="shared" si="9"/>
        <v>0</v>
      </c>
      <c r="H58" s="85">
        <f t="shared" si="7"/>
        <v>0</v>
      </c>
      <c r="I58" s="86" t="e">
        <f t="shared" si="8"/>
        <v>#DIV/0!</v>
      </c>
      <c r="J58" s="87"/>
    </row>
    <row r="59" spans="2:10" x14ac:dyDescent="0.25">
      <c r="B59" s="275"/>
      <c r="C59" s="47" t="s">
        <v>46</v>
      </c>
      <c r="D59" s="250">
        <v>0</v>
      </c>
      <c r="E59" s="247">
        <v>0</v>
      </c>
      <c r="F59" s="92">
        <v>0</v>
      </c>
      <c r="G59" s="61">
        <f t="shared" si="9"/>
        <v>0</v>
      </c>
      <c r="H59" s="85">
        <f t="shared" si="7"/>
        <v>0</v>
      </c>
      <c r="I59" s="86" t="e">
        <f t="shared" si="8"/>
        <v>#DIV/0!</v>
      </c>
      <c r="J59" s="87"/>
    </row>
    <row r="60" spans="2:10" x14ac:dyDescent="0.25">
      <c r="B60" s="275"/>
      <c r="C60" s="47" t="s">
        <v>47</v>
      </c>
      <c r="D60" s="250">
        <v>0</v>
      </c>
      <c r="E60" s="247">
        <v>2091033</v>
      </c>
      <c r="F60" s="61">
        <v>0</v>
      </c>
      <c r="G60" s="61">
        <f t="shared" si="9"/>
        <v>2091033</v>
      </c>
      <c r="H60" s="85">
        <f t="shared" si="7"/>
        <v>2091033</v>
      </c>
      <c r="I60" s="86" t="e">
        <f t="shared" si="8"/>
        <v>#DIV/0!</v>
      </c>
      <c r="J60" s="87"/>
    </row>
    <row r="61" spans="2:10" x14ac:dyDescent="0.25">
      <c r="B61" s="275"/>
      <c r="C61" s="47" t="s">
        <v>129</v>
      </c>
      <c r="D61" s="250">
        <v>600000</v>
      </c>
      <c r="E61" s="247">
        <v>0</v>
      </c>
      <c r="F61" s="61">
        <v>0</v>
      </c>
      <c r="G61" s="61">
        <f t="shared" si="9"/>
        <v>0</v>
      </c>
      <c r="H61" s="85">
        <f t="shared" si="7"/>
        <v>-600000</v>
      </c>
      <c r="I61" s="86">
        <f t="shared" si="8"/>
        <v>0</v>
      </c>
      <c r="J61" s="87"/>
    </row>
    <row r="62" spans="2:10" x14ac:dyDescent="0.25">
      <c r="B62" s="275"/>
      <c r="C62" s="47" t="s">
        <v>86</v>
      </c>
      <c r="D62" s="250">
        <v>0</v>
      </c>
      <c r="E62" s="247">
        <v>0</v>
      </c>
      <c r="F62" s="61">
        <v>0</v>
      </c>
      <c r="G62" s="61">
        <f t="shared" si="9"/>
        <v>0</v>
      </c>
      <c r="H62" s="85">
        <f t="shared" si="7"/>
        <v>0</v>
      </c>
      <c r="I62" s="86" t="e">
        <f t="shared" si="8"/>
        <v>#DIV/0!</v>
      </c>
      <c r="J62" s="87"/>
    </row>
    <row r="63" spans="2:10" x14ac:dyDescent="0.25">
      <c r="B63" s="275"/>
      <c r="C63" s="47" t="s">
        <v>87</v>
      </c>
      <c r="D63" s="250">
        <v>0</v>
      </c>
      <c r="E63" s="247">
        <v>0</v>
      </c>
      <c r="F63" s="61">
        <v>0</v>
      </c>
      <c r="G63" s="61">
        <f>E63+F63</f>
        <v>0</v>
      </c>
      <c r="H63" s="85">
        <f>G63-D63</f>
        <v>0</v>
      </c>
      <c r="I63" s="86" t="e">
        <f>G63/D63%</f>
        <v>#DIV/0!</v>
      </c>
      <c r="J63" s="87"/>
    </row>
    <row r="64" spans="2:10" x14ac:dyDescent="0.25">
      <c r="B64" s="275"/>
      <c r="C64" s="47" t="s">
        <v>81</v>
      </c>
      <c r="D64" s="250">
        <v>0</v>
      </c>
      <c r="E64" s="247">
        <v>0</v>
      </c>
      <c r="F64" s="61">
        <v>0</v>
      </c>
      <c r="G64" s="61">
        <f t="shared" si="9"/>
        <v>0</v>
      </c>
      <c r="H64" s="85">
        <f t="shared" si="7"/>
        <v>0</v>
      </c>
      <c r="I64" s="86" t="e">
        <f t="shared" si="8"/>
        <v>#DIV/0!</v>
      </c>
      <c r="J64" s="87"/>
    </row>
    <row r="65" spans="2:10" x14ac:dyDescent="0.25">
      <c r="B65" s="275"/>
      <c r="C65" s="47" t="s">
        <v>82</v>
      </c>
      <c r="D65" s="250">
        <v>0</v>
      </c>
      <c r="E65" s="247">
        <v>0</v>
      </c>
      <c r="F65" s="61">
        <v>0</v>
      </c>
      <c r="G65" s="61">
        <f t="shared" si="9"/>
        <v>0</v>
      </c>
      <c r="H65" s="85">
        <f t="shared" si="7"/>
        <v>0</v>
      </c>
      <c r="I65" s="86" t="e">
        <f t="shared" si="8"/>
        <v>#DIV/0!</v>
      </c>
      <c r="J65" s="87"/>
    </row>
    <row r="66" spans="2:10" x14ac:dyDescent="0.25">
      <c r="B66" s="275"/>
      <c r="C66" s="47" t="s">
        <v>83</v>
      </c>
      <c r="D66" s="250">
        <v>0</v>
      </c>
      <c r="E66" s="247">
        <v>0</v>
      </c>
      <c r="F66" s="61">
        <v>0</v>
      </c>
      <c r="G66" s="61">
        <f>E66+F66</f>
        <v>0</v>
      </c>
      <c r="H66" s="85">
        <f>G66-D66</f>
        <v>0</v>
      </c>
      <c r="I66" s="86" t="e">
        <f>G66/D66%</f>
        <v>#DIV/0!</v>
      </c>
      <c r="J66" s="87"/>
    </row>
    <row r="67" spans="2:10" x14ac:dyDescent="0.25">
      <c r="B67" s="275"/>
      <c r="C67" s="47" t="s">
        <v>142</v>
      </c>
      <c r="D67" s="250">
        <v>424000</v>
      </c>
      <c r="E67" s="247">
        <v>900000</v>
      </c>
      <c r="F67" s="61">
        <v>0</v>
      </c>
      <c r="G67" s="61">
        <f>E67+F67</f>
        <v>900000</v>
      </c>
      <c r="H67" s="85">
        <f>G67-D67</f>
        <v>476000</v>
      </c>
      <c r="I67" s="86">
        <f>G67/D67%</f>
        <v>212.26415094339623</v>
      </c>
      <c r="J67" s="87"/>
    </row>
    <row r="68" spans="2:10" x14ac:dyDescent="0.25">
      <c r="B68" s="275"/>
      <c r="C68" s="47" t="s">
        <v>85</v>
      </c>
      <c r="D68" s="250">
        <v>0</v>
      </c>
      <c r="E68" s="247">
        <v>0</v>
      </c>
      <c r="F68" s="61">
        <v>0</v>
      </c>
      <c r="G68" s="61">
        <f t="shared" si="9"/>
        <v>0</v>
      </c>
      <c r="H68" s="85">
        <f t="shared" si="7"/>
        <v>0</v>
      </c>
      <c r="I68" s="86" t="e">
        <f t="shared" si="8"/>
        <v>#DIV/0!</v>
      </c>
      <c r="J68" s="87"/>
    </row>
    <row r="69" spans="2:10" x14ac:dyDescent="0.25">
      <c r="B69" s="275"/>
      <c r="C69" s="47"/>
      <c r="D69" s="85"/>
      <c r="E69" s="269"/>
      <c r="F69" s="61"/>
      <c r="G69" s="61"/>
      <c r="H69" s="85"/>
      <c r="I69" s="85"/>
      <c r="J69" s="87"/>
    </row>
    <row r="70" spans="2:10" x14ac:dyDescent="0.25">
      <c r="B70" s="276"/>
      <c r="C70" s="170" t="s">
        <v>20</v>
      </c>
      <c r="D70" s="136">
        <f>SUM(D55:D68)</f>
        <v>13103000</v>
      </c>
      <c r="E70" s="89">
        <f>SUM(E55:E68)</f>
        <v>18074175</v>
      </c>
      <c r="F70" s="89">
        <f>SUM(F55:F68)</f>
        <v>1197000</v>
      </c>
      <c r="G70" s="89">
        <f>SUM(G55:G68)</f>
        <v>19271175</v>
      </c>
      <c r="H70" s="136">
        <f>SUM(H55:H64)</f>
        <v>5692175</v>
      </c>
      <c r="I70" s="91">
        <f>G70/D70%</f>
        <v>147.07452491795772</v>
      </c>
      <c r="J70" s="171"/>
    </row>
    <row r="71" spans="2:10" x14ac:dyDescent="0.25">
      <c r="B71" s="275"/>
      <c r="C71" s="47"/>
      <c r="D71" s="47"/>
      <c r="E71" s="61"/>
      <c r="F71" s="62"/>
      <c r="G71" s="61"/>
      <c r="H71" s="85"/>
      <c r="I71" s="85"/>
      <c r="J71" s="87"/>
    </row>
    <row r="72" spans="2:10" ht="15.75" thickBot="1" x14ac:dyDescent="0.3">
      <c r="B72" s="275"/>
      <c r="C72" s="60" t="s">
        <v>21</v>
      </c>
      <c r="D72" s="93">
        <f>D30+D52+D70</f>
        <v>211756000</v>
      </c>
      <c r="E72" s="94">
        <f>E30+E52+E70</f>
        <v>207941394</v>
      </c>
      <c r="F72" s="95">
        <f>F30+F52+F70</f>
        <v>8379500</v>
      </c>
      <c r="G72" s="94">
        <f>G30+G52+G70</f>
        <v>216320894</v>
      </c>
      <c r="H72" s="96">
        <f>H30+H52+H70</f>
        <v>-9589365</v>
      </c>
      <c r="I72" s="97">
        <f>G72/D72%</f>
        <v>102.15573301346834</v>
      </c>
      <c r="J72" s="87"/>
    </row>
    <row r="73" spans="2:10" ht="15.75" thickTop="1" x14ac:dyDescent="0.25">
      <c r="B73" s="278"/>
      <c r="C73" s="98"/>
      <c r="D73" s="99"/>
      <c r="E73" s="100"/>
      <c r="F73" s="101"/>
      <c r="G73" s="100"/>
      <c r="H73" s="102"/>
      <c r="I73" s="103"/>
      <c r="J73" s="104"/>
    </row>
    <row r="74" spans="2:10" x14ac:dyDescent="0.25">
      <c r="B74" s="278"/>
      <c r="C74" s="98" t="s">
        <v>22</v>
      </c>
      <c r="D74" s="105"/>
      <c r="E74" s="106"/>
      <c r="F74" s="107"/>
      <c r="G74" s="106"/>
      <c r="H74" s="108"/>
      <c r="I74" s="109"/>
      <c r="J74" s="104"/>
    </row>
    <row r="75" spans="2:10" x14ac:dyDescent="0.25">
      <c r="B75" s="278" t="s">
        <v>12</v>
      </c>
      <c r="C75" s="98" t="s">
        <v>23</v>
      </c>
      <c r="D75" s="105">
        <v>13500000</v>
      </c>
      <c r="E75" s="106">
        <f>E126</f>
        <v>5168500</v>
      </c>
      <c r="F75" s="107">
        <f>F126</f>
        <v>502000</v>
      </c>
      <c r="G75" s="106">
        <f>E75+F75</f>
        <v>5670500</v>
      </c>
      <c r="H75" s="108">
        <f>G75-D75</f>
        <v>-7829500</v>
      </c>
      <c r="I75" s="110">
        <f>G75/D75%</f>
        <v>42.003703703703707</v>
      </c>
      <c r="J75" s="104"/>
    </row>
    <row r="76" spans="2:10" x14ac:dyDescent="0.25">
      <c r="B76" s="278"/>
      <c r="C76" s="98"/>
      <c r="D76" s="105"/>
      <c r="E76" s="106"/>
      <c r="F76" s="107"/>
      <c r="G76" s="106"/>
      <c r="H76" s="108"/>
      <c r="I76" s="110"/>
      <c r="J76" s="104"/>
    </row>
    <row r="77" spans="2:10" x14ac:dyDescent="0.25">
      <c r="B77" s="278" t="s">
        <v>15</v>
      </c>
      <c r="C77" s="98" t="s">
        <v>16</v>
      </c>
      <c r="D77" s="105">
        <v>4500000</v>
      </c>
      <c r="E77" s="106">
        <f>E147</f>
        <v>1008500</v>
      </c>
      <c r="F77" s="107">
        <f>F147</f>
        <v>0</v>
      </c>
      <c r="G77" s="106">
        <f>E77+F77</f>
        <v>1008500</v>
      </c>
      <c r="H77" s="108">
        <f>G77-D77</f>
        <v>-3491500</v>
      </c>
      <c r="I77" s="110">
        <f>G77/D77%</f>
        <v>22.411111111111111</v>
      </c>
      <c r="J77" s="104"/>
    </row>
    <row r="78" spans="2:10" x14ac:dyDescent="0.25">
      <c r="B78" s="278"/>
      <c r="C78" s="98"/>
      <c r="D78" s="105"/>
      <c r="E78" s="106"/>
      <c r="F78" s="107"/>
      <c r="G78" s="106"/>
      <c r="H78" s="108"/>
      <c r="I78" s="110"/>
      <c r="J78" s="104"/>
    </row>
    <row r="79" spans="2:10" x14ac:dyDescent="0.25">
      <c r="B79" s="278" t="s">
        <v>18</v>
      </c>
      <c r="C79" s="98" t="s">
        <v>19</v>
      </c>
      <c r="D79" s="105">
        <v>0</v>
      </c>
      <c r="E79" s="106">
        <f>E165</f>
        <v>20000</v>
      </c>
      <c r="F79" s="107">
        <f>F165</f>
        <v>0</v>
      </c>
      <c r="G79" s="106">
        <f>E79+F79</f>
        <v>20000</v>
      </c>
      <c r="H79" s="108">
        <f>G79-D79</f>
        <v>20000</v>
      </c>
      <c r="I79" s="110" t="e">
        <f>G79/D79%</f>
        <v>#DIV/0!</v>
      </c>
      <c r="J79" s="104"/>
    </row>
    <row r="80" spans="2:10" ht="15.75" thickBot="1" x14ac:dyDescent="0.3">
      <c r="B80" s="278"/>
      <c r="C80" s="98"/>
      <c r="D80" s="111"/>
      <c r="E80" s="112"/>
      <c r="F80" s="113"/>
      <c r="G80" s="112"/>
      <c r="H80" s="96"/>
      <c r="I80" s="97"/>
      <c r="J80" s="104"/>
    </row>
    <row r="81" spans="2:10" ht="16.5" thickTop="1" thickBot="1" x14ac:dyDescent="0.3">
      <c r="B81" s="279"/>
      <c r="C81" s="115" t="s">
        <v>24</v>
      </c>
      <c r="D81" s="116">
        <f>SUM(D75:D79)</f>
        <v>18000000</v>
      </c>
      <c r="E81" s="117">
        <f>SUM(E75:E79)</f>
        <v>6197000</v>
      </c>
      <c r="F81" s="118">
        <f>SUM(F75:F79)</f>
        <v>502000</v>
      </c>
      <c r="G81" s="117">
        <f>SUM(G75:G79)</f>
        <v>6699000</v>
      </c>
      <c r="H81" s="119">
        <f>SUM(H75:H79)</f>
        <v>-11301000</v>
      </c>
      <c r="I81" s="120">
        <f>G81/D81%</f>
        <v>37.216666666666669</v>
      </c>
      <c r="J81" s="121"/>
    </row>
    <row r="82" spans="2:10" x14ac:dyDescent="0.25">
      <c r="B82" s="280"/>
      <c r="C82" s="75"/>
      <c r="D82" s="75"/>
      <c r="E82" s="75"/>
      <c r="F82" s="75"/>
      <c r="G82" s="76"/>
      <c r="H82" s="75"/>
      <c r="I82" s="75"/>
      <c r="J82" s="75"/>
    </row>
    <row r="83" spans="2:10" x14ac:dyDescent="0.25">
      <c r="B83" s="280"/>
      <c r="C83" s="75"/>
      <c r="D83" s="75"/>
      <c r="E83" s="122" t="s">
        <v>25</v>
      </c>
      <c r="F83" s="242" t="s">
        <v>26</v>
      </c>
      <c r="G83" s="124" t="e">
        <f>#REF!</f>
        <v>#REF!</v>
      </c>
      <c r="H83" s="75"/>
      <c r="I83" s="75"/>
      <c r="J83" s="75"/>
    </row>
    <row r="84" spans="2:10" x14ac:dyDescent="0.25">
      <c r="B84" s="280"/>
      <c r="C84" s="75"/>
      <c r="D84" s="75"/>
      <c r="E84" s="122" t="s">
        <v>132</v>
      </c>
      <c r="F84" s="242" t="s">
        <v>26</v>
      </c>
      <c r="G84" s="124" t="e">
        <f>#REF!</f>
        <v>#REF!</v>
      </c>
      <c r="H84" s="75"/>
      <c r="I84" s="75"/>
      <c r="J84" s="75"/>
    </row>
    <row r="85" spans="2:10" x14ac:dyDescent="0.25">
      <c r="B85" s="280"/>
      <c r="C85" s="75"/>
      <c r="D85" s="75"/>
      <c r="E85" s="122" t="s">
        <v>27</v>
      </c>
      <c r="F85" s="242" t="s">
        <v>26</v>
      </c>
      <c r="G85" s="125">
        <f>154000+245000+777000+309000+151000+85000+118000+60000+61000+171000</f>
        <v>2131000</v>
      </c>
      <c r="H85" s="75"/>
      <c r="I85" s="75"/>
      <c r="J85" s="75"/>
    </row>
    <row r="86" spans="2:10" ht="19.5" x14ac:dyDescent="0.55000000000000004">
      <c r="B86" s="280"/>
      <c r="C86" s="75"/>
      <c r="D86" s="75"/>
      <c r="E86" s="122" t="s">
        <v>29</v>
      </c>
      <c r="F86" s="242" t="s">
        <v>26</v>
      </c>
      <c r="G86" s="126">
        <f>80000+150000+55000+180000+25000</f>
        <v>490000</v>
      </c>
      <c r="H86" s="75" t="s">
        <v>28</v>
      </c>
      <c r="I86" s="75"/>
      <c r="J86" s="75"/>
    </row>
    <row r="87" spans="2:10" ht="15.75" thickBot="1" x14ac:dyDescent="0.3">
      <c r="B87" s="280"/>
      <c r="C87" s="75"/>
      <c r="D87" s="75"/>
      <c r="E87" s="122" t="s">
        <v>30</v>
      </c>
      <c r="F87" s="123"/>
      <c r="G87" s="127" t="e">
        <f>SUM(G83:G86)</f>
        <v>#REF!</v>
      </c>
      <c r="H87" s="160" t="s">
        <v>126</v>
      </c>
      <c r="I87" s="27"/>
      <c r="J87" s="75"/>
    </row>
    <row r="88" spans="2:10" ht="15.75" thickTop="1" x14ac:dyDescent="0.25">
      <c r="B88" s="280"/>
      <c r="C88" s="75"/>
      <c r="D88" s="75"/>
      <c r="E88" s="122"/>
      <c r="F88" s="123"/>
      <c r="G88" s="159" t="s">
        <v>263</v>
      </c>
      <c r="H88" s="27"/>
      <c r="I88" s="27"/>
      <c r="J88" s="75"/>
    </row>
    <row r="89" spans="2:10" ht="15.75" thickBot="1" x14ac:dyDescent="0.3">
      <c r="B89" s="286" t="s">
        <v>367</v>
      </c>
      <c r="C89" s="161" t="s">
        <v>321</v>
      </c>
      <c r="D89" s="149"/>
      <c r="E89" s="162"/>
      <c r="F89" s="243" t="s">
        <v>26</v>
      </c>
      <c r="G89" s="244">
        <f>2000000+2000000+850000+1800000</f>
        <v>6650000</v>
      </c>
      <c r="H89" s="165" t="s">
        <v>126</v>
      </c>
      <c r="I89" s="149"/>
      <c r="J89" s="245">
        <f>SUM(G89:G90)</f>
        <v>20400000</v>
      </c>
    </row>
    <row r="90" spans="2:10" ht="16.5" thickTop="1" thickBot="1" x14ac:dyDescent="0.3">
      <c r="B90" s="281"/>
      <c r="C90" s="161" t="s">
        <v>322</v>
      </c>
      <c r="D90" s="162"/>
      <c r="E90" s="161"/>
      <c r="F90" s="243" t="s">
        <v>26</v>
      </c>
      <c r="G90" s="164">
        <f>2000000+2000000+2000000+2000000+2000000+2000000+1750000</f>
        <v>13750000</v>
      </c>
      <c r="H90" s="165" t="s">
        <v>126</v>
      </c>
      <c r="I90" s="149"/>
      <c r="J90" s="162"/>
    </row>
    <row r="91" spans="2:10" ht="15.75" thickTop="1" x14ac:dyDescent="0.25">
      <c r="B91" s="282"/>
      <c r="C91" s="27"/>
      <c r="D91" s="27"/>
      <c r="E91" s="27"/>
      <c r="F91" s="27"/>
      <c r="G91" s="27"/>
      <c r="H91" s="403" t="s">
        <v>369</v>
      </c>
      <c r="I91" s="403"/>
      <c r="J91" s="27"/>
    </row>
    <row r="92" spans="2:10" x14ac:dyDescent="0.25">
      <c r="B92" s="282"/>
      <c r="C92" s="27"/>
      <c r="D92" s="27"/>
      <c r="E92" s="27"/>
      <c r="F92" s="27"/>
      <c r="G92" s="166" t="e">
        <f>G72-G83</f>
        <v>#REF!</v>
      </c>
      <c r="H92" s="27"/>
      <c r="I92" s="27"/>
      <c r="J92" s="27"/>
    </row>
    <row r="93" spans="2:10" ht="15.75" thickBot="1" x14ac:dyDescent="0.3">
      <c r="B93" s="282"/>
      <c r="C93" s="27"/>
      <c r="D93" s="27"/>
      <c r="E93" s="27"/>
      <c r="F93" s="27"/>
      <c r="G93" s="27" t="s">
        <v>133</v>
      </c>
      <c r="H93" s="27"/>
      <c r="I93" s="27"/>
      <c r="J93" s="128" t="e">
        <f>G83+G86</f>
        <v>#REF!</v>
      </c>
    </row>
    <row r="94" spans="2:10" ht="15.75" thickTop="1" x14ac:dyDescent="0.25">
      <c r="B94" s="282"/>
      <c r="C94" s="27"/>
      <c r="D94" s="27"/>
      <c r="E94" s="27"/>
      <c r="F94" s="27"/>
      <c r="G94" s="27"/>
      <c r="H94" s="27"/>
      <c r="I94" s="27"/>
      <c r="J94" s="166"/>
    </row>
    <row r="95" spans="2:10" ht="15.75" thickBot="1" x14ac:dyDescent="0.3">
      <c r="B95" s="282"/>
      <c r="C95" s="27"/>
      <c r="D95" s="27"/>
      <c r="E95" s="27"/>
      <c r="F95" s="27"/>
      <c r="G95" s="27"/>
      <c r="H95" s="27"/>
      <c r="I95" s="27"/>
      <c r="J95" s="128" t="e">
        <f>G87+G89+G90</f>
        <v>#REF!</v>
      </c>
    </row>
    <row r="96" spans="2:10" ht="15.75" thickTop="1" x14ac:dyDescent="0.25">
      <c r="B96" s="282"/>
      <c r="C96" s="27"/>
      <c r="D96" s="27"/>
      <c r="E96" s="27"/>
      <c r="F96" s="27"/>
      <c r="G96" s="27"/>
      <c r="H96" s="27"/>
      <c r="I96" s="27"/>
      <c r="J96" s="27"/>
    </row>
    <row r="97" spans="2:10" x14ac:dyDescent="0.25">
      <c r="B97" s="283"/>
      <c r="C97" s="129"/>
      <c r="D97" s="129"/>
      <c r="E97" s="129"/>
      <c r="F97" s="129"/>
      <c r="G97" s="129"/>
      <c r="H97" s="129"/>
      <c r="I97" s="129"/>
      <c r="J97" s="129"/>
    </row>
    <row r="98" spans="2:10" x14ac:dyDescent="0.25">
      <c r="B98" s="282"/>
      <c r="C98" s="27"/>
      <c r="D98" s="27"/>
      <c r="E98" s="27"/>
      <c r="F98" s="27"/>
      <c r="G98" s="27"/>
      <c r="H98" s="27"/>
      <c r="I98" s="27"/>
      <c r="J98" s="75"/>
    </row>
    <row r="99" spans="2:10" x14ac:dyDescent="0.25">
      <c r="B99" s="406" t="s">
        <v>366</v>
      </c>
      <c r="C99" s="406"/>
      <c r="D99" s="406"/>
      <c r="E99" s="406"/>
      <c r="F99" s="406"/>
      <c r="G99" s="406"/>
      <c r="H99" s="406"/>
      <c r="I99" s="406"/>
      <c r="J99" s="75"/>
    </row>
    <row r="100" spans="2:10" ht="15.75" thickBot="1" x14ac:dyDescent="0.3">
      <c r="B100" s="406" t="s">
        <v>372</v>
      </c>
      <c r="C100" s="406"/>
      <c r="D100" s="406"/>
      <c r="E100" s="406"/>
      <c r="F100" s="406"/>
      <c r="G100" s="406"/>
      <c r="H100" s="406"/>
      <c r="I100" s="406"/>
      <c r="J100" s="78"/>
    </row>
    <row r="101" spans="2:10" x14ac:dyDescent="0.25">
      <c r="B101" s="420" t="s">
        <v>2</v>
      </c>
      <c r="C101" s="409" t="s">
        <v>3</v>
      </c>
      <c r="D101" s="411" t="s">
        <v>4</v>
      </c>
      <c r="E101" s="413" t="s">
        <v>5</v>
      </c>
      <c r="F101" s="414"/>
      <c r="G101" s="415"/>
      <c r="H101" s="413" t="s">
        <v>6</v>
      </c>
      <c r="I101" s="415"/>
      <c r="J101" s="416" t="s">
        <v>0</v>
      </c>
    </row>
    <row r="102" spans="2:10" ht="15.75" thickBot="1" x14ac:dyDescent="0.3">
      <c r="B102" s="421"/>
      <c r="C102" s="410"/>
      <c r="D102" s="412"/>
      <c r="E102" s="145" t="str">
        <f>E6</f>
        <v>PENJ. S/D TGL. 30</v>
      </c>
      <c r="F102" s="146" t="str">
        <f>F6</f>
        <v>PENJ. TGL. 31</v>
      </c>
      <c r="G102" s="130" t="s">
        <v>7</v>
      </c>
      <c r="H102" s="131" t="s">
        <v>8</v>
      </c>
      <c r="I102" s="130" t="s">
        <v>9</v>
      </c>
      <c r="J102" s="417"/>
    </row>
    <row r="103" spans="2:10" ht="15.75" thickTop="1" x14ac:dyDescent="0.25">
      <c r="B103" s="284"/>
      <c r="C103" s="133" t="s">
        <v>11</v>
      </c>
      <c r="D103" s="82"/>
      <c r="E103" s="42"/>
      <c r="F103" s="42"/>
      <c r="G103" s="41"/>
      <c r="H103" s="42"/>
      <c r="I103" s="42"/>
      <c r="J103" s="83"/>
    </row>
    <row r="104" spans="2:10" x14ac:dyDescent="0.25">
      <c r="B104" s="274" t="s">
        <v>12</v>
      </c>
      <c r="C104" s="44" t="s">
        <v>13</v>
      </c>
      <c r="D104" s="134">
        <v>13500000</v>
      </c>
      <c r="E104" s="45"/>
      <c r="F104" s="45"/>
      <c r="G104" s="59"/>
      <c r="H104" s="45"/>
      <c r="I104" s="45"/>
      <c r="J104" s="84"/>
    </row>
    <row r="105" spans="2:10" x14ac:dyDescent="0.25">
      <c r="B105" s="275"/>
      <c r="C105" s="47" t="s">
        <v>36</v>
      </c>
      <c r="D105" s="85">
        <v>0</v>
      </c>
      <c r="E105" s="85">
        <f>3030000-192000</f>
        <v>2838000</v>
      </c>
      <c r="F105" s="61">
        <f>70000+62000+60000</f>
        <v>192000</v>
      </c>
      <c r="G105" s="61">
        <f>E105+F105</f>
        <v>3030000</v>
      </c>
      <c r="H105" s="85">
        <f>G105-D105</f>
        <v>3030000</v>
      </c>
      <c r="I105" s="86" t="e">
        <f>G105/D105%</f>
        <v>#DIV/0!</v>
      </c>
      <c r="J105" s="87"/>
    </row>
    <row r="106" spans="2:10" x14ac:dyDescent="0.25">
      <c r="B106" s="275"/>
      <c r="C106" s="47" t="s">
        <v>37</v>
      </c>
      <c r="D106" s="85">
        <v>0</v>
      </c>
      <c r="E106" s="85">
        <v>230000</v>
      </c>
      <c r="F106" s="61">
        <v>0</v>
      </c>
      <c r="G106" s="61">
        <f t="shared" ref="G106:G124" si="10">E106+F106</f>
        <v>230000</v>
      </c>
      <c r="H106" s="85">
        <f>G106-D106</f>
        <v>230000</v>
      </c>
      <c r="I106" s="86" t="e">
        <f>G106/D106%</f>
        <v>#DIV/0!</v>
      </c>
      <c r="J106" s="87"/>
    </row>
    <row r="107" spans="2:10" x14ac:dyDescent="0.25">
      <c r="B107" s="275"/>
      <c r="C107" s="47" t="s">
        <v>52</v>
      </c>
      <c r="D107" s="85">
        <v>0</v>
      </c>
      <c r="E107" s="85">
        <v>0</v>
      </c>
      <c r="F107" s="61">
        <v>0</v>
      </c>
      <c r="G107" s="61">
        <f t="shared" si="10"/>
        <v>0</v>
      </c>
      <c r="H107" s="85"/>
      <c r="I107" s="86"/>
      <c r="J107" s="87"/>
    </row>
    <row r="108" spans="2:10" x14ac:dyDescent="0.25">
      <c r="B108" s="275"/>
      <c r="C108" s="47" t="s">
        <v>53</v>
      </c>
      <c r="D108" s="85">
        <v>0</v>
      </c>
      <c r="E108" s="85">
        <f>542000-50000</f>
        <v>492000</v>
      </c>
      <c r="F108" s="61">
        <f>50000</f>
        <v>50000</v>
      </c>
      <c r="G108" s="61">
        <f t="shared" si="10"/>
        <v>542000</v>
      </c>
      <c r="H108" s="85">
        <f t="shared" ref="H108:H124" si="11">G108-D108</f>
        <v>542000</v>
      </c>
      <c r="I108" s="86" t="e">
        <f t="shared" ref="I108:I123" si="12">G108/D108%</f>
        <v>#DIV/0!</v>
      </c>
      <c r="J108" s="87"/>
    </row>
    <row r="109" spans="2:10" x14ac:dyDescent="0.25">
      <c r="B109" s="275"/>
      <c r="C109" s="47" t="s">
        <v>54</v>
      </c>
      <c r="D109" s="85"/>
      <c r="E109" s="85">
        <v>72500</v>
      </c>
      <c r="F109" s="61">
        <v>0</v>
      </c>
      <c r="G109" s="61">
        <f t="shared" si="10"/>
        <v>72500</v>
      </c>
      <c r="H109" s="85">
        <f t="shared" si="11"/>
        <v>72500</v>
      </c>
      <c r="I109" s="86" t="e">
        <f t="shared" si="12"/>
        <v>#DIV/0!</v>
      </c>
      <c r="J109" s="88"/>
    </row>
    <row r="110" spans="2:10" x14ac:dyDescent="0.25">
      <c r="B110" s="275"/>
      <c r="C110" s="47" t="s">
        <v>55</v>
      </c>
      <c r="D110" s="85">
        <v>0</v>
      </c>
      <c r="E110" s="85">
        <v>350000</v>
      </c>
      <c r="F110" s="61">
        <v>0</v>
      </c>
      <c r="G110" s="61">
        <f t="shared" si="10"/>
        <v>350000</v>
      </c>
      <c r="H110" s="85">
        <f t="shared" si="11"/>
        <v>350000</v>
      </c>
      <c r="I110" s="86" t="e">
        <f t="shared" si="12"/>
        <v>#DIV/0!</v>
      </c>
      <c r="J110" s="88"/>
    </row>
    <row r="111" spans="2:10" x14ac:dyDescent="0.25">
      <c r="B111" s="275"/>
      <c r="C111" s="47" t="s">
        <v>56</v>
      </c>
      <c r="D111" s="85">
        <v>0</v>
      </c>
      <c r="E111" s="85">
        <v>100000</v>
      </c>
      <c r="F111" s="61">
        <v>0</v>
      </c>
      <c r="G111" s="61">
        <f t="shared" si="10"/>
        <v>100000</v>
      </c>
      <c r="H111" s="85">
        <f t="shared" si="11"/>
        <v>100000</v>
      </c>
      <c r="I111" s="86" t="e">
        <f t="shared" si="12"/>
        <v>#DIV/0!</v>
      </c>
      <c r="J111" s="87"/>
    </row>
    <row r="112" spans="2:10" x14ac:dyDescent="0.25">
      <c r="B112" s="275"/>
      <c r="C112" s="47" t="s">
        <v>57</v>
      </c>
      <c r="D112" s="85">
        <v>0</v>
      </c>
      <c r="E112" s="85">
        <v>700000</v>
      </c>
      <c r="F112" s="61">
        <f>100000+50000+50000</f>
        <v>200000</v>
      </c>
      <c r="G112" s="61">
        <f t="shared" si="10"/>
        <v>900000</v>
      </c>
      <c r="H112" s="85">
        <f t="shared" si="11"/>
        <v>900000</v>
      </c>
      <c r="I112" s="86" t="e">
        <f t="shared" si="12"/>
        <v>#DIV/0!</v>
      </c>
      <c r="J112" s="87"/>
    </row>
    <row r="113" spans="2:10" x14ac:dyDescent="0.25">
      <c r="B113" s="275"/>
      <c r="C113" s="47" t="s">
        <v>58</v>
      </c>
      <c r="D113" s="85">
        <v>0</v>
      </c>
      <c r="E113" s="85">
        <v>100000</v>
      </c>
      <c r="F113" s="61">
        <f>60000</f>
        <v>60000</v>
      </c>
      <c r="G113" s="61">
        <f t="shared" si="10"/>
        <v>160000</v>
      </c>
      <c r="H113" s="85">
        <f t="shared" si="11"/>
        <v>160000</v>
      </c>
      <c r="I113" s="86" t="e">
        <f t="shared" si="12"/>
        <v>#DIV/0!</v>
      </c>
      <c r="J113" s="87"/>
    </row>
    <row r="114" spans="2:10" x14ac:dyDescent="0.25">
      <c r="B114" s="275"/>
      <c r="C114" s="47" t="s">
        <v>59</v>
      </c>
      <c r="D114" s="85">
        <v>0</v>
      </c>
      <c r="E114" s="85">
        <v>0</v>
      </c>
      <c r="F114" s="61">
        <v>0</v>
      </c>
      <c r="G114" s="61">
        <f t="shared" si="10"/>
        <v>0</v>
      </c>
      <c r="H114" s="85">
        <f t="shared" si="11"/>
        <v>0</v>
      </c>
      <c r="I114" s="86" t="e">
        <f t="shared" si="12"/>
        <v>#DIV/0!</v>
      </c>
      <c r="J114" s="87"/>
    </row>
    <row r="115" spans="2:10" x14ac:dyDescent="0.25">
      <c r="B115" s="275"/>
      <c r="C115" s="47" t="s">
        <v>60</v>
      </c>
      <c r="D115" s="85">
        <v>0</v>
      </c>
      <c r="E115" s="85">
        <v>0</v>
      </c>
      <c r="F115" s="61">
        <v>0</v>
      </c>
      <c r="G115" s="61">
        <f t="shared" si="10"/>
        <v>0</v>
      </c>
      <c r="H115" s="85">
        <f t="shared" si="11"/>
        <v>0</v>
      </c>
      <c r="I115" s="86" t="e">
        <f t="shared" si="12"/>
        <v>#DIV/0!</v>
      </c>
      <c r="J115" s="87"/>
    </row>
    <row r="116" spans="2:10" x14ac:dyDescent="0.25">
      <c r="B116" s="275"/>
      <c r="C116" s="47" t="s">
        <v>61</v>
      </c>
      <c r="D116" s="85">
        <v>0</v>
      </c>
      <c r="E116" s="85">
        <v>200000</v>
      </c>
      <c r="F116" s="61">
        <v>0</v>
      </c>
      <c r="G116" s="61">
        <f t="shared" si="10"/>
        <v>200000</v>
      </c>
      <c r="H116" s="85">
        <f t="shared" si="11"/>
        <v>200000</v>
      </c>
      <c r="I116" s="86" t="e">
        <f t="shared" si="12"/>
        <v>#DIV/0!</v>
      </c>
      <c r="J116" s="87"/>
    </row>
    <row r="117" spans="2:10" x14ac:dyDescent="0.25">
      <c r="B117" s="275"/>
      <c r="C117" s="47" t="s">
        <v>324</v>
      </c>
      <c r="D117" s="85">
        <v>0</v>
      </c>
      <c r="E117" s="48">
        <v>0</v>
      </c>
      <c r="F117" s="61">
        <v>0</v>
      </c>
      <c r="G117" s="61">
        <f t="shared" si="10"/>
        <v>0</v>
      </c>
      <c r="H117" s="85">
        <f t="shared" si="11"/>
        <v>0</v>
      </c>
      <c r="I117" s="86" t="e">
        <f t="shared" si="12"/>
        <v>#DIV/0!</v>
      </c>
      <c r="J117" s="87"/>
    </row>
    <row r="118" spans="2:10" x14ac:dyDescent="0.25">
      <c r="B118" s="275"/>
      <c r="C118" s="47" t="s">
        <v>63</v>
      </c>
      <c r="D118" s="85">
        <v>0</v>
      </c>
      <c r="E118" s="48">
        <v>0</v>
      </c>
      <c r="F118" s="61">
        <v>0</v>
      </c>
      <c r="G118" s="61">
        <f t="shared" si="10"/>
        <v>0</v>
      </c>
      <c r="H118" s="85">
        <f t="shared" si="11"/>
        <v>0</v>
      </c>
      <c r="I118" s="86" t="e">
        <f t="shared" si="12"/>
        <v>#DIV/0!</v>
      </c>
      <c r="J118" s="87"/>
    </row>
    <row r="119" spans="2:10" x14ac:dyDescent="0.25">
      <c r="B119" s="275"/>
      <c r="C119" s="47" t="s">
        <v>64</v>
      </c>
      <c r="D119" s="85">
        <v>0</v>
      </c>
      <c r="E119" s="48">
        <v>0</v>
      </c>
      <c r="F119" s="61">
        <v>0</v>
      </c>
      <c r="G119" s="61">
        <f t="shared" si="10"/>
        <v>0</v>
      </c>
      <c r="H119" s="85">
        <f t="shared" si="11"/>
        <v>0</v>
      </c>
      <c r="I119" s="86" t="e">
        <f t="shared" si="12"/>
        <v>#DIV/0!</v>
      </c>
      <c r="J119" s="87"/>
    </row>
    <row r="120" spans="2:10" x14ac:dyDescent="0.25">
      <c r="B120" s="275"/>
      <c r="C120" s="47" t="s">
        <v>65</v>
      </c>
      <c r="D120" s="85">
        <v>0</v>
      </c>
      <c r="E120" s="48">
        <v>86000</v>
      </c>
      <c r="F120" s="61">
        <v>0</v>
      </c>
      <c r="G120" s="61">
        <f t="shared" si="10"/>
        <v>86000</v>
      </c>
      <c r="H120" s="85">
        <f t="shared" si="11"/>
        <v>86000</v>
      </c>
      <c r="I120" s="86" t="e">
        <f t="shared" si="12"/>
        <v>#DIV/0!</v>
      </c>
      <c r="J120" s="87"/>
    </row>
    <row r="121" spans="2:10" x14ac:dyDescent="0.25">
      <c r="B121" s="275"/>
      <c r="C121" s="47" t="s">
        <v>66</v>
      </c>
      <c r="D121" s="85">
        <v>0</v>
      </c>
      <c r="E121" s="48">
        <v>0</v>
      </c>
      <c r="F121" s="61">
        <v>0</v>
      </c>
      <c r="G121" s="61">
        <f t="shared" si="10"/>
        <v>0</v>
      </c>
      <c r="H121" s="85">
        <f t="shared" si="11"/>
        <v>0</v>
      </c>
      <c r="I121" s="86" t="e">
        <f t="shared" si="12"/>
        <v>#DIV/0!</v>
      </c>
      <c r="J121" s="87"/>
    </row>
    <row r="122" spans="2:10" x14ac:dyDescent="0.25">
      <c r="B122" s="275"/>
      <c r="C122" s="47" t="s">
        <v>67</v>
      </c>
      <c r="D122" s="85">
        <v>0</v>
      </c>
      <c r="E122" s="48">
        <v>0</v>
      </c>
      <c r="F122" s="61">
        <v>0</v>
      </c>
      <c r="G122" s="61">
        <f t="shared" si="10"/>
        <v>0</v>
      </c>
      <c r="H122" s="85">
        <f t="shared" si="11"/>
        <v>0</v>
      </c>
      <c r="I122" s="86" t="e">
        <f t="shared" si="12"/>
        <v>#DIV/0!</v>
      </c>
      <c r="J122" s="87"/>
    </row>
    <row r="123" spans="2:10" x14ac:dyDescent="0.25">
      <c r="B123" s="275"/>
      <c r="C123" s="47" t="s">
        <v>68</v>
      </c>
      <c r="D123" s="85">
        <v>0</v>
      </c>
      <c r="E123" s="48">
        <v>0</v>
      </c>
      <c r="F123" s="61">
        <v>0</v>
      </c>
      <c r="G123" s="61">
        <f t="shared" si="10"/>
        <v>0</v>
      </c>
      <c r="H123" s="85">
        <f t="shared" si="11"/>
        <v>0</v>
      </c>
      <c r="I123" s="86" t="e">
        <f t="shared" si="12"/>
        <v>#DIV/0!</v>
      </c>
      <c r="J123" s="87"/>
    </row>
    <row r="124" spans="2:10" x14ac:dyDescent="0.25">
      <c r="B124" s="275"/>
      <c r="C124" s="47" t="s">
        <v>69</v>
      </c>
      <c r="D124" s="85">
        <v>0</v>
      </c>
      <c r="E124" s="48">
        <v>0</v>
      </c>
      <c r="F124" s="61">
        <v>0</v>
      </c>
      <c r="G124" s="61">
        <f t="shared" si="10"/>
        <v>0</v>
      </c>
      <c r="H124" s="85">
        <f t="shared" si="11"/>
        <v>0</v>
      </c>
      <c r="I124" s="86"/>
      <c r="J124" s="87"/>
    </row>
    <row r="125" spans="2:10" x14ac:dyDescent="0.25">
      <c r="B125" s="275"/>
      <c r="C125" s="47"/>
      <c r="D125" s="47"/>
      <c r="E125" s="61"/>
      <c r="F125" s="61"/>
      <c r="G125" s="61"/>
      <c r="H125" s="85"/>
      <c r="I125" s="86"/>
      <c r="J125" s="87"/>
    </row>
    <row r="126" spans="2:10" x14ac:dyDescent="0.25">
      <c r="B126" s="275"/>
      <c r="C126" s="60" t="s">
        <v>14</v>
      </c>
      <c r="D126" s="135">
        <f>D104</f>
        <v>13500000</v>
      </c>
      <c r="E126" s="89">
        <f>SUM(E105:E124)</f>
        <v>5168500</v>
      </c>
      <c r="F126" s="89">
        <f>SUM(F105:F124)</f>
        <v>502000</v>
      </c>
      <c r="G126" s="89">
        <f>SUM(G105:G124)</f>
        <v>5670500</v>
      </c>
      <c r="H126" s="90">
        <f>SUM(H105:H118)</f>
        <v>5584500</v>
      </c>
      <c r="I126" s="91">
        <f>G126/D126%</f>
        <v>42.003703703703707</v>
      </c>
      <c r="J126" s="87"/>
    </row>
    <row r="127" spans="2:10" x14ac:dyDescent="0.25">
      <c r="B127" s="275"/>
      <c r="C127" s="47"/>
      <c r="D127" s="47"/>
      <c r="E127" s="61"/>
      <c r="F127" s="62"/>
      <c r="G127" s="61"/>
      <c r="H127" s="85"/>
      <c r="I127" s="85"/>
      <c r="J127" s="87"/>
    </row>
    <row r="128" spans="2:10" x14ac:dyDescent="0.25">
      <c r="B128" s="275" t="s">
        <v>15</v>
      </c>
      <c r="C128" s="60" t="s">
        <v>16</v>
      </c>
      <c r="D128" s="134">
        <v>4500000</v>
      </c>
      <c r="E128" s="61"/>
      <c r="F128" s="62"/>
      <c r="G128" s="61"/>
      <c r="H128" s="85"/>
      <c r="I128" s="85"/>
      <c r="J128" s="87"/>
    </row>
    <row r="129" spans="2:10" x14ac:dyDescent="0.25">
      <c r="B129" s="275"/>
      <c r="C129" s="47" t="s">
        <v>38</v>
      </c>
      <c r="D129" s="85">
        <v>0</v>
      </c>
      <c r="E129" s="48">
        <v>0</v>
      </c>
      <c r="F129" s="61">
        <v>0</v>
      </c>
      <c r="G129" s="61">
        <f t="shared" ref="G129:G145" si="13">E129+F129</f>
        <v>0</v>
      </c>
      <c r="H129" s="85">
        <f t="shared" ref="H129:H145" si="14">G129-D129</f>
        <v>0</v>
      </c>
      <c r="I129" s="86" t="e">
        <f t="shared" ref="I129:I145" si="15">G129/D129%</f>
        <v>#DIV/0!</v>
      </c>
      <c r="J129" s="87"/>
    </row>
    <row r="130" spans="2:10" x14ac:dyDescent="0.25">
      <c r="B130" s="275"/>
      <c r="C130" s="47" t="s">
        <v>39</v>
      </c>
      <c r="D130" s="85">
        <v>0</v>
      </c>
      <c r="E130" s="48">
        <v>213500</v>
      </c>
      <c r="F130" s="61">
        <v>0</v>
      </c>
      <c r="G130" s="61">
        <f t="shared" si="13"/>
        <v>213500</v>
      </c>
      <c r="H130" s="85">
        <f t="shared" si="14"/>
        <v>213500</v>
      </c>
      <c r="I130" s="86" t="e">
        <f t="shared" si="15"/>
        <v>#DIV/0!</v>
      </c>
      <c r="J130" s="87"/>
    </row>
    <row r="131" spans="2:10" x14ac:dyDescent="0.25">
      <c r="B131" s="275"/>
      <c r="C131" s="47" t="s">
        <v>40</v>
      </c>
      <c r="D131" s="85">
        <v>0</v>
      </c>
      <c r="E131" s="48">
        <v>110000</v>
      </c>
      <c r="F131" s="61">
        <v>0</v>
      </c>
      <c r="G131" s="61">
        <f t="shared" si="13"/>
        <v>110000</v>
      </c>
      <c r="H131" s="85">
        <f t="shared" si="14"/>
        <v>110000</v>
      </c>
      <c r="I131" s="86" t="e">
        <f t="shared" si="15"/>
        <v>#DIV/0!</v>
      </c>
      <c r="J131" s="87"/>
    </row>
    <row r="132" spans="2:10" x14ac:dyDescent="0.25">
      <c r="B132" s="275"/>
      <c r="C132" s="47" t="s">
        <v>41</v>
      </c>
      <c r="D132" s="85">
        <v>0</v>
      </c>
      <c r="E132" s="48">
        <v>0</v>
      </c>
      <c r="F132" s="61">
        <v>0</v>
      </c>
      <c r="G132" s="61">
        <f t="shared" si="13"/>
        <v>0</v>
      </c>
      <c r="H132" s="85">
        <f t="shared" si="14"/>
        <v>0</v>
      </c>
      <c r="I132" s="86" t="e">
        <f t="shared" si="15"/>
        <v>#DIV/0!</v>
      </c>
      <c r="J132" s="87"/>
    </row>
    <row r="133" spans="2:10" x14ac:dyDescent="0.25">
      <c r="B133" s="275"/>
      <c r="C133" s="47" t="s">
        <v>50</v>
      </c>
      <c r="D133" s="85">
        <v>0</v>
      </c>
      <c r="E133" s="48">
        <v>0</v>
      </c>
      <c r="F133" s="61">
        <v>0</v>
      </c>
      <c r="G133" s="61">
        <f t="shared" si="13"/>
        <v>0</v>
      </c>
      <c r="H133" s="85">
        <f t="shared" si="14"/>
        <v>0</v>
      </c>
      <c r="I133" s="86" t="e">
        <f t="shared" si="15"/>
        <v>#DIV/0!</v>
      </c>
      <c r="J133" s="87"/>
    </row>
    <row r="134" spans="2:10" x14ac:dyDescent="0.25">
      <c r="B134" s="275"/>
      <c r="C134" s="47" t="s">
        <v>51</v>
      </c>
      <c r="D134" s="85">
        <v>0</v>
      </c>
      <c r="E134" s="48">
        <v>0</v>
      </c>
      <c r="F134" s="61">
        <v>0</v>
      </c>
      <c r="G134" s="61">
        <f t="shared" si="13"/>
        <v>0</v>
      </c>
      <c r="H134" s="85">
        <f t="shared" si="14"/>
        <v>0</v>
      </c>
      <c r="I134" s="86" t="e">
        <f t="shared" si="15"/>
        <v>#DIV/0!</v>
      </c>
      <c r="J134" s="87"/>
    </row>
    <row r="135" spans="2:10" x14ac:dyDescent="0.25">
      <c r="B135" s="275"/>
      <c r="C135" s="47" t="s">
        <v>49</v>
      </c>
      <c r="D135" s="85">
        <v>0</v>
      </c>
      <c r="E135" s="48">
        <v>0</v>
      </c>
      <c r="F135" s="61">
        <v>0</v>
      </c>
      <c r="G135" s="61">
        <f t="shared" si="13"/>
        <v>0</v>
      </c>
      <c r="H135" s="85">
        <f t="shared" si="14"/>
        <v>0</v>
      </c>
      <c r="I135" s="86" t="e">
        <f t="shared" si="15"/>
        <v>#DIV/0!</v>
      </c>
      <c r="J135" s="87"/>
    </row>
    <row r="136" spans="2:10" x14ac:dyDescent="0.25">
      <c r="B136" s="275"/>
      <c r="C136" s="47" t="s">
        <v>79</v>
      </c>
      <c r="D136" s="85">
        <v>0</v>
      </c>
      <c r="E136" s="48">
        <v>0</v>
      </c>
      <c r="F136" s="61">
        <v>0</v>
      </c>
      <c r="G136" s="61">
        <f t="shared" si="13"/>
        <v>0</v>
      </c>
      <c r="H136" s="85">
        <f t="shared" si="14"/>
        <v>0</v>
      </c>
      <c r="I136" s="86" t="e">
        <f t="shared" si="15"/>
        <v>#DIV/0!</v>
      </c>
      <c r="J136" s="87"/>
    </row>
    <row r="137" spans="2:10" x14ac:dyDescent="0.25">
      <c r="B137" s="275"/>
      <c r="C137" s="47" t="s">
        <v>71</v>
      </c>
      <c r="D137" s="85">
        <v>0</v>
      </c>
      <c r="E137" s="48">
        <v>685000</v>
      </c>
      <c r="F137" s="61">
        <v>0</v>
      </c>
      <c r="G137" s="61">
        <f t="shared" si="13"/>
        <v>685000</v>
      </c>
      <c r="H137" s="85">
        <f t="shared" si="14"/>
        <v>685000</v>
      </c>
      <c r="I137" s="86" t="e">
        <f t="shared" si="15"/>
        <v>#DIV/0!</v>
      </c>
      <c r="J137" s="87"/>
    </row>
    <row r="138" spans="2:10" x14ac:dyDescent="0.25">
      <c r="B138" s="275"/>
      <c r="C138" s="47" t="s">
        <v>72</v>
      </c>
      <c r="D138" s="85">
        <v>0</v>
      </c>
      <c r="E138" s="48">
        <v>0</v>
      </c>
      <c r="F138" s="61">
        <v>0</v>
      </c>
      <c r="G138" s="61">
        <f t="shared" si="13"/>
        <v>0</v>
      </c>
      <c r="H138" s="85">
        <f t="shared" si="14"/>
        <v>0</v>
      </c>
      <c r="I138" s="86" t="e">
        <f t="shared" si="15"/>
        <v>#DIV/0!</v>
      </c>
      <c r="J138" s="87"/>
    </row>
    <row r="139" spans="2:10" x14ac:dyDescent="0.25">
      <c r="B139" s="275"/>
      <c r="C139" s="47" t="s">
        <v>70</v>
      </c>
      <c r="D139" s="85">
        <v>0</v>
      </c>
      <c r="E139" s="48">
        <v>0</v>
      </c>
      <c r="F139" s="61">
        <v>0</v>
      </c>
      <c r="G139" s="61">
        <f>E139+F139</f>
        <v>0</v>
      </c>
      <c r="H139" s="85">
        <f t="shared" si="14"/>
        <v>0</v>
      </c>
      <c r="I139" s="86" t="e">
        <f t="shared" si="15"/>
        <v>#DIV/0!</v>
      </c>
      <c r="J139" s="87"/>
    </row>
    <row r="140" spans="2:10" x14ac:dyDescent="0.25">
      <c r="B140" s="275"/>
      <c r="C140" s="47" t="s">
        <v>73</v>
      </c>
      <c r="D140" s="85">
        <v>0</v>
      </c>
      <c r="E140" s="48">
        <v>0</v>
      </c>
      <c r="F140" s="61">
        <v>0</v>
      </c>
      <c r="G140" s="61">
        <f t="shared" si="13"/>
        <v>0</v>
      </c>
      <c r="H140" s="85">
        <f t="shared" si="14"/>
        <v>0</v>
      </c>
      <c r="I140" s="86" t="e">
        <f t="shared" si="15"/>
        <v>#DIV/0!</v>
      </c>
      <c r="J140" s="87"/>
    </row>
    <row r="141" spans="2:10" x14ac:dyDescent="0.25">
      <c r="B141" s="275"/>
      <c r="C141" s="47" t="s">
        <v>74</v>
      </c>
      <c r="D141" s="85">
        <v>0</v>
      </c>
      <c r="E141" s="48">
        <v>0</v>
      </c>
      <c r="F141" s="61">
        <v>0</v>
      </c>
      <c r="G141" s="61">
        <f t="shared" si="13"/>
        <v>0</v>
      </c>
      <c r="H141" s="85">
        <f t="shared" si="14"/>
        <v>0</v>
      </c>
      <c r="I141" s="86" t="e">
        <f t="shared" si="15"/>
        <v>#DIV/0!</v>
      </c>
      <c r="J141" s="87"/>
    </row>
    <row r="142" spans="2:10" x14ac:dyDescent="0.25">
      <c r="B142" s="275"/>
      <c r="C142" s="47" t="s">
        <v>75</v>
      </c>
      <c r="D142" s="85">
        <v>0</v>
      </c>
      <c r="E142" s="48">
        <v>0</v>
      </c>
      <c r="F142" s="61">
        <v>0</v>
      </c>
      <c r="G142" s="61">
        <f t="shared" si="13"/>
        <v>0</v>
      </c>
      <c r="H142" s="85">
        <f t="shared" si="14"/>
        <v>0</v>
      </c>
      <c r="I142" s="86" t="e">
        <f t="shared" si="15"/>
        <v>#DIV/0!</v>
      </c>
      <c r="J142" s="87"/>
    </row>
    <row r="143" spans="2:10" x14ac:dyDescent="0.25">
      <c r="B143" s="275"/>
      <c r="C143" s="47" t="s">
        <v>76</v>
      </c>
      <c r="D143" s="85">
        <v>0</v>
      </c>
      <c r="E143" s="48">
        <v>0</v>
      </c>
      <c r="F143" s="61">
        <v>0</v>
      </c>
      <c r="G143" s="61">
        <f t="shared" si="13"/>
        <v>0</v>
      </c>
      <c r="H143" s="85">
        <f t="shared" si="14"/>
        <v>0</v>
      </c>
      <c r="I143" s="86" t="e">
        <f t="shared" si="15"/>
        <v>#DIV/0!</v>
      </c>
      <c r="J143" s="87"/>
    </row>
    <row r="144" spans="2:10" x14ac:dyDescent="0.25">
      <c r="B144" s="275"/>
      <c r="C144" s="47" t="s">
        <v>77</v>
      </c>
      <c r="D144" s="85">
        <v>0</v>
      </c>
      <c r="E144" s="48">
        <v>0</v>
      </c>
      <c r="F144" s="61">
        <v>0</v>
      </c>
      <c r="G144" s="61">
        <f t="shared" si="13"/>
        <v>0</v>
      </c>
      <c r="H144" s="85">
        <f t="shared" si="14"/>
        <v>0</v>
      </c>
      <c r="I144" s="86" t="e">
        <f t="shared" si="15"/>
        <v>#DIV/0!</v>
      </c>
      <c r="J144" s="87"/>
    </row>
    <row r="145" spans="2:10" x14ac:dyDescent="0.25">
      <c r="B145" s="275"/>
      <c r="C145" s="47" t="s">
        <v>323</v>
      </c>
      <c r="D145" s="85">
        <v>0</v>
      </c>
      <c r="E145" s="48">
        <v>0</v>
      </c>
      <c r="F145" s="61">
        <v>0</v>
      </c>
      <c r="G145" s="61">
        <f t="shared" si="13"/>
        <v>0</v>
      </c>
      <c r="H145" s="85">
        <f t="shared" si="14"/>
        <v>0</v>
      </c>
      <c r="I145" s="86" t="e">
        <f t="shared" si="15"/>
        <v>#DIV/0!</v>
      </c>
      <c r="J145" s="87"/>
    </row>
    <row r="146" spans="2:10" x14ac:dyDescent="0.25">
      <c r="B146" s="275"/>
      <c r="C146" s="47"/>
      <c r="D146" s="85"/>
      <c r="E146" s="61"/>
      <c r="F146" s="61"/>
      <c r="G146" s="61"/>
      <c r="H146" s="85"/>
      <c r="I146" s="85"/>
      <c r="J146" s="87"/>
    </row>
    <row r="147" spans="2:10" x14ac:dyDescent="0.25">
      <c r="B147" s="275"/>
      <c r="C147" s="60" t="s">
        <v>17</v>
      </c>
      <c r="D147" s="136">
        <f>D128</f>
        <v>4500000</v>
      </c>
      <c r="E147" s="89">
        <f>SUM(E129:E145)</f>
        <v>1008500</v>
      </c>
      <c r="F147" s="89">
        <f>SUM(F129:F145)</f>
        <v>0</v>
      </c>
      <c r="G147" s="89">
        <f>SUM(G129:G145)</f>
        <v>1008500</v>
      </c>
      <c r="H147" s="90">
        <f>SUM(H129:H145)</f>
        <v>1008500</v>
      </c>
      <c r="I147" s="91">
        <f>G147/D147%</f>
        <v>22.411111111111111</v>
      </c>
      <c r="J147" s="87"/>
    </row>
    <row r="148" spans="2:10" x14ac:dyDescent="0.25">
      <c r="B148" s="275"/>
      <c r="C148" s="47"/>
      <c r="D148" s="47"/>
      <c r="E148" s="61"/>
      <c r="F148" s="62"/>
      <c r="G148" s="61"/>
      <c r="H148" s="85"/>
      <c r="I148" s="85"/>
      <c r="J148" s="87"/>
    </row>
    <row r="149" spans="2:10" x14ac:dyDescent="0.25">
      <c r="B149" s="275" t="s">
        <v>18</v>
      </c>
      <c r="C149" s="60" t="s">
        <v>19</v>
      </c>
      <c r="D149" s="134"/>
      <c r="E149" s="61"/>
      <c r="F149" s="62"/>
      <c r="G149" s="61"/>
      <c r="H149" s="85"/>
      <c r="I149" s="85"/>
      <c r="J149" s="87"/>
    </row>
    <row r="150" spans="2:10" x14ac:dyDescent="0.25">
      <c r="B150" s="275"/>
      <c r="C150" s="47" t="s">
        <v>42</v>
      </c>
      <c r="D150" s="85">
        <v>0</v>
      </c>
      <c r="E150" s="85">
        <v>0</v>
      </c>
      <c r="F150" s="61">
        <v>0</v>
      </c>
      <c r="G150" s="61">
        <f>E150+F150</f>
        <v>0</v>
      </c>
      <c r="H150" s="85">
        <f t="shared" ref="H150:H163" si="16">G150-D150</f>
        <v>0</v>
      </c>
      <c r="I150" s="86" t="e">
        <f t="shared" ref="I150:I163" si="17">G150/D150%</f>
        <v>#DIV/0!</v>
      </c>
      <c r="J150" s="87"/>
    </row>
    <row r="151" spans="2:10" x14ac:dyDescent="0.25">
      <c r="B151" s="275"/>
      <c r="C151" s="47" t="s">
        <v>43</v>
      </c>
      <c r="D151" s="85">
        <v>0</v>
      </c>
      <c r="E151" s="85">
        <v>0</v>
      </c>
      <c r="F151" s="61">
        <v>0</v>
      </c>
      <c r="G151" s="61">
        <f t="shared" ref="G151:G163" si="18">E151+F151</f>
        <v>0</v>
      </c>
      <c r="H151" s="85">
        <f t="shared" si="16"/>
        <v>0</v>
      </c>
      <c r="I151" s="86" t="e">
        <f t="shared" si="17"/>
        <v>#DIV/0!</v>
      </c>
      <c r="J151" s="87"/>
    </row>
    <row r="152" spans="2:10" x14ac:dyDescent="0.25">
      <c r="B152" s="275"/>
      <c r="C152" s="47" t="s">
        <v>44</v>
      </c>
      <c r="D152" s="85">
        <v>0</v>
      </c>
      <c r="E152" s="85">
        <v>20000</v>
      </c>
      <c r="F152" s="61">
        <v>0</v>
      </c>
      <c r="G152" s="61">
        <f t="shared" si="18"/>
        <v>20000</v>
      </c>
      <c r="H152" s="85">
        <f t="shared" si="16"/>
        <v>20000</v>
      </c>
      <c r="I152" s="86" t="e">
        <f t="shared" si="17"/>
        <v>#DIV/0!</v>
      </c>
      <c r="J152" s="87"/>
    </row>
    <row r="153" spans="2:10" x14ac:dyDescent="0.25">
      <c r="B153" s="275"/>
      <c r="C153" s="47" t="s">
        <v>45</v>
      </c>
      <c r="D153" s="85">
        <v>0</v>
      </c>
      <c r="E153" s="85">
        <v>0</v>
      </c>
      <c r="F153" s="61">
        <v>0</v>
      </c>
      <c r="G153" s="61">
        <f t="shared" si="18"/>
        <v>0</v>
      </c>
      <c r="H153" s="85">
        <f t="shared" si="16"/>
        <v>0</v>
      </c>
      <c r="I153" s="86" t="e">
        <f t="shared" si="17"/>
        <v>#DIV/0!</v>
      </c>
      <c r="J153" s="87"/>
    </row>
    <row r="154" spans="2:10" x14ac:dyDescent="0.25">
      <c r="B154" s="275"/>
      <c r="C154" s="47" t="s">
        <v>46</v>
      </c>
      <c r="D154" s="85">
        <v>0</v>
      </c>
      <c r="E154" s="85">
        <v>0</v>
      </c>
      <c r="F154" s="92">
        <v>0</v>
      </c>
      <c r="G154" s="61">
        <f t="shared" si="18"/>
        <v>0</v>
      </c>
      <c r="H154" s="85">
        <f t="shared" si="16"/>
        <v>0</v>
      </c>
      <c r="I154" s="86" t="e">
        <f t="shared" si="17"/>
        <v>#DIV/0!</v>
      </c>
      <c r="J154" s="87"/>
    </row>
    <row r="155" spans="2:10" x14ac:dyDescent="0.25">
      <c r="B155" s="275"/>
      <c r="C155" s="47" t="s">
        <v>88</v>
      </c>
      <c r="D155" s="85">
        <v>0</v>
      </c>
      <c r="E155" s="85">
        <v>0</v>
      </c>
      <c r="F155" s="61">
        <v>0</v>
      </c>
      <c r="G155" s="61">
        <f t="shared" si="18"/>
        <v>0</v>
      </c>
      <c r="H155" s="85">
        <f t="shared" si="16"/>
        <v>0</v>
      </c>
      <c r="I155" s="86" t="e">
        <f t="shared" si="17"/>
        <v>#DIV/0!</v>
      </c>
      <c r="J155" s="87"/>
    </row>
    <row r="156" spans="2:10" x14ac:dyDescent="0.25">
      <c r="B156" s="275"/>
      <c r="C156" s="47" t="s">
        <v>80</v>
      </c>
      <c r="D156" s="85">
        <v>0</v>
      </c>
      <c r="E156" s="85">
        <v>0</v>
      </c>
      <c r="F156" s="61">
        <v>0</v>
      </c>
      <c r="G156" s="61">
        <f t="shared" si="18"/>
        <v>0</v>
      </c>
      <c r="H156" s="85">
        <f t="shared" si="16"/>
        <v>0</v>
      </c>
      <c r="I156" s="86" t="e">
        <f t="shared" si="17"/>
        <v>#DIV/0!</v>
      </c>
      <c r="J156" s="87"/>
    </row>
    <row r="157" spans="2:10" x14ac:dyDescent="0.25">
      <c r="B157" s="275"/>
      <c r="C157" s="47" t="s">
        <v>86</v>
      </c>
      <c r="D157" s="85">
        <v>0</v>
      </c>
      <c r="E157" s="85">
        <v>0</v>
      </c>
      <c r="F157" s="61">
        <v>0</v>
      </c>
      <c r="G157" s="61">
        <f t="shared" si="18"/>
        <v>0</v>
      </c>
      <c r="H157" s="85">
        <f t="shared" si="16"/>
        <v>0</v>
      </c>
      <c r="I157" s="86" t="e">
        <f t="shared" si="17"/>
        <v>#DIV/0!</v>
      </c>
      <c r="J157" s="87"/>
    </row>
    <row r="158" spans="2:10" x14ac:dyDescent="0.25">
      <c r="B158" s="275"/>
      <c r="C158" s="47" t="s">
        <v>87</v>
      </c>
      <c r="D158" s="85">
        <v>0</v>
      </c>
      <c r="E158" s="85">
        <v>0</v>
      </c>
      <c r="F158" s="61">
        <v>0</v>
      </c>
      <c r="G158" s="61">
        <f t="shared" si="18"/>
        <v>0</v>
      </c>
      <c r="H158" s="85">
        <f t="shared" si="16"/>
        <v>0</v>
      </c>
      <c r="I158" s="86" t="e">
        <f t="shared" si="17"/>
        <v>#DIV/0!</v>
      </c>
      <c r="J158" s="87"/>
    </row>
    <row r="159" spans="2:10" x14ac:dyDescent="0.25">
      <c r="B159" s="275"/>
      <c r="C159" s="47" t="s">
        <v>81</v>
      </c>
      <c r="D159" s="85">
        <v>0</v>
      </c>
      <c r="E159" s="85">
        <v>0</v>
      </c>
      <c r="F159" s="61">
        <v>0</v>
      </c>
      <c r="G159" s="61">
        <f t="shared" si="18"/>
        <v>0</v>
      </c>
      <c r="H159" s="85">
        <f t="shared" si="16"/>
        <v>0</v>
      </c>
      <c r="I159" s="86" t="e">
        <f t="shared" si="17"/>
        <v>#DIV/0!</v>
      </c>
      <c r="J159" s="87"/>
    </row>
    <row r="160" spans="2:10" x14ac:dyDescent="0.25">
      <c r="B160" s="275"/>
      <c r="C160" s="47" t="s">
        <v>82</v>
      </c>
      <c r="D160" s="85">
        <v>0</v>
      </c>
      <c r="E160" s="85">
        <v>0</v>
      </c>
      <c r="F160" s="61">
        <v>0</v>
      </c>
      <c r="G160" s="61">
        <f t="shared" si="18"/>
        <v>0</v>
      </c>
      <c r="H160" s="85">
        <f t="shared" si="16"/>
        <v>0</v>
      </c>
      <c r="I160" s="86" t="e">
        <f t="shared" si="17"/>
        <v>#DIV/0!</v>
      </c>
      <c r="J160" s="87"/>
    </row>
    <row r="161" spans="2:10" x14ac:dyDescent="0.25">
      <c r="B161" s="275"/>
      <c r="C161" s="47" t="s">
        <v>83</v>
      </c>
      <c r="D161" s="85">
        <v>0</v>
      </c>
      <c r="E161" s="85">
        <v>0</v>
      </c>
      <c r="F161" s="61">
        <v>0</v>
      </c>
      <c r="G161" s="61">
        <f t="shared" si="18"/>
        <v>0</v>
      </c>
      <c r="H161" s="85">
        <f t="shared" si="16"/>
        <v>0</v>
      </c>
      <c r="I161" s="86" t="e">
        <f t="shared" si="17"/>
        <v>#DIV/0!</v>
      </c>
      <c r="J161" s="87"/>
    </row>
    <row r="162" spans="2:10" x14ac:dyDescent="0.25">
      <c r="B162" s="275"/>
      <c r="C162" s="47" t="s">
        <v>84</v>
      </c>
      <c r="D162" s="85">
        <v>0</v>
      </c>
      <c r="E162" s="85">
        <v>0</v>
      </c>
      <c r="F162" s="61">
        <v>0</v>
      </c>
      <c r="G162" s="61">
        <f t="shared" si="18"/>
        <v>0</v>
      </c>
      <c r="H162" s="85">
        <f t="shared" si="16"/>
        <v>0</v>
      </c>
      <c r="I162" s="86" t="e">
        <f t="shared" si="17"/>
        <v>#DIV/0!</v>
      </c>
      <c r="J162" s="87"/>
    </row>
    <row r="163" spans="2:10" x14ac:dyDescent="0.25">
      <c r="B163" s="275"/>
      <c r="C163" s="47" t="s">
        <v>85</v>
      </c>
      <c r="D163" s="85">
        <v>0</v>
      </c>
      <c r="E163" s="85">
        <v>0</v>
      </c>
      <c r="F163" s="61">
        <v>0</v>
      </c>
      <c r="G163" s="61">
        <f t="shared" si="18"/>
        <v>0</v>
      </c>
      <c r="H163" s="85">
        <f t="shared" si="16"/>
        <v>0</v>
      </c>
      <c r="I163" s="86" t="e">
        <f t="shared" si="17"/>
        <v>#DIV/0!</v>
      </c>
      <c r="J163" s="87"/>
    </row>
    <row r="164" spans="2:10" x14ac:dyDescent="0.25">
      <c r="B164" s="275"/>
      <c r="C164" s="47"/>
      <c r="D164" s="85"/>
      <c r="E164" s="61"/>
      <c r="F164" s="61"/>
      <c r="G164" s="61"/>
      <c r="H164" s="85"/>
      <c r="I164" s="85"/>
      <c r="J164" s="87"/>
    </row>
    <row r="165" spans="2:10" x14ac:dyDescent="0.25">
      <c r="B165" s="275"/>
      <c r="C165" s="60" t="s">
        <v>20</v>
      </c>
      <c r="D165" s="136">
        <f>D149</f>
        <v>0</v>
      </c>
      <c r="E165" s="89">
        <f>SUM(E150:E163)</f>
        <v>20000</v>
      </c>
      <c r="F165" s="89">
        <f>SUM(F150:F163)</f>
        <v>0</v>
      </c>
      <c r="G165" s="89">
        <f>SUM(G150:G163)</f>
        <v>20000</v>
      </c>
      <c r="H165" s="90">
        <f>SUM(H150:H159)</f>
        <v>20000</v>
      </c>
      <c r="I165" s="91" t="e">
        <f>G165/D165%</f>
        <v>#DIV/0!</v>
      </c>
      <c r="J165" s="87"/>
    </row>
    <row r="166" spans="2:10" x14ac:dyDescent="0.25">
      <c r="B166" s="275"/>
      <c r="C166" s="47"/>
      <c r="D166" s="47"/>
      <c r="E166" s="61"/>
      <c r="F166" s="62"/>
      <c r="G166" s="61"/>
      <c r="H166" s="85"/>
      <c r="I166" s="85"/>
      <c r="J166" s="87"/>
    </row>
    <row r="167" spans="2:10" ht="15.75" thickBot="1" x14ac:dyDescent="0.3">
      <c r="B167" s="279"/>
      <c r="C167" s="115" t="s">
        <v>21</v>
      </c>
      <c r="D167" s="137">
        <f>D126+D147+D165</f>
        <v>18000000</v>
      </c>
      <c r="E167" s="138">
        <f>E126+E147+E165</f>
        <v>6197000</v>
      </c>
      <c r="F167" s="139">
        <f>F126+F147+F165</f>
        <v>502000</v>
      </c>
      <c r="G167" s="138">
        <f>G126+G147+G165</f>
        <v>6699000</v>
      </c>
      <c r="H167" s="140">
        <f>H126+H147+H165</f>
        <v>6613000</v>
      </c>
      <c r="I167" s="141">
        <f>G167/D167%</f>
        <v>37.216666666666669</v>
      </c>
      <c r="J167" s="142"/>
    </row>
    <row r="168" spans="2:10" x14ac:dyDescent="0.25">
      <c r="B168" s="280"/>
      <c r="C168" s="75"/>
      <c r="D168" s="75"/>
      <c r="E168" s="75"/>
      <c r="F168" s="75"/>
      <c r="G168" s="76"/>
      <c r="H168" s="75"/>
      <c r="I168" s="75"/>
      <c r="J168" s="75"/>
    </row>
    <row r="169" spans="2:10" x14ac:dyDescent="0.25">
      <c r="B169" s="280"/>
      <c r="C169" s="75"/>
      <c r="D169" s="75"/>
      <c r="E169" s="75"/>
      <c r="F169" s="75"/>
      <c r="G169" s="76"/>
      <c r="H169" s="75"/>
      <c r="I169" s="75"/>
      <c r="J169" s="75"/>
    </row>
    <row r="170" spans="2:10" x14ac:dyDescent="0.25">
      <c r="B170" s="280"/>
      <c r="C170" s="75"/>
      <c r="D170" s="75"/>
      <c r="E170" s="122" t="s">
        <v>25</v>
      </c>
      <c r="F170" s="123" t="s">
        <v>26</v>
      </c>
      <c r="G170" s="124" t="e">
        <f>#REF!</f>
        <v>#REF!</v>
      </c>
      <c r="H170" s="75"/>
      <c r="I170" s="75"/>
      <c r="J170" s="75"/>
    </row>
    <row r="171" spans="2:10" ht="19.5" x14ac:dyDescent="0.55000000000000004">
      <c r="B171" s="280"/>
      <c r="C171" s="75"/>
      <c r="D171" s="75"/>
      <c r="E171" s="122" t="s">
        <v>29</v>
      </c>
      <c r="F171" s="123" t="s">
        <v>26</v>
      </c>
      <c r="G171" s="126">
        <v>0</v>
      </c>
      <c r="H171" s="75" t="s">
        <v>28</v>
      </c>
      <c r="I171" s="75"/>
      <c r="J171" s="75"/>
    </row>
    <row r="172" spans="2:10" ht="15.75" thickBot="1" x14ac:dyDescent="0.3">
      <c r="B172" s="280"/>
      <c r="C172" s="75"/>
      <c r="D172" s="75"/>
      <c r="E172" s="122" t="s">
        <v>30</v>
      </c>
      <c r="F172" s="123"/>
      <c r="G172" s="127" t="e">
        <f>SUM(G170:G171)</f>
        <v>#REF!</v>
      </c>
      <c r="H172" s="160" t="s">
        <v>126</v>
      </c>
      <c r="I172" s="27"/>
      <c r="J172" s="75"/>
    </row>
    <row r="173" spans="2:10" ht="15.75" thickTop="1" x14ac:dyDescent="0.25">
      <c r="B173" s="282"/>
      <c r="C173" s="27"/>
      <c r="D173" s="27"/>
      <c r="E173" s="27"/>
      <c r="F173" s="27"/>
      <c r="G173" s="27"/>
      <c r="H173" s="403" t="str">
        <f>H91</f>
        <v>Jalang'E, 02 September 2019</v>
      </c>
      <c r="I173" s="403"/>
      <c r="J173" s="27"/>
    </row>
    <row r="175" spans="2:10" x14ac:dyDescent="0.25">
      <c r="G175" s="166" t="e">
        <f>G167-G170</f>
        <v>#REF!</v>
      </c>
    </row>
  </sheetData>
  <mergeCells count="19">
    <mergeCell ref="H173:I173"/>
    <mergeCell ref="J5:J6"/>
    <mergeCell ref="H91:I91"/>
    <mergeCell ref="B99:I99"/>
    <mergeCell ref="B100:I100"/>
    <mergeCell ref="B101:B102"/>
    <mergeCell ref="C101:C102"/>
    <mergeCell ref="D101:D102"/>
    <mergeCell ref="E101:G101"/>
    <mergeCell ref="H101:I101"/>
    <mergeCell ref="J101:J102"/>
    <mergeCell ref="B2:I2"/>
    <mergeCell ref="B3:I3"/>
    <mergeCell ref="B4:I4"/>
    <mergeCell ref="B5:B6"/>
    <mergeCell ref="C5:C6"/>
    <mergeCell ref="D5:D6"/>
    <mergeCell ref="E5:G5"/>
    <mergeCell ref="H5:I5"/>
  </mergeCells>
  <pageMargins left="1.02362204724409" right="0.118110236220472" top="0.15748031496063" bottom="0.118110236220472" header="0.15748031496063" footer="0.118110236220472"/>
  <pageSetup paperSize="9" scale="63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2:J174"/>
  <sheetViews>
    <sheetView zoomScale="90" zoomScaleNormal="90" workbookViewId="0">
      <pane ySplit="6" topLeftCell="A85" activePane="bottomLeft" state="frozen"/>
      <selection pane="bottomLeft" activeCell="B2" sqref="B2:I90"/>
    </sheetView>
  </sheetViews>
  <sheetFormatPr defaultRowHeight="15" x14ac:dyDescent="0.25"/>
  <cols>
    <col min="1" max="1" width="4.28515625" customWidth="1"/>
    <col min="2" max="2" width="5.28515625" customWidth="1"/>
    <col min="3" max="3" width="35.140625" customWidth="1"/>
    <col min="4" max="4" width="18.28515625" customWidth="1"/>
    <col min="5" max="5" width="18.5703125" customWidth="1"/>
    <col min="6" max="6" width="18" customWidth="1"/>
    <col min="7" max="7" width="17.42578125" customWidth="1"/>
    <col min="8" max="8" width="15.5703125" customWidth="1"/>
    <col min="9" max="9" width="13.7109375" customWidth="1"/>
    <col min="10" max="10" width="18.5703125" customWidth="1"/>
  </cols>
  <sheetData>
    <row r="2" spans="2:10" x14ac:dyDescent="0.25">
      <c r="B2" s="392" t="s">
        <v>368</v>
      </c>
      <c r="C2" s="392"/>
      <c r="D2" s="392"/>
      <c r="E2" s="392"/>
      <c r="F2" s="392"/>
      <c r="G2" s="392"/>
      <c r="H2" s="392"/>
      <c r="I2" s="392"/>
      <c r="J2" s="75"/>
    </row>
    <row r="3" spans="2:10" x14ac:dyDescent="0.25">
      <c r="B3" s="392" t="s">
        <v>380</v>
      </c>
      <c r="C3" s="392"/>
      <c r="D3" s="392"/>
      <c r="E3" s="392"/>
      <c r="F3" s="392"/>
      <c r="G3" s="392"/>
      <c r="H3" s="392"/>
      <c r="I3" s="392"/>
      <c r="J3" s="75"/>
    </row>
    <row r="4" spans="2:10" ht="15.75" thickBot="1" x14ac:dyDescent="0.3">
      <c r="B4" s="393" t="s">
        <v>1</v>
      </c>
      <c r="C4" s="393"/>
      <c r="D4" s="393"/>
      <c r="E4" s="393"/>
      <c r="F4" s="393"/>
      <c r="G4" s="393"/>
      <c r="H4" s="393"/>
      <c r="I4" s="393"/>
      <c r="J4" s="78"/>
    </row>
    <row r="5" spans="2:10" x14ac:dyDescent="0.25">
      <c r="B5" s="418" t="s">
        <v>2</v>
      </c>
      <c r="C5" s="396" t="s">
        <v>3</v>
      </c>
      <c r="D5" s="398" t="s">
        <v>4</v>
      </c>
      <c r="E5" s="400" t="s">
        <v>5</v>
      </c>
      <c r="F5" s="401"/>
      <c r="G5" s="402"/>
      <c r="H5" s="401" t="s">
        <v>6</v>
      </c>
      <c r="I5" s="402"/>
      <c r="J5" s="404" t="s">
        <v>0</v>
      </c>
    </row>
    <row r="6" spans="2:10" ht="15.75" thickBot="1" x14ac:dyDescent="0.3">
      <c r="B6" s="419"/>
      <c r="C6" s="397"/>
      <c r="D6" s="399"/>
      <c r="E6" s="147" t="s">
        <v>328</v>
      </c>
      <c r="F6" s="148" t="s">
        <v>339</v>
      </c>
      <c r="G6" s="79" t="s">
        <v>7</v>
      </c>
      <c r="H6" s="80" t="s">
        <v>8</v>
      </c>
      <c r="I6" s="81" t="s">
        <v>9</v>
      </c>
      <c r="J6" s="405"/>
    </row>
    <row r="7" spans="2:10" x14ac:dyDescent="0.25">
      <c r="B7" s="274"/>
      <c r="C7" s="41" t="s">
        <v>10</v>
      </c>
      <c r="D7" s="82"/>
      <c r="E7" s="42"/>
      <c r="F7" s="42"/>
      <c r="G7" s="41"/>
      <c r="H7" s="42"/>
      <c r="I7" s="42"/>
      <c r="J7" s="83"/>
    </row>
    <row r="8" spans="2:10" x14ac:dyDescent="0.25">
      <c r="B8" s="274" t="s">
        <v>12</v>
      </c>
      <c r="C8" s="44" t="s">
        <v>13</v>
      </c>
      <c r="D8" s="45"/>
      <c r="E8" s="45"/>
      <c r="F8" s="45"/>
      <c r="G8" s="59"/>
      <c r="H8" s="45"/>
      <c r="I8" s="45"/>
      <c r="J8" s="84"/>
    </row>
    <row r="9" spans="2:10" x14ac:dyDescent="0.25">
      <c r="B9" s="275"/>
      <c r="C9" s="47" t="s">
        <v>36</v>
      </c>
      <c r="D9" s="248">
        <v>6500000</v>
      </c>
      <c r="E9" s="247">
        <v>6416272</v>
      </c>
      <c r="F9" s="61">
        <f>450000+50000</f>
        <v>500000</v>
      </c>
      <c r="G9" s="61">
        <f>E9+F9</f>
        <v>6916272</v>
      </c>
      <c r="H9" s="85">
        <f t="shared" ref="H9:H22" si="0">G9-D9</f>
        <v>416272</v>
      </c>
      <c r="I9" s="86">
        <f t="shared" ref="I9:I22" si="1">G9/D9%</f>
        <v>106.40418461538462</v>
      </c>
      <c r="J9" s="87"/>
    </row>
    <row r="10" spans="2:10" x14ac:dyDescent="0.25">
      <c r="B10" s="275"/>
      <c r="C10" s="47" t="s">
        <v>37</v>
      </c>
      <c r="D10" s="248">
        <v>5000000</v>
      </c>
      <c r="E10" s="247">
        <v>5720000</v>
      </c>
      <c r="F10" s="61">
        <v>20000</v>
      </c>
      <c r="G10" s="61">
        <f t="shared" ref="G10:G19" si="2">E10+F10</f>
        <v>5740000</v>
      </c>
      <c r="H10" s="85">
        <f t="shared" si="0"/>
        <v>740000</v>
      </c>
      <c r="I10" s="86">
        <f>G10/D10%</f>
        <v>114.8</v>
      </c>
      <c r="J10" s="87"/>
    </row>
    <row r="11" spans="2:10" x14ac:dyDescent="0.25">
      <c r="B11" s="275"/>
      <c r="C11" s="47" t="s">
        <v>52</v>
      </c>
      <c r="D11" s="248">
        <v>106000</v>
      </c>
      <c r="E11" s="247">
        <v>185000</v>
      </c>
      <c r="F11" s="61">
        <v>0</v>
      </c>
      <c r="G11" s="61">
        <f t="shared" si="2"/>
        <v>185000</v>
      </c>
      <c r="H11" s="85"/>
      <c r="I11" s="86"/>
      <c r="J11" s="87"/>
    </row>
    <row r="12" spans="2:10" x14ac:dyDescent="0.25">
      <c r="B12" s="275"/>
      <c r="C12" s="47" t="s">
        <v>53</v>
      </c>
      <c r="D12" s="248">
        <v>12000000</v>
      </c>
      <c r="E12" s="247">
        <v>13440369</v>
      </c>
      <c r="F12" s="61">
        <f>80000+55000+185000</f>
        <v>320000</v>
      </c>
      <c r="G12" s="61">
        <f>E12+F12</f>
        <v>13760369</v>
      </c>
      <c r="H12" s="85">
        <f t="shared" si="0"/>
        <v>1760369</v>
      </c>
      <c r="I12" s="86">
        <f t="shared" si="1"/>
        <v>114.66974166666667</v>
      </c>
      <c r="J12" s="87"/>
    </row>
    <row r="13" spans="2:10" x14ac:dyDescent="0.25">
      <c r="B13" s="275"/>
      <c r="C13" s="47" t="s">
        <v>54</v>
      </c>
      <c r="D13" s="248">
        <v>9500000</v>
      </c>
      <c r="E13" s="247">
        <v>11144000</v>
      </c>
      <c r="F13" s="61">
        <f>150000</f>
        <v>150000</v>
      </c>
      <c r="G13" s="61">
        <f t="shared" si="2"/>
        <v>11294000</v>
      </c>
      <c r="H13" s="85">
        <f t="shared" si="0"/>
        <v>1794000</v>
      </c>
      <c r="I13" s="86">
        <f t="shared" si="1"/>
        <v>118.88421052631578</v>
      </c>
      <c r="J13" s="88"/>
    </row>
    <row r="14" spans="2:10" x14ac:dyDescent="0.25">
      <c r="B14" s="275"/>
      <c r="C14" s="47" t="s">
        <v>55</v>
      </c>
      <c r="D14" s="248">
        <v>5000000</v>
      </c>
      <c r="E14" s="247">
        <v>5633888</v>
      </c>
      <c r="F14" s="61">
        <v>0</v>
      </c>
      <c r="G14" s="61">
        <f>E14+F14</f>
        <v>5633888</v>
      </c>
      <c r="H14" s="85">
        <f t="shared" si="0"/>
        <v>633888</v>
      </c>
      <c r="I14" s="86">
        <f t="shared" si="1"/>
        <v>112.67776000000001</v>
      </c>
      <c r="J14" s="88"/>
    </row>
    <row r="15" spans="2:10" x14ac:dyDescent="0.25">
      <c r="B15" s="275"/>
      <c r="C15" s="47" t="s">
        <v>56</v>
      </c>
      <c r="D15" s="248">
        <v>7000000</v>
      </c>
      <c r="E15" s="247">
        <v>9231695</v>
      </c>
      <c r="F15" s="61">
        <v>0</v>
      </c>
      <c r="G15" s="61">
        <f t="shared" si="2"/>
        <v>9231695</v>
      </c>
      <c r="H15" s="85">
        <f t="shared" si="0"/>
        <v>2231695</v>
      </c>
      <c r="I15" s="86">
        <f t="shared" si="1"/>
        <v>131.88135714285715</v>
      </c>
      <c r="J15" s="87"/>
    </row>
    <row r="16" spans="2:10" x14ac:dyDescent="0.25">
      <c r="B16" s="275"/>
      <c r="C16" s="47" t="s">
        <v>57</v>
      </c>
      <c r="D16" s="248">
        <v>18000000</v>
      </c>
      <c r="E16" s="247">
        <v>19715111</v>
      </c>
      <c r="F16" s="61">
        <f>300000+150000+150000+300000</f>
        <v>900000</v>
      </c>
      <c r="G16" s="168">
        <f>E16+F16</f>
        <v>20615111</v>
      </c>
      <c r="H16" s="85">
        <f t="shared" si="0"/>
        <v>2615111</v>
      </c>
      <c r="I16" s="86">
        <f t="shared" si="1"/>
        <v>114.52839444444444</v>
      </c>
      <c r="J16" s="87"/>
    </row>
    <row r="17" spans="2:10" x14ac:dyDescent="0.25">
      <c r="B17" s="275"/>
      <c r="C17" s="47" t="s">
        <v>58</v>
      </c>
      <c r="D17" s="248">
        <v>1250000</v>
      </c>
      <c r="E17" s="247">
        <v>953478</v>
      </c>
      <c r="F17" s="61">
        <v>0</v>
      </c>
      <c r="G17" s="61">
        <f>E17+F17</f>
        <v>953478</v>
      </c>
      <c r="H17" s="85">
        <f t="shared" si="0"/>
        <v>-296522</v>
      </c>
      <c r="I17" s="86">
        <f t="shared" si="1"/>
        <v>76.278239999999997</v>
      </c>
      <c r="J17" s="87"/>
    </row>
    <row r="18" spans="2:10" x14ac:dyDescent="0.25">
      <c r="B18" s="275"/>
      <c r="C18" s="47" t="s">
        <v>59</v>
      </c>
      <c r="D18" s="248">
        <v>2000000</v>
      </c>
      <c r="E18" s="247">
        <v>2280000</v>
      </c>
      <c r="F18" s="61">
        <v>50000</v>
      </c>
      <c r="G18" s="61">
        <f t="shared" si="2"/>
        <v>2330000</v>
      </c>
      <c r="H18" s="85">
        <f t="shared" si="0"/>
        <v>330000</v>
      </c>
      <c r="I18" s="86">
        <f t="shared" si="1"/>
        <v>116.5</v>
      </c>
      <c r="J18" s="87"/>
    </row>
    <row r="19" spans="2:10" x14ac:dyDescent="0.25">
      <c r="B19" s="275"/>
      <c r="C19" s="47" t="s">
        <v>60</v>
      </c>
      <c r="D19" s="248">
        <v>23000000</v>
      </c>
      <c r="E19" s="247">
        <v>23153189</v>
      </c>
      <c r="F19" s="61">
        <f>120000</f>
        <v>120000</v>
      </c>
      <c r="G19" s="61">
        <f t="shared" si="2"/>
        <v>23273189</v>
      </c>
      <c r="H19" s="85">
        <f t="shared" si="0"/>
        <v>273189</v>
      </c>
      <c r="I19" s="86">
        <f>G19/D19%</f>
        <v>101.18777826086956</v>
      </c>
      <c r="J19" s="87"/>
    </row>
    <row r="20" spans="2:10" x14ac:dyDescent="0.25">
      <c r="B20" s="275"/>
      <c r="C20" s="47" t="s">
        <v>61</v>
      </c>
      <c r="D20" s="248">
        <v>22944000</v>
      </c>
      <c r="E20" s="247">
        <v>19094285</v>
      </c>
      <c r="F20" s="61">
        <v>0</v>
      </c>
      <c r="G20" s="61">
        <f>E20+F20</f>
        <v>19094285</v>
      </c>
      <c r="H20" s="85">
        <f t="shared" si="0"/>
        <v>-3849715</v>
      </c>
      <c r="I20" s="86">
        <f t="shared" si="1"/>
        <v>83.221256101813111</v>
      </c>
      <c r="J20" s="87"/>
    </row>
    <row r="21" spans="2:10" x14ac:dyDescent="0.25">
      <c r="B21" s="275"/>
      <c r="C21" s="47" t="s">
        <v>324</v>
      </c>
      <c r="D21" s="248">
        <v>10000000</v>
      </c>
      <c r="E21" s="247">
        <f>2590000-280000</f>
        <v>2310000</v>
      </c>
      <c r="F21" s="61">
        <v>0</v>
      </c>
      <c r="G21" s="61">
        <f t="shared" ref="G21:G26" si="3">E21+F21</f>
        <v>2310000</v>
      </c>
      <c r="H21" s="85">
        <f>G21-D21</f>
        <v>-7690000</v>
      </c>
      <c r="I21" s="86">
        <f>G21/D21%</f>
        <v>23.1</v>
      </c>
      <c r="J21" s="87"/>
    </row>
    <row r="22" spans="2:10" x14ac:dyDescent="0.25">
      <c r="B22" s="275"/>
      <c r="C22" s="47" t="s">
        <v>63</v>
      </c>
      <c r="D22" s="248">
        <v>334000</v>
      </c>
      <c r="E22" s="247">
        <v>301086</v>
      </c>
      <c r="F22" s="61">
        <v>0</v>
      </c>
      <c r="G22" s="61">
        <f t="shared" si="3"/>
        <v>301086</v>
      </c>
      <c r="H22" s="85">
        <f t="shared" si="0"/>
        <v>-32914</v>
      </c>
      <c r="I22" s="86">
        <f t="shared" si="1"/>
        <v>90.145508982035935</v>
      </c>
      <c r="J22" s="87"/>
    </row>
    <row r="23" spans="2:10" x14ac:dyDescent="0.25">
      <c r="B23" s="275"/>
      <c r="C23" s="47" t="s">
        <v>64</v>
      </c>
      <c r="D23" s="248">
        <v>2500000</v>
      </c>
      <c r="E23" s="247">
        <v>0</v>
      </c>
      <c r="F23" s="61">
        <v>0</v>
      </c>
      <c r="G23" s="61">
        <f t="shared" si="3"/>
        <v>0</v>
      </c>
      <c r="H23" s="85">
        <f>G23-D23</f>
        <v>-2500000</v>
      </c>
      <c r="I23" s="86">
        <f>G23/D23%</f>
        <v>0</v>
      </c>
      <c r="J23" s="87"/>
    </row>
    <row r="24" spans="2:10" x14ac:dyDescent="0.25">
      <c r="B24" s="275"/>
      <c r="C24" s="47" t="s">
        <v>376</v>
      </c>
      <c r="D24" s="248">
        <v>11500000</v>
      </c>
      <c r="E24" s="247">
        <v>11185095</v>
      </c>
      <c r="F24" s="61">
        <v>0</v>
      </c>
      <c r="G24" s="61">
        <f t="shared" si="3"/>
        <v>11185095</v>
      </c>
      <c r="H24" s="85">
        <f>G24-D24</f>
        <v>-314905</v>
      </c>
      <c r="I24" s="86">
        <f>G24/D24%</f>
        <v>97.261695652173913</v>
      </c>
      <c r="J24" s="87"/>
    </row>
    <row r="25" spans="2:10" x14ac:dyDescent="0.25">
      <c r="B25" s="275"/>
      <c r="C25" s="47" t="s">
        <v>373</v>
      </c>
      <c r="D25" s="248">
        <v>16500000</v>
      </c>
      <c r="E25" s="247">
        <v>17494854</v>
      </c>
      <c r="F25" s="61">
        <v>0</v>
      </c>
      <c r="G25" s="61">
        <f t="shared" si="3"/>
        <v>17494854</v>
      </c>
      <c r="H25" s="85">
        <f>G25-D25</f>
        <v>994854</v>
      </c>
      <c r="I25" s="86">
        <f>G25/D25%</f>
        <v>106.02941818181819</v>
      </c>
      <c r="J25" s="87"/>
    </row>
    <row r="26" spans="2:10" x14ac:dyDescent="0.25">
      <c r="B26" s="275"/>
      <c r="C26" s="47" t="s">
        <v>374</v>
      </c>
      <c r="D26" s="248">
        <v>15000000</v>
      </c>
      <c r="E26" s="247">
        <v>10997750</v>
      </c>
      <c r="F26" s="61">
        <v>1720000</v>
      </c>
      <c r="G26" s="61">
        <f t="shared" si="3"/>
        <v>12717750</v>
      </c>
      <c r="H26" s="85">
        <f>G26-D26</f>
        <v>-2282250</v>
      </c>
      <c r="I26" s="86">
        <f>G26/D26%</f>
        <v>84.784999999999997</v>
      </c>
      <c r="J26" s="87"/>
    </row>
    <row r="27" spans="2:10" x14ac:dyDescent="0.25">
      <c r="B27" s="275"/>
      <c r="C27" s="47"/>
      <c r="D27" s="248"/>
      <c r="E27" s="269"/>
      <c r="F27" s="61"/>
      <c r="G27" s="61"/>
      <c r="H27" s="85"/>
      <c r="I27" s="86"/>
      <c r="J27" s="87"/>
    </row>
    <row r="28" spans="2:10" x14ac:dyDescent="0.25">
      <c r="B28" s="276"/>
      <c r="C28" s="170" t="s">
        <v>14</v>
      </c>
      <c r="D28" s="135">
        <f>SUM(D9:D26)</f>
        <v>168134000</v>
      </c>
      <c r="E28" s="89">
        <f>SUM(E9:E26)</f>
        <v>159256072</v>
      </c>
      <c r="F28" s="89">
        <f>SUM(F9:F26)</f>
        <v>3780000</v>
      </c>
      <c r="G28" s="89">
        <f>SUM(G9:G26)</f>
        <v>163036072</v>
      </c>
      <c r="H28" s="136">
        <f>SUM(H9:H22)</f>
        <v>-1074627</v>
      </c>
      <c r="I28" s="91">
        <f>G28/D28%</f>
        <v>96.967937478439822</v>
      </c>
      <c r="J28" s="171"/>
    </row>
    <row r="29" spans="2:10" x14ac:dyDescent="0.25">
      <c r="B29" s="275"/>
      <c r="C29" s="47"/>
      <c r="D29" s="47"/>
      <c r="E29" s="61"/>
      <c r="F29" s="62"/>
      <c r="G29" s="61"/>
      <c r="H29" s="85"/>
      <c r="I29" s="85"/>
      <c r="J29" s="87"/>
    </row>
    <row r="30" spans="2:10" x14ac:dyDescent="0.25">
      <c r="B30" s="275" t="s">
        <v>15</v>
      </c>
      <c r="C30" s="60" t="s">
        <v>16</v>
      </c>
      <c r="D30" s="47"/>
      <c r="E30" s="269"/>
      <c r="F30" s="62"/>
      <c r="G30" s="61"/>
      <c r="H30" s="85"/>
      <c r="I30" s="85"/>
      <c r="J30" s="87"/>
    </row>
    <row r="31" spans="2:10" x14ac:dyDescent="0.25">
      <c r="B31" s="275"/>
      <c r="C31" s="47" t="s">
        <v>38</v>
      </c>
      <c r="D31" s="250">
        <v>300000</v>
      </c>
      <c r="E31" s="247">
        <v>365000</v>
      </c>
      <c r="F31" s="61">
        <v>0</v>
      </c>
      <c r="G31" s="61">
        <f>E31+F31</f>
        <v>365000</v>
      </c>
      <c r="H31" s="85">
        <f t="shared" ref="H31:H49" si="4">G31-D31</f>
        <v>65000</v>
      </c>
      <c r="I31" s="86">
        <f t="shared" ref="I31:I49" si="5">G31/D31%</f>
        <v>121.66666666666667</v>
      </c>
      <c r="J31" s="87"/>
    </row>
    <row r="32" spans="2:10" x14ac:dyDescent="0.25">
      <c r="B32" s="277"/>
      <c r="C32" s="173" t="s">
        <v>39</v>
      </c>
      <c r="D32" s="250">
        <v>13829000</v>
      </c>
      <c r="E32" s="247">
        <v>24250363</v>
      </c>
      <c r="F32" s="168">
        <f>50000+100000+230000+90000+100000+70000+40000</f>
        <v>680000</v>
      </c>
      <c r="G32" s="61">
        <f>E32+F32</f>
        <v>24930363</v>
      </c>
      <c r="H32" s="174">
        <f t="shared" si="4"/>
        <v>11101363</v>
      </c>
      <c r="I32" s="176">
        <f>G32/D32%</f>
        <v>180.27596355484852</v>
      </c>
      <c r="J32" s="179"/>
    </row>
    <row r="33" spans="2:10" x14ac:dyDescent="0.25">
      <c r="B33" s="275"/>
      <c r="C33" s="47" t="s">
        <v>40</v>
      </c>
      <c r="D33" s="250">
        <v>8000000</v>
      </c>
      <c r="E33" s="247">
        <v>5861847</v>
      </c>
      <c r="F33" s="61">
        <f>300000+30000</f>
        <v>330000</v>
      </c>
      <c r="G33" s="61">
        <f>E33+F33</f>
        <v>6191847</v>
      </c>
      <c r="H33" s="85">
        <f t="shared" si="4"/>
        <v>-1808153</v>
      </c>
      <c r="I33" s="86">
        <f>G33/D33%</f>
        <v>77.398087500000003</v>
      </c>
      <c r="J33" s="180"/>
    </row>
    <row r="34" spans="2:10" x14ac:dyDescent="0.25">
      <c r="B34" s="275"/>
      <c r="C34" s="47" t="s">
        <v>41</v>
      </c>
      <c r="D34" s="250">
        <v>3000000</v>
      </c>
      <c r="E34" s="247">
        <v>5179000</v>
      </c>
      <c r="F34" s="61">
        <v>0</v>
      </c>
      <c r="G34" s="61">
        <f>E34+F34</f>
        <v>5179000</v>
      </c>
      <c r="H34" s="85">
        <f t="shared" si="4"/>
        <v>2179000</v>
      </c>
      <c r="I34" s="86">
        <f t="shared" si="5"/>
        <v>172.63333333333333</v>
      </c>
      <c r="J34" s="87"/>
    </row>
    <row r="35" spans="2:10" x14ac:dyDescent="0.25">
      <c r="B35" s="275"/>
      <c r="C35" s="47" t="s">
        <v>50</v>
      </c>
      <c r="D35" s="250">
        <v>0</v>
      </c>
      <c r="E35" s="247">
        <v>0</v>
      </c>
      <c r="F35" s="61">
        <v>0</v>
      </c>
      <c r="G35" s="61">
        <f t="shared" ref="G35:G49" si="6">E35+F35</f>
        <v>0</v>
      </c>
      <c r="H35" s="85">
        <f>G35-D35</f>
        <v>0</v>
      </c>
      <c r="I35" s="86" t="e">
        <f>G35/D35%</f>
        <v>#DIV/0!</v>
      </c>
      <c r="J35" s="87"/>
    </row>
    <row r="36" spans="2:10" x14ac:dyDescent="0.25">
      <c r="B36" s="275"/>
      <c r="C36" s="47" t="s">
        <v>51</v>
      </c>
      <c r="D36" s="250">
        <v>1000000</v>
      </c>
      <c r="E36" s="247">
        <v>1000000</v>
      </c>
      <c r="F36" s="61">
        <v>0</v>
      </c>
      <c r="G36" s="61">
        <f>E36+F36</f>
        <v>1000000</v>
      </c>
      <c r="H36" s="85">
        <f>G36-D36</f>
        <v>0</v>
      </c>
      <c r="I36" s="86">
        <f>G36/D36%</f>
        <v>100</v>
      </c>
      <c r="J36" s="87"/>
    </row>
    <row r="37" spans="2:10" x14ac:dyDescent="0.25">
      <c r="B37" s="275"/>
      <c r="C37" s="47" t="s">
        <v>49</v>
      </c>
      <c r="D37" s="250">
        <v>0</v>
      </c>
      <c r="E37" s="247">
        <v>0</v>
      </c>
      <c r="F37" s="61">
        <v>0</v>
      </c>
      <c r="G37" s="61">
        <f t="shared" si="6"/>
        <v>0</v>
      </c>
      <c r="H37" s="85">
        <f>G37-D36</f>
        <v>-1000000</v>
      </c>
      <c r="I37" s="86">
        <f>G37/D36%</f>
        <v>0</v>
      </c>
      <c r="J37" s="87"/>
    </row>
    <row r="38" spans="2:10" x14ac:dyDescent="0.25">
      <c r="B38" s="275"/>
      <c r="C38" s="47" t="s">
        <v>79</v>
      </c>
      <c r="D38" s="250">
        <v>2000000</v>
      </c>
      <c r="E38" s="247">
        <v>100000</v>
      </c>
      <c r="F38" s="61">
        <v>0</v>
      </c>
      <c r="G38" s="61">
        <f t="shared" si="6"/>
        <v>100000</v>
      </c>
      <c r="H38" s="85">
        <f>G38-D37</f>
        <v>100000</v>
      </c>
      <c r="I38" s="86" t="e">
        <f>G38/D37%</f>
        <v>#DIV/0!</v>
      </c>
      <c r="J38" s="87"/>
    </row>
    <row r="39" spans="2:10" x14ac:dyDescent="0.25">
      <c r="B39" s="275"/>
      <c r="C39" s="47" t="s">
        <v>375</v>
      </c>
      <c r="D39" s="250">
        <v>3500000</v>
      </c>
      <c r="E39" s="247">
        <v>1030000</v>
      </c>
      <c r="F39" s="61">
        <v>2000000</v>
      </c>
      <c r="G39" s="61">
        <f t="shared" ref="G39" si="7">E39+F39</f>
        <v>3030000</v>
      </c>
      <c r="H39" s="85">
        <f>G39-D38</f>
        <v>1030000</v>
      </c>
      <c r="I39" s="86">
        <f>G39/D38%</f>
        <v>151.5</v>
      </c>
      <c r="J39" s="87"/>
    </row>
    <row r="40" spans="2:10" x14ac:dyDescent="0.25">
      <c r="B40" s="275"/>
      <c r="C40" s="47" t="s">
        <v>71</v>
      </c>
      <c r="D40" s="250">
        <v>6000000</v>
      </c>
      <c r="E40" s="247">
        <v>5375000</v>
      </c>
      <c r="F40" s="61">
        <f>150000</f>
        <v>150000</v>
      </c>
      <c r="G40" s="61">
        <f t="shared" si="6"/>
        <v>5525000</v>
      </c>
      <c r="H40" s="85">
        <f>G40-D38</f>
        <v>3525000</v>
      </c>
      <c r="I40" s="86">
        <f>G40/D40%</f>
        <v>92.083333333333329</v>
      </c>
      <c r="J40" s="87"/>
    </row>
    <row r="41" spans="2:10" x14ac:dyDescent="0.25">
      <c r="B41" s="275"/>
      <c r="C41" s="47" t="s">
        <v>72</v>
      </c>
      <c r="D41" s="250">
        <v>12000000</v>
      </c>
      <c r="E41" s="247">
        <v>13585000</v>
      </c>
      <c r="F41" s="61">
        <v>0</v>
      </c>
      <c r="G41" s="61">
        <f t="shared" si="6"/>
        <v>13585000</v>
      </c>
      <c r="H41" s="85">
        <f>G41-D40</f>
        <v>7585000</v>
      </c>
      <c r="I41" s="86">
        <f>G41/D41%</f>
        <v>113.20833333333333</v>
      </c>
      <c r="J41" s="87"/>
    </row>
    <row r="42" spans="2:10" x14ac:dyDescent="0.25">
      <c r="B42" s="275"/>
      <c r="C42" s="47" t="s">
        <v>70</v>
      </c>
      <c r="D42" s="250">
        <v>1000000</v>
      </c>
      <c r="E42" s="247">
        <f>190000</f>
        <v>190000</v>
      </c>
      <c r="F42" s="61">
        <v>0</v>
      </c>
      <c r="G42" s="61">
        <f t="shared" si="6"/>
        <v>190000</v>
      </c>
      <c r="H42" s="85">
        <f t="shared" si="4"/>
        <v>-810000</v>
      </c>
      <c r="I42" s="86">
        <f t="shared" si="5"/>
        <v>19</v>
      </c>
      <c r="J42" s="87"/>
    </row>
    <row r="43" spans="2:10" x14ac:dyDescent="0.25">
      <c r="B43" s="275"/>
      <c r="C43" s="47" t="s">
        <v>73</v>
      </c>
      <c r="D43" s="250">
        <v>0</v>
      </c>
      <c r="E43" s="247">
        <v>0</v>
      </c>
      <c r="F43" s="61">
        <v>0</v>
      </c>
      <c r="G43" s="61">
        <f t="shared" si="6"/>
        <v>0</v>
      </c>
      <c r="H43" s="85">
        <f t="shared" si="4"/>
        <v>0</v>
      </c>
      <c r="I43" s="86" t="e">
        <f t="shared" si="5"/>
        <v>#DIV/0!</v>
      </c>
      <c r="J43" s="87"/>
    </row>
    <row r="44" spans="2:10" x14ac:dyDescent="0.25">
      <c r="B44" s="275"/>
      <c r="C44" s="47" t="s">
        <v>74</v>
      </c>
      <c r="D44" s="250">
        <v>0</v>
      </c>
      <c r="E44" s="247">
        <v>0</v>
      </c>
      <c r="F44" s="61">
        <v>0</v>
      </c>
      <c r="G44" s="61">
        <f t="shared" si="6"/>
        <v>0</v>
      </c>
      <c r="H44" s="85">
        <f t="shared" si="4"/>
        <v>0</v>
      </c>
      <c r="I44" s="86" t="e">
        <f t="shared" si="5"/>
        <v>#DIV/0!</v>
      </c>
      <c r="J44" s="87"/>
    </row>
    <row r="45" spans="2:10" x14ac:dyDescent="0.25">
      <c r="B45" s="275"/>
      <c r="C45" s="47" t="s">
        <v>75</v>
      </c>
      <c r="D45" s="250">
        <v>10000000</v>
      </c>
      <c r="E45" s="247">
        <v>16914284</v>
      </c>
      <c r="F45" s="61">
        <v>0</v>
      </c>
      <c r="G45" s="61">
        <f t="shared" si="6"/>
        <v>16914284</v>
      </c>
      <c r="H45" s="85">
        <f t="shared" si="4"/>
        <v>6914284</v>
      </c>
      <c r="I45" s="86">
        <f t="shared" si="5"/>
        <v>169.14284000000001</v>
      </c>
      <c r="J45" s="87"/>
    </row>
    <row r="46" spans="2:10" x14ac:dyDescent="0.25">
      <c r="B46" s="275"/>
      <c r="C46" s="47" t="s">
        <v>76</v>
      </c>
      <c r="D46" s="250">
        <v>0</v>
      </c>
      <c r="E46" s="247">
        <v>0</v>
      </c>
      <c r="F46" s="61">
        <v>0</v>
      </c>
      <c r="G46" s="61">
        <f t="shared" si="6"/>
        <v>0</v>
      </c>
      <c r="H46" s="85">
        <f t="shared" si="4"/>
        <v>0</v>
      </c>
      <c r="I46" s="86" t="e">
        <f t="shared" si="5"/>
        <v>#DIV/0!</v>
      </c>
      <c r="J46" s="87"/>
    </row>
    <row r="47" spans="2:10" x14ac:dyDescent="0.25">
      <c r="B47" s="275"/>
      <c r="C47" s="47" t="s">
        <v>77</v>
      </c>
      <c r="D47" s="250">
        <v>0</v>
      </c>
      <c r="E47" s="247">
        <v>0</v>
      </c>
      <c r="F47" s="61">
        <v>0</v>
      </c>
      <c r="G47" s="61">
        <f t="shared" si="6"/>
        <v>0</v>
      </c>
      <c r="H47" s="85">
        <f t="shared" si="4"/>
        <v>0</v>
      </c>
      <c r="I47" s="86" t="e">
        <f t="shared" si="5"/>
        <v>#DIV/0!</v>
      </c>
      <c r="J47" s="87"/>
    </row>
    <row r="48" spans="2:10" x14ac:dyDescent="0.25">
      <c r="B48" s="275"/>
      <c r="C48" s="47" t="s">
        <v>325</v>
      </c>
      <c r="D48" s="250">
        <v>3000000</v>
      </c>
      <c r="E48" s="247">
        <v>4015000</v>
      </c>
      <c r="F48" s="61">
        <v>0</v>
      </c>
      <c r="G48" s="61">
        <f t="shared" si="6"/>
        <v>4015000</v>
      </c>
      <c r="H48" s="85">
        <f t="shared" si="4"/>
        <v>1015000</v>
      </c>
      <c r="I48" s="86">
        <f t="shared" si="5"/>
        <v>133.83333333333334</v>
      </c>
      <c r="J48" s="87"/>
    </row>
    <row r="49" spans="2:10" x14ac:dyDescent="0.25">
      <c r="B49" s="275"/>
      <c r="C49" s="47" t="s">
        <v>326</v>
      </c>
      <c r="D49" s="250">
        <v>0</v>
      </c>
      <c r="E49" s="247">
        <v>0</v>
      </c>
      <c r="F49" s="61">
        <v>0</v>
      </c>
      <c r="G49" s="61">
        <f t="shared" si="6"/>
        <v>0</v>
      </c>
      <c r="H49" s="85">
        <f t="shared" si="4"/>
        <v>0</v>
      </c>
      <c r="I49" s="86" t="e">
        <f t="shared" si="5"/>
        <v>#DIV/0!</v>
      </c>
      <c r="J49" s="87"/>
    </row>
    <row r="50" spans="2:10" x14ac:dyDescent="0.25">
      <c r="B50" s="275"/>
      <c r="C50" s="47"/>
      <c r="D50" s="85"/>
      <c r="E50" s="269"/>
      <c r="F50" s="61"/>
      <c r="G50" s="61"/>
      <c r="H50" s="85"/>
      <c r="I50" s="85"/>
      <c r="J50" s="87"/>
    </row>
    <row r="51" spans="2:10" x14ac:dyDescent="0.25">
      <c r="B51" s="276"/>
      <c r="C51" s="170" t="s">
        <v>17</v>
      </c>
      <c r="D51" s="271">
        <f>SUM(D31:D49)</f>
        <v>63629000</v>
      </c>
      <c r="E51" s="89">
        <f>SUM(E31:E49)</f>
        <v>77865494</v>
      </c>
      <c r="F51" s="89">
        <f>SUM(F31:F49)</f>
        <v>3160000</v>
      </c>
      <c r="G51" s="89">
        <f>SUM(G31:G49)</f>
        <v>81025494</v>
      </c>
      <c r="H51" s="136">
        <f>SUM(H31:H49)</f>
        <v>29896494</v>
      </c>
      <c r="I51" s="91">
        <f>G51/D51%</f>
        <v>127.34051140203367</v>
      </c>
      <c r="J51" s="171"/>
    </row>
    <row r="52" spans="2:10" x14ac:dyDescent="0.25">
      <c r="B52" s="275"/>
      <c r="C52" s="47"/>
      <c r="D52" s="47"/>
      <c r="E52" s="61"/>
      <c r="F52" s="62"/>
      <c r="G52" s="61"/>
      <c r="H52" s="85"/>
      <c r="I52" s="85"/>
      <c r="J52" s="87"/>
    </row>
    <row r="53" spans="2:10" x14ac:dyDescent="0.25">
      <c r="B53" s="275" t="s">
        <v>18</v>
      </c>
      <c r="C53" s="60" t="s">
        <v>19</v>
      </c>
      <c r="D53" s="47"/>
      <c r="E53" s="269"/>
      <c r="F53" s="62"/>
      <c r="G53" s="61"/>
      <c r="H53" s="85"/>
      <c r="I53" s="85"/>
      <c r="J53" s="87"/>
    </row>
    <row r="54" spans="2:10" x14ac:dyDescent="0.25">
      <c r="B54" s="275"/>
      <c r="C54" s="47" t="s">
        <v>42</v>
      </c>
      <c r="D54" s="248">
        <v>4500000</v>
      </c>
      <c r="E54" s="247">
        <v>4524905</v>
      </c>
      <c r="F54" s="61">
        <v>0</v>
      </c>
      <c r="G54" s="61">
        <f>E54+F54</f>
        <v>4524905</v>
      </c>
      <c r="H54" s="85">
        <f t="shared" ref="H54:H67" si="8">G54-D54</f>
        <v>24905</v>
      </c>
      <c r="I54" s="86">
        <f>G54/D54%</f>
        <v>100.55344444444444</v>
      </c>
      <c r="J54" s="87"/>
    </row>
    <row r="55" spans="2:10" x14ac:dyDescent="0.25">
      <c r="B55" s="275"/>
      <c r="C55" s="47" t="s">
        <v>43</v>
      </c>
      <c r="D55" s="248">
        <v>20000000</v>
      </c>
      <c r="E55" s="247">
        <v>20062500</v>
      </c>
      <c r="F55" s="61">
        <v>0</v>
      </c>
      <c r="G55" s="61">
        <f t="shared" ref="G55:G67" si="9">E55+F55</f>
        <v>20062500</v>
      </c>
      <c r="H55" s="85">
        <f t="shared" si="8"/>
        <v>62500</v>
      </c>
      <c r="I55" s="86">
        <f>G55/D55%</f>
        <v>100.3125</v>
      </c>
      <c r="J55" s="87"/>
    </row>
    <row r="56" spans="2:10" x14ac:dyDescent="0.25">
      <c r="B56" s="275"/>
      <c r="C56" s="47" t="s">
        <v>44</v>
      </c>
      <c r="D56" s="248">
        <v>600000</v>
      </c>
      <c r="E56" s="247">
        <v>650000</v>
      </c>
      <c r="F56" s="61">
        <v>0</v>
      </c>
      <c r="G56" s="61">
        <f t="shared" si="9"/>
        <v>650000</v>
      </c>
      <c r="H56" s="85">
        <f t="shared" si="8"/>
        <v>50000</v>
      </c>
      <c r="I56" s="86">
        <f>G56/D56%</f>
        <v>108.33333333333333</v>
      </c>
      <c r="J56" s="87"/>
    </row>
    <row r="57" spans="2:10" x14ac:dyDescent="0.25">
      <c r="B57" s="275"/>
      <c r="C57" s="47" t="s">
        <v>45</v>
      </c>
      <c r="D57" s="248">
        <v>0</v>
      </c>
      <c r="E57" s="247">
        <v>0</v>
      </c>
      <c r="F57" s="61">
        <v>0</v>
      </c>
      <c r="G57" s="61">
        <f t="shared" si="9"/>
        <v>0</v>
      </c>
      <c r="H57" s="85">
        <f t="shared" si="8"/>
        <v>0</v>
      </c>
      <c r="I57" s="86" t="e">
        <f t="shared" ref="I57:I67" si="10">G57/D57%</f>
        <v>#DIV/0!</v>
      </c>
      <c r="J57" s="87"/>
    </row>
    <row r="58" spans="2:10" x14ac:dyDescent="0.25">
      <c r="B58" s="275"/>
      <c r="C58" s="47" t="s">
        <v>46</v>
      </c>
      <c r="D58" s="248">
        <v>0</v>
      </c>
      <c r="E58" s="247">
        <v>0</v>
      </c>
      <c r="F58" s="92">
        <v>0</v>
      </c>
      <c r="G58" s="61">
        <f t="shared" si="9"/>
        <v>0</v>
      </c>
      <c r="H58" s="85">
        <f t="shared" si="8"/>
        <v>0</v>
      </c>
      <c r="I58" s="86" t="e">
        <f t="shared" si="10"/>
        <v>#DIV/0!</v>
      </c>
      <c r="J58" s="87"/>
    </row>
    <row r="59" spans="2:10" x14ac:dyDescent="0.25">
      <c r="B59" s="275"/>
      <c r="C59" s="47" t="s">
        <v>47</v>
      </c>
      <c r="D59" s="248">
        <v>0</v>
      </c>
      <c r="E59" s="247">
        <v>0</v>
      </c>
      <c r="F59" s="61">
        <v>0</v>
      </c>
      <c r="G59" s="61">
        <f t="shared" si="9"/>
        <v>0</v>
      </c>
      <c r="H59" s="85">
        <f t="shared" si="8"/>
        <v>0</v>
      </c>
      <c r="I59" s="86" t="e">
        <f t="shared" si="10"/>
        <v>#DIV/0!</v>
      </c>
      <c r="J59" s="87"/>
    </row>
    <row r="60" spans="2:10" x14ac:dyDescent="0.25">
      <c r="B60" s="275"/>
      <c r="C60" s="47" t="s">
        <v>129</v>
      </c>
      <c r="D60" s="248">
        <v>0</v>
      </c>
      <c r="E60" s="247">
        <v>0</v>
      </c>
      <c r="F60" s="61">
        <v>0</v>
      </c>
      <c r="G60" s="61">
        <f t="shared" si="9"/>
        <v>0</v>
      </c>
      <c r="H60" s="85">
        <f t="shared" si="8"/>
        <v>0</v>
      </c>
      <c r="I60" s="86" t="e">
        <f t="shared" si="10"/>
        <v>#DIV/0!</v>
      </c>
      <c r="J60" s="87"/>
    </row>
    <row r="61" spans="2:10" x14ac:dyDescent="0.25">
      <c r="B61" s="275"/>
      <c r="C61" s="47" t="s">
        <v>86</v>
      </c>
      <c r="D61" s="248">
        <v>0</v>
      </c>
      <c r="E61" s="247">
        <v>0</v>
      </c>
      <c r="F61" s="61">
        <v>0</v>
      </c>
      <c r="G61" s="61">
        <f t="shared" si="9"/>
        <v>0</v>
      </c>
      <c r="H61" s="85">
        <f t="shared" si="8"/>
        <v>0</v>
      </c>
      <c r="I61" s="86" t="e">
        <f t="shared" si="10"/>
        <v>#DIV/0!</v>
      </c>
      <c r="J61" s="87"/>
    </row>
    <row r="62" spans="2:10" x14ac:dyDescent="0.25">
      <c r="B62" s="275"/>
      <c r="C62" s="47" t="s">
        <v>87</v>
      </c>
      <c r="D62" s="248">
        <v>0</v>
      </c>
      <c r="E62" s="247">
        <v>0</v>
      </c>
      <c r="F62" s="61">
        <v>0</v>
      </c>
      <c r="G62" s="61">
        <f>E62+F62</f>
        <v>0</v>
      </c>
      <c r="H62" s="85">
        <f>G62-D62</f>
        <v>0</v>
      </c>
      <c r="I62" s="86" t="e">
        <f>G62/D62%</f>
        <v>#DIV/0!</v>
      </c>
      <c r="J62" s="87"/>
    </row>
    <row r="63" spans="2:10" x14ac:dyDescent="0.25">
      <c r="B63" s="275"/>
      <c r="C63" s="47" t="s">
        <v>81</v>
      </c>
      <c r="D63" s="248">
        <v>0</v>
      </c>
      <c r="E63" s="247">
        <v>0</v>
      </c>
      <c r="F63" s="61">
        <v>0</v>
      </c>
      <c r="G63" s="61">
        <f t="shared" si="9"/>
        <v>0</v>
      </c>
      <c r="H63" s="85">
        <f t="shared" si="8"/>
        <v>0</v>
      </c>
      <c r="I63" s="86" t="e">
        <f t="shared" si="10"/>
        <v>#DIV/0!</v>
      </c>
      <c r="J63" s="87"/>
    </row>
    <row r="64" spans="2:10" x14ac:dyDescent="0.25">
      <c r="B64" s="275"/>
      <c r="C64" s="47" t="s">
        <v>82</v>
      </c>
      <c r="D64" s="248">
        <v>0</v>
      </c>
      <c r="E64" s="247">
        <v>0</v>
      </c>
      <c r="F64" s="61">
        <v>0</v>
      </c>
      <c r="G64" s="61">
        <f t="shared" si="9"/>
        <v>0</v>
      </c>
      <c r="H64" s="85">
        <f t="shared" si="8"/>
        <v>0</v>
      </c>
      <c r="I64" s="86" t="e">
        <f t="shared" si="10"/>
        <v>#DIV/0!</v>
      </c>
      <c r="J64" s="87"/>
    </row>
    <row r="65" spans="2:10" x14ac:dyDescent="0.25">
      <c r="B65" s="275"/>
      <c r="C65" s="47" t="s">
        <v>83</v>
      </c>
      <c r="D65" s="248">
        <v>0</v>
      </c>
      <c r="E65" s="247">
        <v>0</v>
      </c>
      <c r="F65" s="61">
        <v>0</v>
      </c>
      <c r="G65" s="61">
        <f>E65+F65</f>
        <v>0</v>
      </c>
      <c r="H65" s="85">
        <f>G65-D65</f>
        <v>0</v>
      </c>
      <c r="I65" s="86" t="e">
        <f>G65/D65%</f>
        <v>#DIV/0!</v>
      </c>
      <c r="J65" s="87"/>
    </row>
    <row r="66" spans="2:10" x14ac:dyDescent="0.25">
      <c r="B66" s="275"/>
      <c r="C66" s="47" t="s">
        <v>142</v>
      </c>
      <c r="D66" s="248">
        <v>1000000</v>
      </c>
      <c r="E66" s="247">
        <v>695000</v>
      </c>
      <c r="F66" s="61">
        <v>0</v>
      </c>
      <c r="G66" s="61">
        <f>E66+F66</f>
        <v>695000</v>
      </c>
      <c r="H66" s="85">
        <f>G66-D66</f>
        <v>-305000</v>
      </c>
      <c r="I66" s="86">
        <f>G66/D66%</f>
        <v>69.5</v>
      </c>
      <c r="J66" s="87"/>
    </row>
    <row r="67" spans="2:10" x14ac:dyDescent="0.25">
      <c r="B67" s="275"/>
      <c r="C67" s="47" t="s">
        <v>85</v>
      </c>
      <c r="D67" s="248">
        <v>1600000</v>
      </c>
      <c r="E67" s="247">
        <v>0</v>
      </c>
      <c r="F67" s="61">
        <v>0</v>
      </c>
      <c r="G67" s="61">
        <f t="shared" si="9"/>
        <v>0</v>
      </c>
      <c r="H67" s="85">
        <f t="shared" si="8"/>
        <v>-1600000</v>
      </c>
      <c r="I67" s="86">
        <f t="shared" si="10"/>
        <v>0</v>
      </c>
      <c r="J67" s="87"/>
    </row>
    <row r="68" spans="2:10" x14ac:dyDescent="0.25">
      <c r="B68" s="275"/>
      <c r="C68" s="47"/>
      <c r="D68" s="85"/>
      <c r="E68" s="269"/>
      <c r="F68" s="61"/>
      <c r="G68" s="61"/>
      <c r="H68" s="85"/>
      <c r="I68" s="85"/>
      <c r="J68" s="87"/>
    </row>
    <row r="69" spans="2:10" x14ac:dyDescent="0.25">
      <c r="B69" s="276"/>
      <c r="C69" s="170" t="s">
        <v>20</v>
      </c>
      <c r="D69" s="136">
        <f>SUM(D54:D67)</f>
        <v>27700000</v>
      </c>
      <c r="E69" s="89">
        <f>SUM(E54:E67)</f>
        <v>25932405</v>
      </c>
      <c r="F69" s="89">
        <f>SUM(F54:F67)</f>
        <v>0</v>
      </c>
      <c r="G69" s="89">
        <f>SUM(G54:G67)</f>
        <v>25932405</v>
      </c>
      <c r="H69" s="136">
        <f>SUM(H54:H63)</f>
        <v>137405</v>
      </c>
      <c r="I69" s="91">
        <f>G69/D69%</f>
        <v>93.618790613718417</v>
      </c>
      <c r="J69" s="171"/>
    </row>
    <row r="70" spans="2:10" x14ac:dyDescent="0.25">
      <c r="B70" s="275"/>
      <c r="C70" s="47"/>
      <c r="D70" s="47"/>
      <c r="E70" s="61"/>
      <c r="F70" s="62"/>
      <c r="G70" s="61"/>
      <c r="H70" s="85"/>
      <c r="I70" s="85"/>
      <c r="J70" s="87"/>
    </row>
    <row r="71" spans="2:10" ht="15.75" thickBot="1" x14ac:dyDescent="0.3">
      <c r="B71" s="275"/>
      <c r="C71" s="60" t="s">
        <v>21</v>
      </c>
      <c r="D71" s="93">
        <f>D28+D51+D69</f>
        <v>259463000</v>
      </c>
      <c r="E71" s="94">
        <f>E28+E51+E69</f>
        <v>263053971</v>
      </c>
      <c r="F71" s="95">
        <f>F28+F51+F69</f>
        <v>6940000</v>
      </c>
      <c r="G71" s="94">
        <f>G28+G51+G69</f>
        <v>269993971</v>
      </c>
      <c r="H71" s="96">
        <f>H28+H51+H69</f>
        <v>28959272</v>
      </c>
      <c r="I71" s="97">
        <f>G71/D71%</f>
        <v>104.05875635447057</v>
      </c>
      <c r="J71" s="87"/>
    </row>
    <row r="72" spans="2:10" ht="15.75" thickTop="1" x14ac:dyDescent="0.25">
      <c r="B72" s="278"/>
      <c r="C72" s="98"/>
      <c r="D72" s="99"/>
      <c r="E72" s="100"/>
      <c r="F72" s="101"/>
      <c r="G72" s="100"/>
      <c r="H72" s="102"/>
      <c r="I72" s="103"/>
      <c r="J72" s="104"/>
    </row>
    <row r="73" spans="2:10" x14ac:dyDescent="0.25">
      <c r="B73" s="278"/>
      <c r="C73" s="98" t="s">
        <v>22</v>
      </c>
      <c r="D73" s="105"/>
      <c r="E73" s="106"/>
      <c r="F73" s="107"/>
      <c r="G73" s="106"/>
      <c r="H73" s="108"/>
      <c r="I73" s="109"/>
      <c r="J73" s="104"/>
    </row>
    <row r="74" spans="2:10" x14ac:dyDescent="0.25">
      <c r="B74" s="278" t="s">
        <v>12</v>
      </c>
      <c r="C74" s="98" t="s">
        <v>23</v>
      </c>
      <c r="D74" s="105">
        <v>13500000</v>
      </c>
      <c r="E74" s="106">
        <f>E123</f>
        <v>8063000</v>
      </c>
      <c r="F74" s="107">
        <f>F123</f>
        <v>242000</v>
      </c>
      <c r="G74" s="106">
        <f>E74+F74</f>
        <v>8305000</v>
      </c>
      <c r="H74" s="108">
        <f>G74-D74</f>
        <v>-5195000</v>
      </c>
      <c r="I74" s="110">
        <f>G74/D74%</f>
        <v>61.518518518518519</v>
      </c>
      <c r="J74" s="104"/>
    </row>
    <row r="75" spans="2:10" x14ac:dyDescent="0.25">
      <c r="B75" s="278"/>
      <c r="C75" s="98"/>
      <c r="D75" s="105"/>
      <c r="E75" s="106"/>
      <c r="F75" s="107"/>
      <c r="G75" s="106"/>
      <c r="H75" s="108"/>
      <c r="I75" s="110"/>
      <c r="J75" s="104"/>
    </row>
    <row r="76" spans="2:10" x14ac:dyDescent="0.25">
      <c r="B76" s="278" t="s">
        <v>15</v>
      </c>
      <c r="C76" s="98" t="s">
        <v>16</v>
      </c>
      <c r="D76" s="105">
        <v>4500000</v>
      </c>
      <c r="E76" s="106">
        <f>E145</f>
        <v>1421000</v>
      </c>
      <c r="F76" s="107">
        <f>F145</f>
        <v>0</v>
      </c>
      <c r="G76" s="106">
        <f>E76+F76</f>
        <v>1421000</v>
      </c>
      <c r="H76" s="108">
        <f>G76-D76</f>
        <v>-3079000</v>
      </c>
      <c r="I76" s="110">
        <f>G76/D76%</f>
        <v>31.577777777777779</v>
      </c>
      <c r="J76" s="104"/>
    </row>
    <row r="77" spans="2:10" x14ac:dyDescent="0.25">
      <c r="B77" s="278"/>
      <c r="C77" s="98"/>
      <c r="D77" s="105"/>
      <c r="E77" s="106"/>
      <c r="F77" s="107"/>
      <c r="G77" s="106"/>
      <c r="H77" s="108"/>
      <c r="I77" s="110"/>
      <c r="J77" s="104"/>
    </row>
    <row r="78" spans="2:10" x14ac:dyDescent="0.25">
      <c r="B78" s="278" t="s">
        <v>18</v>
      </c>
      <c r="C78" s="98" t="s">
        <v>19</v>
      </c>
      <c r="D78" s="105">
        <v>0</v>
      </c>
      <c r="E78" s="106">
        <f>E163</f>
        <v>50000</v>
      </c>
      <c r="F78" s="107">
        <f>F163</f>
        <v>0</v>
      </c>
      <c r="G78" s="106">
        <f>E78+F78</f>
        <v>50000</v>
      </c>
      <c r="H78" s="108">
        <f>G78-D78</f>
        <v>50000</v>
      </c>
      <c r="I78" s="110" t="e">
        <f>G78/D78%</f>
        <v>#DIV/0!</v>
      </c>
      <c r="J78" s="104"/>
    </row>
    <row r="79" spans="2:10" ht="15.75" thickBot="1" x14ac:dyDescent="0.3">
      <c r="B79" s="278"/>
      <c r="C79" s="98"/>
      <c r="D79" s="111"/>
      <c r="E79" s="112"/>
      <c r="F79" s="113"/>
      <c r="G79" s="112"/>
      <c r="H79" s="96"/>
      <c r="I79" s="97"/>
      <c r="J79" s="104"/>
    </row>
    <row r="80" spans="2:10" ht="16.5" thickTop="1" thickBot="1" x14ac:dyDescent="0.3">
      <c r="B80" s="279"/>
      <c r="C80" s="115" t="s">
        <v>24</v>
      </c>
      <c r="D80" s="116">
        <f>SUM(D74:D78)</f>
        <v>18000000</v>
      </c>
      <c r="E80" s="117">
        <f>SUM(E74:E78)</f>
        <v>9534000</v>
      </c>
      <c r="F80" s="118">
        <f>SUM(F74:F78)</f>
        <v>242000</v>
      </c>
      <c r="G80" s="117">
        <f>SUM(G74:G78)</f>
        <v>9776000</v>
      </c>
      <c r="H80" s="119">
        <f>SUM(H74:H78)</f>
        <v>-8224000</v>
      </c>
      <c r="I80" s="120">
        <f>G80/D80%</f>
        <v>54.31111111111111</v>
      </c>
      <c r="J80" s="121"/>
    </row>
    <row r="81" spans="2:10" x14ac:dyDescent="0.25">
      <c r="B81" s="280"/>
      <c r="C81" s="75"/>
      <c r="D81" s="75"/>
      <c r="E81" s="75"/>
      <c r="F81" s="75"/>
      <c r="G81" s="76"/>
      <c r="H81" s="75"/>
      <c r="I81" s="75"/>
      <c r="J81" s="75"/>
    </row>
    <row r="82" spans="2:10" x14ac:dyDescent="0.25">
      <c r="B82" s="280"/>
      <c r="C82" s="75"/>
      <c r="D82" s="75"/>
      <c r="E82" s="122" t="s">
        <v>25</v>
      </c>
      <c r="F82" s="242" t="s">
        <v>26</v>
      </c>
      <c r="G82" s="124" t="e">
        <f>#REF!</f>
        <v>#REF!</v>
      </c>
      <c r="H82" s="75"/>
      <c r="I82" s="75"/>
      <c r="J82" s="75"/>
    </row>
    <row r="83" spans="2:10" x14ac:dyDescent="0.25">
      <c r="B83" s="280"/>
      <c r="C83" s="75"/>
      <c r="D83" s="75"/>
      <c r="E83" s="122" t="s">
        <v>132</v>
      </c>
      <c r="F83" s="242" t="s">
        <v>26</v>
      </c>
      <c r="G83" s="124" t="e">
        <f>#REF!</f>
        <v>#REF!</v>
      </c>
      <c r="H83" s="75"/>
      <c r="I83" s="75"/>
      <c r="J83" s="75"/>
    </row>
    <row r="84" spans="2:10" x14ac:dyDescent="0.25">
      <c r="B84" s="280"/>
      <c r="C84" s="75"/>
      <c r="D84" s="75"/>
      <c r="E84" s="122" t="s">
        <v>27</v>
      </c>
      <c r="F84" s="242" t="s">
        <v>26</v>
      </c>
      <c r="G84" s="125">
        <f>71000+91000+39000+230000+47000+118000</f>
        <v>596000</v>
      </c>
      <c r="H84" s="75"/>
      <c r="I84" s="75"/>
      <c r="J84" s="75"/>
    </row>
    <row r="85" spans="2:10" ht="19.5" x14ac:dyDescent="0.55000000000000004">
      <c r="B85" s="280"/>
      <c r="C85" s="75"/>
      <c r="D85" s="75"/>
      <c r="E85" s="122" t="s">
        <v>29</v>
      </c>
      <c r="F85" s="242" t="s">
        <v>26</v>
      </c>
      <c r="G85" s="126">
        <f>232000+150000+115000+54000+129000+250000</f>
        <v>930000</v>
      </c>
      <c r="H85" s="75" t="s">
        <v>28</v>
      </c>
      <c r="I85" s="75"/>
      <c r="J85" s="75"/>
    </row>
    <row r="86" spans="2:10" ht="15.75" thickBot="1" x14ac:dyDescent="0.3">
      <c r="B86" s="280"/>
      <c r="C86" s="75"/>
      <c r="D86" s="75"/>
      <c r="E86" s="122" t="s">
        <v>30</v>
      </c>
      <c r="F86" s="123"/>
      <c r="G86" s="127" t="e">
        <f>SUM(G82:G85)</f>
        <v>#REF!</v>
      </c>
      <c r="H86" s="160" t="s">
        <v>126</v>
      </c>
      <c r="I86" s="27"/>
      <c r="J86" s="75"/>
    </row>
    <row r="87" spans="2:10" ht="15.75" thickTop="1" x14ac:dyDescent="0.25">
      <c r="B87" s="280"/>
      <c r="C87" s="75"/>
      <c r="D87" s="75"/>
      <c r="E87" s="122"/>
      <c r="F87" s="123"/>
      <c r="G87" s="159" t="s">
        <v>263</v>
      </c>
      <c r="H87" s="27"/>
      <c r="I87" s="27"/>
      <c r="J87" s="75"/>
    </row>
    <row r="88" spans="2:10" ht="15.75" thickBot="1" x14ac:dyDescent="0.3">
      <c r="B88" s="286" t="s">
        <v>367</v>
      </c>
      <c r="C88" s="161" t="s">
        <v>321</v>
      </c>
      <c r="D88" s="149"/>
      <c r="E88" s="162"/>
      <c r="F88" s="243" t="s">
        <v>26</v>
      </c>
      <c r="G88" s="244">
        <f>1590000+1110000+1500000</f>
        <v>4200000</v>
      </c>
      <c r="H88" s="165" t="s">
        <v>126</v>
      </c>
      <c r="I88" s="149"/>
      <c r="J88" s="245">
        <f>SUM(G88:G89)</f>
        <v>12200000</v>
      </c>
    </row>
    <row r="89" spans="2:10" ht="16.5" thickTop="1" thickBot="1" x14ac:dyDescent="0.3">
      <c r="B89" s="281"/>
      <c r="C89" s="161" t="s">
        <v>322</v>
      </c>
      <c r="D89" s="162"/>
      <c r="E89" s="161"/>
      <c r="F89" s="243" t="s">
        <v>26</v>
      </c>
      <c r="G89" s="164">
        <f>2000000+1710000+290000+2000000+2000000</f>
        <v>8000000</v>
      </c>
      <c r="H89" s="165" t="s">
        <v>126</v>
      </c>
      <c r="I89" s="149"/>
      <c r="J89" s="162"/>
    </row>
    <row r="90" spans="2:10" ht="15.75" thickTop="1" x14ac:dyDescent="0.25">
      <c r="B90" s="282"/>
      <c r="C90" s="27"/>
      <c r="D90" s="27"/>
      <c r="E90" s="27"/>
      <c r="F90" s="27"/>
      <c r="G90" s="27"/>
      <c r="H90" s="403" t="s">
        <v>377</v>
      </c>
      <c r="I90" s="403"/>
      <c r="J90" s="27"/>
    </row>
    <row r="91" spans="2:10" x14ac:dyDescent="0.25">
      <c r="B91" s="282"/>
      <c r="C91" s="27"/>
      <c r="D91" s="27"/>
      <c r="E91" s="27"/>
      <c r="F91" s="27"/>
      <c r="G91" s="166" t="e">
        <f>G71-G82</f>
        <v>#REF!</v>
      </c>
      <c r="H91" s="27"/>
      <c r="I91" s="27"/>
      <c r="J91" s="27"/>
    </row>
    <row r="92" spans="2:10" ht="15.75" thickBot="1" x14ac:dyDescent="0.3">
      <c r="B92" s="282"/>
      <c r="C92" s="27"/>
      <c r="D92" s="27"/>
      <c r="E92" s="27"/>
      <c r="F92" s="27"/>
      <c r="G92" s="27" t="s">
        <v>133</v>
      </c>
      <c r="H92" s="27"/>
      <c r="I92" s="27"/>
      <c r="J92" s="128" t="e">
        <f>G82+G85</f>
        <v>#REF!</v>
      </c>
    </row>
    <row r="93" spans="2:10" ht="15.75" thickTop="1" x14ac:dyDescent="0.25">
      <c r="B93" s="282"/>
      <c r="C93" s="27"/>
      <c r="D93" s="27"/>
      <c r="E93" s="27"/>
      <c r="F93" s="27"/>
      <c r="G93" s="27"/>
      <c r="H93" s="27"/>
      <c r="I93" s="27"/>
      <c r="J93" s="166"/>
    </row>
    <row r="94" spans="2:10" ht="15.75" thickBot="1" x14ac:dyDescent="0.3">
      <c r="B94" s="282"/>
      <c r="C94" s="27"/>
      <c r="D94" s="27"/>
      <c r="E94" s="27"/>
      <c r="F94" s="27"/>
      <c r="G94" s="27"/>
      <c r="H94" s="27"/>
      <c r="I94" s="27"/>
      <c r="J94" s="128" t="e">
        <f>G86+G88+G89</f>
        <v>#REF!</v>
      </c>
    </row>
    <row r="95" spans="2:10" ht="15.75" thickTop="1" x14ac:dyDescent="0.25">
      <c r="B95" s="282"/>
      <c r="C95" s="27"/>
      <c r="D95" s="27"/>
      <c r="E95" s="27"/>
      <c r="F95" s="27"/>
      <c r="G95" s="27"/>
      <c r="H95" s="27"/>
      <c r="I95" s="27"/>
      <c r="J95" s="27"/>
    </row>
    <row r="96" spans="2:10" x14ac:dyDescent="0.25">
      <c r="B96" s="283"/>
      <c r="C96" s="129"/>
      <c r="D96" s="129"/>
      <c r="E96" s="129"/>
      <c r="F96" s="129"/>
      <c r="G96" s="129"/>
      <c r="H96" s="129"/>
      <c r="I96" s="129"/>
      <c r="J96" s="129"/>
    </row>
    <row r="97" spans="2:10" x14ac:dyDescent="0.25">
      <c r="B97" s="282"/>
      <c r="C97" s="27"/>
      <c r="D97" s="27"/>
      <c r="E97" s="27"/>
      <c r="F97" s="27"/>
      <c r="G97" s="27"/>
      <c r="H97" s="27"/>
      <c r="I97" s="27"/>
      <c r="J97" s="75"/>
    </row>
    <row r="98" spans="2:10" x14ac:dyDescent="0.25">
      <c r="B98" s="406" t="s">
        <v>370</v>
      </c>
      <c r="C98" s="406"/>
      <c r="D98" s="406"/>
      <c r="E98" s="406"/>
      <c r="F98" s="406"/>
      <c r="G98" s="406"/>
      <c r="H98" s="406"/>
      <c r="I98" s="406"/>
      <c r="J98" s="75"/>
    </row>
    <row r="99" spans="2:10" ht="15.75" thickBot="1" x14ac:dyDescent="0.3">
      <c r="B99" s="406" t="s">
        <v>381</v>
      </c>
      <c r="C99" s="406"/>
      <c r="D99" s="406"/>
      <c r="E99" s="406"/>
      <c r="F99" s="406"/>
      <c r="G99" s="406"/>
      <c r="H99" s="406"/>
      <c r="I99" s="406"/>
      <c r="J99" s="78"/>
    </row>
    <row r="100" spans="2:10" x14ac:dyDescent="0.25">
      <c r="B100" s="420" t="s">
        <v>2</v>
      </c>
      <c r="C100" s="409" t="s">
        <v>3</v>
      </c>
      <c r="D100" s="411" t="s">
        <v>4</v>
      </c>
      <c r="E100" s="413" t="s">
        <v>5</v>
      </c>
      <c r="F100" s="414"/>
      <c r="G100" s="415"/>
      <c r="H100" s="413" t="s">
        <v>6</v>
      </c>
      <c r="I100" s="415"/>
      <c r="J100" s="416" t="s">
        <v>0</v>
      </c>
    </row>
    <row r="101" spans="2:10" ht="15.75" thickBot="1" x14ac:dyDescent="0.3">
      <c r="B101" s="421"/>
      <c r="C101" s="410"/>
      <c r="D101" s="412"/>
      <c r="E101" s="145" t="str">
        <f>E6</f>
        <v>PENJ. S/D TGL. 29</v>
      </c>
      <c r="F101" s="146" t="str">
        <f>F6</f>
        <v>PENJ. TGL. 30</v>
      </c>
      <c r="G101" s="130" t="s">
        <v>7</v>
      </c>
      <c r="H101" s="131" t="s">
        <v>8</v>
      </c>
      <c r="I101" s="130" t="s">
        <v>9</v>
      </c>
      <c r="J101" s="417"/>
    </row>
    <row r="102" spans="2:10" ht="15.75" thickTop="1" x14ac:dyDescent="0.25">
      <c r="B102" s="284"/>
      <c r="C102" s="133" t="s">
        <v>11</v>
      </c>
      <c r="D102" s="82"/>
      <c r="E102" s="42"/>
      <c r="F102" s="42"/>
      <c r="G102" s="41"/>
      <c r="H102" s="42"/>
      <c r="I102" s="42"/>
      <c r="J102" s="83"/>
    </row>
    <row r="103" spans="2:10" x14ac:dyDescent="0.25">
      <c r="B103" s="274" t="s">
        <v>12</v>
      </c>
      <c r="C103" s="44" t="s">
        <v>13</v>
      </c>
      <c r="D103" s="134">
        <v>13500000</v>
      </c>
      <c r="E103" s="45"/>
      <c r="F103" s="45"/>
      <c r="G103" s="59"/>
      <c r="H103" s="45"/>
      <c r="I103" s="45"/>
      <c r="J103" s="84"/>
    </row>
    <row r="104" spans="2:10" x14ac:dyDescent="0.25">
      <c r="B104" s="275"/>
      <c r="C104" s="47" t="s">
        <v>36</v>
      </c>
      <c r="D104" s="85">
        <v>0</v>
      </c>
      <c r="E104" s="85">
        <v>4161000</v>
      </c>
      <c r="F104" s="61">
        <v>70000</v>
      </c>
      <c r="G104" s="61">
        <f>E104+F104</f>
        <v>4231000</v>
      </c>
      <c r="H104" s="85">
        <f>G104-D104</f>
        <v>4231000</v>
      </c>
      <c r="I104" s="86" t="e">
        <f>G104/D104%</f>
        <v>#DIV/0!</v>
      </c>
      <c r="J104" s="87"/>
    </row>
    <row r="105" spans="2:10" x14ac:dyDescent="0.25">
      <c r="B105" s="275"/>
      <c r="C105" s="47" t="s">
        <v>37</v>
      </c>
      <c r="D105" s="85">
        <v>0</v>
      </c>
      <c r="E105" s="85">
        <v>791000</v>
      </c>
      <c r="F105" s="61">
        <v>50000</v>
      </c>
      <c r="G105" s="61">
        <f t="shared" ref="G105:G121" si="11">E105+F105</f>
        <v>841000</v>
      </c>
      <c r="H105" s="85">
        <f>G105-D105</f>
        <v>841000</v>
      </c>
      <c r="I105" s="86" t="e">
        <f>G105/D105%</f>
        <v>#DIV/0!</v>
      </c>
      <c r="J105" s="87"/>
    </row>
    <row r="106" spans="2:10" x14ac:dyDescent="0.25">
      <c r="B106" s="275"/>
      <c r="C106" s="47" t="s">
        <v>52</v>
      </c>
      <c r="D106" s="85">
        <v>0</v>
      </c>
      <c r="E106" s="85">
        <v>0</v>
      </c>
      <c r="F106" s="61">
        <v>0</v>
      </c>
      <c r="G106" s="61">
        <f t="shared" si="11"/>
        <v>0</v>
      </c>
      <c r="H106" s="85"/>
      <c r="I106" s="86"/>
      <c r="J106" s="87"/>
    </row>
    <row r="107" spans="2:10" x14ac:dyDescent="0.25">
      <c r="B107" s="275"/>
      <c r="C107" s="47" t="s">
        <v>53</v>
      </c>
      <c r="D107" s="85">
        <v>0</v>
      </c>
      <c r="E107" s="85">
        <v>501000</v>
      </c>
      <c r="F107" s="61">
        <v>0</v>
      </c>
      <c r="G107" s="61">
        <f t="shared" si="11"/>
        <v>501000</v>
      </c>
      <c r="H107" s="85">
        <f t="shared" ref="H107:H121" si="12">G107-D107</f>
        <v>501000</v>
      </c>
      <c r="I107" s="86" t="e">
        <f t="shared" ref="I107:I121" si="13">G107/D107%</f>
        <v>#DIV/0!</v>
      </c>
      <c r="J107" s="87"/>
    </row>
    <row r="108" spans="2:10" x14ac:dyDescent="0.25">
      <c r="B108" s="275"/>
      <c r="C108" s="47" t="s">
        <v>54</v>
      </c>
      <c r="D108" s="85"/>
      <c r="E108" s="85">
        <v>124000</v>
      </c>
      <c r="F108" s="61">
        <v>22000</v>
      </c>
      <c r="G108" s="61">
        <f t="shared" si="11"/>
        <v>146000</v>
      </c>
      <c r="H108" s="85">
        <f t="shared" si="12"/>
        <v>146000</v>
      </c>
      <c r="I108" s="86" t="e">
        <f t="shared" si="13"/>
        <v>#DIV/0!</v>
      </c>
      <c r="J108" s="88"/>
    </row>
    <row r="109" spans="2:10" x14ac:dyDescent="0.25">
      <c r="B109" s="275"/>
      <c r="C109" s="47" t="s">
        <v>55</v>
      </c>
      <c r="D109" s="85">
        <v>0</v>
      </c>
      <c r="E109" s="85">
        <v>272000</v>
      </c>
      <c r="F109" s="61">
        <v>0</v>
      </c>
      <c r="G109" s="61">
        <f t="shared" si="11"/>
        <v>272000</v>
      </c>
      <c r="H109" s="85">
        <f t="shared" si="12"/>
        <v>272000</v>
      </c>
      <c r="I109" s="86" t="e">
        <f t="shared" si="13"/>
        <v>#DIV/0!</v>
      </c>
      <c r="J109" s="88"/>
    </row>
    <row r="110" spans="2:10" x14ac:dyDescent="0.25">
      <c r="B110" s="275"/>
      <c r="C110" s="47" t="s">
        <v>56</v>
      </c>
      <c r="D110" s="85">
        <v>0</v>
      </c>
      <c r="E110" s="85">
        <v>445000</v>
      </c>
      <c r="F110" s="61">
        <v>0</v>
      </c>
      <c r="G110" s="61">
        <f t="shared" si="11"/>
        <v>445000</v>
      </c>
      <c r="H110" s="85">
        <f t="shared" si="12"/>
        <v>445000</v>
      </c>
      <c r="I110" s="86" t="e">
        <f t="shared" si="13"/>
        <v>#DIV/0!</v>
      </c>
      <c r="J110" s="87"/>
    </row>
    <row r="111" spans="2:10" x14ac:dyDescent="0.25">
      <c r="B111" s="275"/>
      <c r="C111" s="47" t="s">
        <v>57</v>
      </c>
      <c r="D111" s="85">
        <v>0</v>
      </c>
      <c r="E111" s="85">
        <v>1235000</v>
      </c>
      <c r="F111" s="61">
        <v>0</v>
      </c>
      <c r="G111" s="61">
        <f t="shared" si="11"/>
        <v>1235000</v>
      </c>
      <c r="H111" s="85">
        <f t="shared" si="12"/>
        <v>1235000</v>
      </c>
      <c r="I111" s="86" t="e">
        <f t="shared" si="13"/>
        <v>#DIV/0!</v>
      </c>
      <c r="J111" s="87"/>
    </row>
    <row r="112" spans="2:10" x14ac:dyDescent="0.25">
      <c r="B112" s="275"/>
      <c r="C112" s="47" t="s">
        <v>58</v>
      </c>
      <c r="D112" s="85">
        <v>0</v>
      </c>
      <c r="E112" s="85">
        <v>434000</v>
      </c>
      <c r="F112" s="61">
        <v>100000</v>
      </c>
      <c r="G112" s="61">
        <f t="shared" si="11"/>
        <v>534000</v>
      </c>
      <c r="H112" s="85">
        <f t="shared" si="12"/>
        <v>534000</v>
      </c>
      <c r="I112" s="86" t="e">
        <f t="shared" si="13"/>
        <v>#DIV/0!</v>
      </c>
      <c r="J112" s="87"/>
    </row>
    <row r="113" spans="2:10" x14ac:dyDescent="0.25">
      <c r="B113" s="275"/>
      <c r="C113" s="47" t="s">
        <v>59</v>
      </c>
      <c r="D113" s="85">
        <v>0</v>
      </c>
      <c r="E113" s="85">
        <v>50000</v>
      </c>
      <c r="F113" s="61">
        <v>0</v>
      </c>
      <c r="G113" s="61">
        <f t="shared" si="11"/>
        <v>50000</v>
      </c>
      <c r="H113" s="85">
        <f t="shared" si="12"/>
        <v>50000</v>
      </c>
      <c r="I113" s="86" t="e">
        <f t="shared" si="13"/>
        <v>#DIV/0!</v>
      </c>
      <c r="J113" s="87"/>
    </row>
    <row r="114" spans="2:10" x14ac:dyDescent="0.25">
      <c r="B114" s="275"/>
      <c r="C114" s="47" t="s">
        <v>60</v>
      </c>
      <c r="D114" s="85">
        <v>0</v>
      </c>
      <c r="E114" s="85">
        <v>0</v>
      </c>
      <c r="F114" s="61">
        <v>0</v>
      </c>
      <c r="G114" s="61">
        <f t="shared" si="11"/>
        <v>0</v>
      </c>
      <c r="H114" s="85">
        <f t="shared" si="12"/>
        <v>0</v>
      </c>
      <c r="I114" s="86" t="e">
        <f t="shared" si="13"/>
        <v>#DIV/0!</v>
      </c>
      <c r="J114" s="87"/>
    </row>
    <row r="115" spans="2:10" x14ac:dyDescent="0.25">
      <c r="B115" s="275"/>
      <c r="C115" s="47" t="s">
        <v>61</v>
      </c>
      <c r="D115" s="85">
        <v>0</v>
      </c>
      <c r="E115" s="85">
        <v>0</v>
      </c>
      <c r="F115" s="61">
        <v>0</v>
      </c>
      <c r="G115" s="61">
        <f t="shared" si="11"/>
        <v>0</v>
      </c>
      <c r="H115" s="85">
        <f t="shared" si="12"/>
        <v>0</v>
      </c>
      <c r="I115" s="86" t="e">
        <f t="shared" si="13"/>
        <v>#DIV/0!</v>
      </c>
      <c r="J115" s="87"/>
    </row>
    <row r="116" spans="2:10" x14ac:dyDescent="0.25">
      <c r="B116" s="275"/>
      <c r="C116" s="47" t="s">
        <v>324</v>
      </c>
      <c r="D116" s="85">
        <v>0</v>
      </c>
      <c r="E116" s="85">
        <v>0</v>
      </c>
      <c r="F116" s="61">
        <v>0</v>
      </c>
      <c r="G116" s="61">
        <f t="shared" si="11"/>
        <v>0</v>
      </c>
      <c r="H116" s="85">
        <f t="shared" si="12"/>
        <v>0</v>
      </c>
      <c r="I116" s="86" t="e">
        <f t="shared" si="13"/>
        <v>#DIV/0!</v>
      </c>
      <c r="J116" s="87"/>
    </row>
    <row r="117" spans="2:10" x14ac:dyDescent="0.25">
      <c r="B117" s="275"/>
      <c r="C117" s="47" t="s">
        <v>63</v>
      </c>
      <c r="D117" s="85">
        <v>0</v>
      </c>
      <c r="E117" s="85">
        <v>0</v>
      </c>
      <c r="F117" s="61">
        <v>0</v>
      </c>
      <c r="G117" s="61">
        <f t="shared" si="11"/>
        <v>0</v>
      </c>
      <c r="H117" s="85">
        <f t="shared" si="12"/>
        <v>0</v>
      </c>
      <c r="I117" s="86" t="e">
        <f t="shared" si="13"/>
        <v>#DIV/0!</v>
      </c>
      <c r="J117" s="87"/>
    </row>
    <row r="118" spans="2:10" x14ac:dyDescent="0.25">
      <c r="B118" s="275"/>
      <c r="C118" s="47" t="s">
        <v>64</v>
      </c>
      <c r="D118" s="85">
        <v>0</v>
      </c>
      <c r="E118" s="85">
        <v>0</v>
      </c>
      <c r="F118" s="61">
        <v>0</v>
      </c>
      <c r="G118" s="61">
        <f t="shared" si="11"/>
        <v>0</v>
      </c>
      <c r="H118" s="85">
        <f t="shared" si="12"/>
        <v>0</v>
      </c>
      <c r="I118" s="86" t="e">
        <f t="shared" si="13"/>
        <v>#DIV/0!</v>
      </c>
      <c r="J118" s="87"/>
    </row>
    <row r="119" spans="2:10" x14ac:dyDescent="0.25">
      <c r="B119" s="275"/>
      <c r="C119" s="47" t="s">
        <v>376</v>
      </c>
      <c r="D119" s="85">
        <v>0</v>
      </c>
      <c r="E119" s="85">
        <v>50000</v>
      </c>
      <c r="F119" s="61">
        <v>0</v>
      </c>
      <c r="G119" s="61">
        <f t="shared" si="11"/>
        <v>50000</v>
      </c>
      <c r="H119" s="85">
        <f t="shared" si="12"/>
        <v>50000</v>
      </c>
      <c r="I119" s="86" t="e">
        <f t="shared" si="13"/>
        <v>#DIV/0!</v>
      </c>
      <c r="J119" s="87"/>
    </row>
    <row r="120" spans="2:10" x14ac:dyDescent="0.25">
      <c r="B120" s="275"/>
      <c r="C120" s="47" t="s">
        <v>373</v>
      </c>
      <c r="D120" s="85">
        <v>0</v>
      </c>
      <c r="E120" s="85">
        <v>0</v>
      </c>
      <c r="F120" s="61">
        <v>0</v>
      </c>
      <c r="G120" s="61">
        <f t="shared" si="11"/>
        <v>0</v>
      </c>
      <c r="H120" s="85">
        <f t="shared" si="12"/>
        <v>0</v>
      </c>
      <c r="I120" s="86" t="e">
        <f t="shared" si="13"/>
        <v>#DIV/0!</v>
      </c>
      <c r="J120" s="87"/>
    </row>
    <row r="121" spans="2:10" x14ac:dyDescent="0.25">
      <c r="B121" s="275"/>
      <c r="C121" s="47" t="s">
        <v>374</v>
      </c>
      <c r="D121" s="85">
        <v>0</v>
      </c>
      <c r="E121" s="85">
        <v>0</v>
      </c>
      <c r="F121" s="61">
        <v>0</v>
      </c>
      <c r="G121" s="61">
        <f t="shared" si="11"/>
        <v>0</v>
      </c>
      <c r="H121" s="85">
        <f t="shared" si="12"/>
        <v>0</v>
      </c>
      <c r="I121" s="86" t="e">
        <f t="shared" si="13"/>
        <v>#DIV/0!</v>
      </c>
      <c r="J121" s="87"/>
    </row>
    <row r="122" spans="2:10" x14ac:dyDescent="0.25">
      <c r="B122" s="275"/>
      <c r="C122" s="47"/>
      <c r="D122" s="47"/>
      <c r="E122" s="61"/>
      <c r="F122" s="61"/>
      <c r="G122" s="61"/>
      <c r="H122" s="85"/>
      <c r="I122" s="86"/>
      <c r="J122" s="87"/>
    </row>
    <row r="123" spans="2:10" x14ac:dyDescent="0.25">
      <c r="B123" s="275"/>
      <c r="C123" s="60" t="s">
        <v>14</v>
      </c>
      <c r="D123" s="135">
        <f>D103</f>
        <v>13500000</v>
      </c>
      <c r="E123" s="89">
        <f>SUM(E104:E121)</f>
        <v>8063000</v>
      </c>
      <c r="F123" s="89">
        <f>SUM(F104:F121)</f>
        <v>242000</v>
      </c>
      <c r="G123" s="89">
        <f>SUM(G104:G121)</f>
        <v>8305000</v>
      </c>
      <c r="H123" s="90">
        <f>SUM(H104:H117)</f>
        <v>8255000</v>
      </c>
      <c r="I123" s="91">
        <f>G123/D123%</f>
        <v>61.518518518518519</v>
      </c>
      <c r="J123" s="87"/>
    </row>
    <row r="124" spans="2:10" x14ac:dyDescent="0.25">
      <c r="B124" s="275"/>
      <c r="C124" s="47"/>
      <c r="D124" s="47"/>
      <c r="E124" s="61"/>
      <c r="F124" s="62"/>
      <c r="G124" s="61"/>
      <c r="H124" s="85"/>
      <c r="I124" s="85"/>
      <c r="J124" s="87"/>
    </row>
    <row r="125" spans="2:10" x14ac:dyDescent="0.25">
      <c r="B125" s="275" t="s">
        <v>15</v>
      </c>
      <c r="C125" s="60" t="s">
        <v>16</v>
      </c>
      <c r="D125" s="134">
        <v>4500000</v>
      </c>
      <c r="E125" s="61"/>
      <c r="F125" s="62"/>
      <c r="G125" s="61"/>
      <c r="H125" s="85"/>
      <c r="I125" s="85"/>
      <c r="J125" s="87"/>
    </row>
    <row r="126" spans="2:10" x14ac:dyDescent="0.25">
      <c r="B126" s="275"/>
      <c r="C126" s="47" t="s">
        <v>38</v>
      </c>
      <c r="D126" s="85">
        <v>0</v>
      </c>
      <c r="E126" s="85">
        <v>0</v>
      </c>
      <c r="F126" s="61">
        <v>0</v>
      </c>
      <c r="G126" s="61">
        <f t="shared" ref="G126:G143" si="14">E126+F126</f>
        <v>0</v>
      </c>
      <c r="H126" s="85">
        <f t="shared" ref="H126:H143" si="15">G126-D126</f>
        <v>0</v>
      </c>
      <c r="I126" s="86" t="e">
        <f t="shared" ref="I126:I143" si="16">G126/D126%</f>
        <v>#DIV/0!</v>
      </c>
      <c r="J126" s="87"/>
    </row>
    <row r="127" spans="2:10" x14ac:dyDescent="0.25">
      <c r="B127" s="275"/>
      <c r="C127" s="47" t="s">
        <v>39</v>
      </c>
      <c r="D127" s="85">
        <v>0</v>
      </c>
      <c r="E127" s="85">
        <v>90000</v>
      </c>
      <c r="F127" s="61">
        <v>0</v>
      </c>
      <c r="G127" s="61">
        <f t="shared" si="14"/>
        <v>90000</v>
      </c>
      <c r="H127" s="85">
        <f t="shared" si="15"/>
        <v>90000</v>
      </c>
      <c r="I127" s="86" t="e">
        <f t="shared" si="16"/>
        <v>#DIV/0!</v>
      </c>
      <c r="J127" s="87"/>
    </row>
    <row r="128" spans="2:10" x14ac:dyDescent="0.25">
      <c r="B128" s="275"/>
      <c r="C128" s="47" t="s">
        <v>40</v>
      </c>
      <c r="D128" s="85">
        <v>0</v>
      </c>
      <c r="E128" s="85">
        <v>385000</v>
      </c>
      <c r="F128" s="61">
        <v>0</v>
      </c>
      <c r="G128" s="61">
        <f t="shared" si="14"/>
        <v>385000</v>
      </c>
      <c r="H128" s="85">
        <f t="shared" si="15"/>
        <v>385000</v>
      </c>
      <c r="I128" s="86" t="e">
        <f t="shared" si="16"/>
        <v>#DIV/0!</v>
      </c>
      <c r="J128" s="87"/>
    </row>
    <row r="129" spans="2:10" x14ac:dyDescent="0.25">
      <c r="B129" s="275"/>
      <c r="C129" s="47" t="s">
        <v>41</v>
      </c>
      <c r="D129" s="85">
        <v>0</v>
      </c>
      <c r="E129" s="85">
        <v>20000</v>
      </c>
      <c r="F129" s="61">
        <v>0</v>
      </c>
      <c r="G129" s="61">
        <f t="shared" si="14"/>
        <v>20000</v>
      </c>
      <c r="H129" s="85">
        <f t="shared" si="15"/>
        <v>20000</v>
      </c>
      <c r="I129" s="86" t="e">
        <f t="shared" si="16"/>
        <v>#DIV/0!</v>
      </c>
      <c r="J129" s="87"/>
    </row>
    <row r="130" spans="2:10" x14ac:dyDescent="0.25">
      <c r="B130" s="275"/>
      <c r="C130" s="47" t="s">
        <v>50</v>
      </c>
      <c r="D130" s="85">
        <v>0</v>
      </c>
      <c r="E130" s="85">
        <v>0</v>
      </c>
      <c r="F130" s="61">
        <v>0</v>
      </c>
      <c r="G130" s="61">
        <f t="shared" si="14"/>
        <v>0</v>
      </c>
      <c r="H130" s="85">
        <f t="shared" si="15"/>
        <v>0</v>
      </c>
      <c r="I130" s="86" t="e">
        <f t="shared" si="16"/>
        <v>#DIV/0!</v>
      </c>
      <c r="J130" s="87"/>
    </row>
    <row r="131" spans="2:10" x14ac:dyDescent="0.25">
      <c r="B131" s="275"/>
      <c r="C131" s="47" t="s">
        <v>51</v>
      </c>
      <c r="D131" s="85">
        <v>0</v>
      </c>
      <c r="E131" s="85">
        <v>0</v>
      </c>
      <c r="F131" s="61">
        <v>0</v>
      </c>
      <c r="G131" s="61">
        <f t="shared" si="14"/>
        <v>0</v>
      </c>
      <c r="H131" s="85">
        <f t="shared" si="15"/>
        <v>0</v>
      </c>
      <c r="I131" s="86" t="e">
        <f t="shared" si="16"/>
        <v>#DIV/0!</v>
      </c>
      <c r="J131" s="87"/>
    </row>
    <row r="132" spans="2:10" x14ac:dyDescent="0.25">
      <c r="B132" s="275"/>
      <c r="C132" s="47" t="s">
        <v>49</v>
      </c>
      <c r="D132" s="85">
        <v>0</v>
      </c>
      <c r="E132" s="85">
        <v>0</v>
      </c>
      <c r="F132" s="61">
        <v>0</v>
      </c>
      <c r="G132" s="61">
        <f t="shared" si="14"/>
        <v>0</v>
      </c>
      <c r="H132" s="85">
        <f t="shared" si="15"/>
        <v>0</v>
      </c>
      <c r="I132" s="86" t="e">
        <f t="shared" si="16"/>
        <v>#DIV/0!</v>
      </c>
      <c r="J132" s="87"/>
    </row>
    <row r="133" spans="2:10" x14ac:dyDescent="0.25">
      <c r="B133" s="275"/>
      <c r="C133" s="47" t="s">
        <v>79</v>
      </c>
      <c r="D133" s="85">
        <v>0</v>
      </c>
      <c r="E133" s="85">
        <v>0</v>
      </c>
      <c r="F133" s="61">
        <v>0</v>
      </c>
      <c r="G133" s="61">
        <f t="shared" si="14"/>
        <v>0</v>
      </c>
      <c r="H133" s="85">
        <f t="shared" si="15"/>
        <v>0</v>
      </c>
      <c r="I133" s="86" t="e">
        <f t="shared" si="16"/>
        <v>#DIV/0!</v>
      </c>
      <c r="J133" s="87"/>
    </row>
    <row r="134" spans="2:10" x14ac:dyDescent="0.25">
      <c r="B134" s="275"/>
      <c r="C134" s="47" t="s">
        <v>375</v>
      </c>
      <c r="D134" s="85">
        <v>0</v>
      </c>
      <c r="E134" s="85">
        <v>0</v>
      </c>
      <c r="F134" s="61">
        <v>0</v>
      </c>
      <c r="G134" s="61">
        <f t="shared" ref="G134" si="17">E134+F134</f>
        <v>0</v>
      </c>
      <c r="H134" s="85">
        <f t="shared" ref="H134" si="18">G134-D134</f>
        <v>0</v>
      </c>
      <c r="I134" s="86" t="e">
        <f t="shared" ref="I134" si="19">G134/D134%</f>
        <v>#DIV/0!</v>
      </c>
      <c r="J134" s="87"/>
    </row>
    <row r="135" spans="2:10" x14ac:dyDescent="0.25">
      <c r="B135" s="275"/>
      <c r="C135" s="47" t="s">
        <v>71</v>
      </c>
      <c r="D135" s="85">
        <v>0</v>
      </c>
      <c r="E135" s="85">
        <v>926000</v>
      </c>
      <c r="F135" s="61">
        <v>0</v>
      </c>
      <c r="G135" s="61">
        <f t="shared" si="14"/>
        <v>926000</v>
      </c>
      <c r="H135" s="85">
        <f t="shared" si="15"/>
        <v>926000</v>
      </c>
      <c r="I135" s="86" t="e">
        <f t="shared" si="16"/>
        <v>#DIV/0!</v>
      </c>
      <c r="J135" s="87"/>
    </row>
    <row r="136" spans="2:10" x14ac:dyDescent="0.25">
      <c r="B136" s="275"/>
      <c r="C136" s="47" t="s">
        <v>72</v>
      </c>
      <c r="D136" s="85">
        <v>0</v>
      </c>
      <c r="E136" s="85">
        <v>0</v>
      </c>
      <c r="F136" s="61">
        <v>0</v>
      </c>
      <c r="G136" s="61">
        <f t="shared" si="14"/>
        <v>0</v>
      </c>
      <c r="H136" s="85">
        <f t="shared" si="15"/>
        <v>0</v>
      </c>
      <c r="I136" s="86" t="e">
        <f t="shared" si="16"/>
        <v>#DIV/0!</v>
      </c>
      <c r="J136" s="87"/>
    </row>
    <row r="137" spans="2:10" x14ac:dyDescent="0.25">
      <c r="B137" s="275"/>
      <c r="C137" s="47" t="s">
        <v>70</v>
      </c>
      <c r="D137" s="85">
        <v>0</v>
      </c>
      <c r="E137" s="85">
        <v>0</v>
      </c>
      <c r="F137" s="61">
        <v>0</v>
      </c>
      <c r="G137" s="61">
        <f>E137+F137</f>
        <v>0</v>
      </c>
      <c r="H137" s="85">
        <f t="shared" si="15"/>
        <v>0</v>
      </c>
      <c r="I137" s="86" t="e">
        <f t="shared" si="16"/>
        <v>#DIV/0!</v>
      </c>
      <c r="J137" s="87"/>
    </row>
    <row r="138" spans="2:10" x14ac:dyDescent="0.25">
      <c r="B138" s="275"/>
      <c r="C138" s="47" t="s">
        <v>73</v>
      </c>
      <c r="D138" s="85">
        <v>0</v>
      </c>
      <c r="E138" s="85">
        <v>0</v>
      </c>
      <c r="F138" s="61">
        <v>0</v>
      </c>
      <c r="G138" s="61">
        <f t="shared" si="14"/>
        <v>0</v>
      </c>
      <c r="H138" s="85">
        <f t="shared" si="15"/>
        <v>0</v>
      </c>
      <c r="I138" s="86" t="e">
        <f t="shared" si="16"/>
        <v>#DIV/0!</v>
      </c>
      <c r="J138" s="87"/>
    </row>
    <row r="139" spans="2:10" x14ac:dyDescent="0.25">
      <c r="B139" s="275"/>
      <c r="C139" s="47" t="s">
        <v>74</v>
      </c>
      <c r="D139" s="85">
        <v>0</v>
      </c>
      <c r="E139" s="85">
        <v>0</v>
      </c>
      <c r="F139" s="61">
        <v>0</v>
      </c>
      <c r="G139" s="61">
        <f t="shared" si="14"/>
        <v>0</v>
      </c>
      <c r="H139" s="85">
        <f t="shared" si="15"/>
        <v>0</v>
      </c>
      <c r="I139" s="86" t="e">
        <f t="shared" si="16"/>
        <v>#DIV/0!</v>
      </c>
      <c r="J139" s="87"/>
    </row>
    <row r="140" spans="2:10" x14ac:dyDescent="0.25">
      <c r="B140" s="275"/>
      <c r="C140" s="47" t="s">
        <v>75</v>
      </c>
      <c r="D140" s="85">
        <v>0</v>
      </c>
      <c r="E140" s="85">
        <v>0</v>
      </c>
      <c r="F140" s="61">
        <v>0</v>
      </c>
      <c r="G140" s="61">
        <f t="shared" si="14"/>
        <v>0</v>
      </c>
      <c r="H140" s="85">
        <f t="shared" si="15"/>
        <v>0</v>
      </c>
      <c r="I140" s="86" t="e">
        <f t="shared" si="16"/>
        <v>#DIV/0!</v>
      </c>
      <c r="J140" s="87"/>
    </row>
    <row r="141" spans="2:10" x14ac:dyDescent="0.25">
      <c r="B141" s="275"/>
      <c r="C141" s="47" t="s">
        <v>76</v>
      </c>
      <c r="D141" s="85">
        <v>0</v>
      </c>
      <c r="E141" s="85">
        <v>0</v>
      </c>
      <c r="F141" s="61">
        <v>0</v>
      </c>
      <c r="G141" s="61">
        <f t="shared" si="14"/>
        <v>0</v>
      </c>
      <c r="H141" s="85">
        <f t="shared" si="15"/>
        <v>0</v>
      </c>
      <c r="I141" s="86" t="e">
        <f t="shared" si="16"/>
        <v>#DIV/0!</v>
      </c>
      <c r="J141" s="87"/>
    </row>
    <row r="142" spans="2:10" x14ac:dyDescent="0.25">
      <c r="B142" s="275"/>
      <c r="C142" s="47" t="s">
        <v>77</v>
      </c>
      <c r="D142" s="85">
        <v>0</v>
      </c>
      <c r="E142" s="85">
        <v>0</v>
      </c>
      <c r="F142" s="61">
        <v>0</v>
      </c>
      <c r="G142" s="61">
        <f t="shared" si="14"/>
        <v>0</v>
      </c>
      <c r="H142" s="85">
        <f t="shared" si="15"/>
        <v>0</v>
      </c>
      <c r="I142" s="86" t="e">
        <f t="shared" si="16"/>
        <v>#DIV/0!</v>
      </c>
      <c r="J142" s="87"/>
    </row>
    <row r="143" spans="2:10" x14ac:dyDescent="0.25">
      <c r="B143" s="275"/>
      <c r="C143" s="47" t="s">
        <v>323</v>
      </c>
      <c r="D143" s="85">
        <v>0</v>
      </c>
      <c r="E143" s="85">
        <v>0</v>
      </c>
      <c r="F143" s="61">
        <v>0</v>
      </c>
      <c r="G143" s="61">
        <f t="shared" si="14"/>
        <v>0</v>
      </c>
      <c r="H143" s="85">
        <f t="shared" si="15"/>
        <v>0</v>
      </c>
      <c r="I143" s="86" t="e">
        <f t="shared" si="16"/>
        <v>#DIV/0!</v>
      </c>
      <c r="J143" s="87"/>
    </row>
    <row r="144" spans="2:10" x14ac:dyDescent="0.25">
      <c r="B144" s="275"/>
      <c r="C144" s="47"/>
      <c r="D144" s="85"/>
      <c r="E144" s="61"/>
      <c r="F144" s="61"/>
      <c r="G144" s="61"/>
      <c r="H144" s="85"/>
      <c r="I144" s="85"/>
      <c r="J144" s="87"/>
    </row>
    <row r="145" spans="2:10" x14ac:dyDescent="0.25">
      <c r="B145" s="275"/>
      <c r="C145" s="60" t="s">
        <v>17</v>
      </c>
      <c r="D145" s="136">
        <f>D125</f>
        <v>4500000</v>
      </c>
      <c r="E145" s="89">
        <f>SUM(E126:E143)</f>
        <v>1421000</v>
      </c>
      <c r="F145" s="89">
        <f>SUM(F126:F143)</f>
        <v>0</v>
      </c>
      <c r="G145" s="89">
        <f>SUM(G126:G143)</f>
        <v>1421000</v>
      </c>
      <c r="H145" s="90">
        <f>SUM(H126:H143)</f>
        <v>1421000</v>
      </c>
      <c r="I145" s="91">
        <f>G145/D145%</f>
        <v>31.577777777777779</v>
      </c>
      <c r="J145" s="87"/>
    </row>
    <row r="146" spans="2:10" x14ac:dyDescent="0.25">
      <c r="B146" s="275"/>
      <c r="C146" s="47"/>
      <c r="D146" s="47"/>
      <c r="E146" s="61"/>
      <c r="F146" s="62"/>
      <c r="G146" s="61"/>
      <c r="H146" s="85"/>
      <c r="I146" s="85"/>
      <c r="J146" s="87"/>
    </row>
    <row r="147" spans="2:10" x14ac:dyDescent="0.25">
      <c r="B147" s="275" t="s">
        <v>18</v>
      </c>
      <c r="C147" s="60" t="s">
        <v>19</v>
      </c>
      <c r="D147" s="134"/>
      <c r="E147" s="61"/>
      <c r="F147" s="62"/>
      <c r="G147" s="61"/>
      <c r="H147" s="85"/>
      <c r="I147" s="85"/>
      <c r="J147" s="87"/>
    </row>
    <row r="148" spans="2:10" x14ac:dyDescent="0.25">
      <c r="B148" s="275"/>
      <c r="C148" s="47" t="s">
        <v>42</v>
      </c>
      <c r="D148" s="85">
        <v>0</v>
      </c>
      <c r="E148" s="85">
        <v>0</v>
      </c>
      <c r="F148" s="61">
        <v>0</v>
      </c>
      <c r="G148" s="61">
        <f>E148+F148</f>
        <v>0</v>
      </c>
      <c r="H148" s="85">
        <f t="shared" ref="H148:H161" si="20">G148-D148</f>
        <v>0</v>
      </c>
      <c r="I148" s="86" t="e">
        <f t="shared" ref="I148:I161" si="21">G148/D148%</f>
        <v>#DIV/0!</v>
      </c>
      <c r="J148" s="87"/>
    </row>
    <row r="149" spans="2:10" x14ac:dyDescent="0.25">
      <c r="B149" s="275"/>
      <c r="C149" s="47" t="s">
        <v>43</v>
      </c>
      <c r="D149" s="85">
        <v>0</v>
      </c>
      <c r="E149" s="85">
        <v>0</v>
      </c>
      <c r="F149" s="61">
        <v>0</v>
      </c>
      <c r="G149" s="61">
        <f t="shared" ref="G149:G161" si="22">E149+F149</f>
        <v>0</v>
      </c>
      <c r="H149" s="85">
        <f t="shared" si="20"/>
        <v>0</v>
      </c>
      <c r="I149" s="86" t="e">
        <f t="shared" si="21"/>
        <v>#DIV/0!</v>
      </c>
      <c r="J149" s="87"/>
    </row>
    <row r="150" spans="2:10" x14ac:dyDescent="0.25">
      <c r="B150" s="275"/>
      <c r="C150" s="47" t="s">
        <v>44</v>
      </c>
      <c r="D150" s="85">
        <v>0</v>
      </c>
      <c r="E150" s="85">
        <v>0</v>
      </c>
      <c r="F150" s="61">
        <v>0</v>
      </c>
      <c r="G150" s="61">
        <f t="shared" si="22"/>
        <v>0</v>
      </c>
      <c r="H150" s="85">
        <f t="shared" si="20"/>
        <v>0</v>
      </c>
      <c r="I150" s="86" t="e">
        <f t="shared" si="21"/>
        <v>#DIV/0!</v>
      </c>
      <c r="J150" s="87"/>
    </row>
    <row r="151" spans="2:10" x14ac:dyDescent="0.25">
      <c r="B151" s="275"/>
      <c r="C151" s="47" t="s">
        <v>45</v>
      </c>
      <c r="D151" s="85">
        <v>0</v>
      </c>
      <c r="E151" s="85">
        <v>0</v>
      </c>
      <c r="F151" s="61">
        <v>0</v>
      </c>
      <c r="G151" s="61">
        <f t="shared" si="22"/>
        <v>0</v>
      </c>
      <c r="H151" s="85">
        <f t="shared" si="20"/>
        <v>0</v>
      </c>
      <c r="I151" s="86" t="e">
        <f t="shared" si="21"/>
        <v>#DIV/0!</v>
      </c>
      <c r="J151" s="87"/>
    </row>
    <row r="152" spans="2:10" x14ac:dyDescent="0.25">
      <c r="B152" s="275"/>
      <c r="C152" s="47" t="s">
        <v>46</v>
      </c>
      <c r="D152" s="85">
        <v>0</v>
      </c>
      <c r="E152" s="85">
        <v>0</v>
      </c>
      <c r="F152" s="92">
        <v>0</v>
      </c>
      <c r="G152" s="61">
        <f t="shared" si="22"/>
        <v>0</v>
      </c>
      <c r="H152" s="85">
        <f t="shared" si="20"/>
        <v>0</v>
      </c>
      <c r="I152" s="86" t="e">
        <f t="shared" si="21"/>
        <v>#DIV/0!</v>
      </c>
      <c r="J152" s="87"/>
    </row>
    <row r="153" spans="2:10" x14ac:dyDescent="0.25">
      <c r="B153" s="275"/>
      <c r="C153" s="47" t="s">
        <v>88</v>
      </c>
      <c r="D153" s="85">
        <v>0</v>
      </c>
      <c r="E153" s="85">
        <v>0</v>
      </c>
      <c r="F153" s="61">
        <v>0</v>
      </c>
      <c r="G153" s="61">
        <f t="shared" si="22"/>
        <v>0</v>
      </c>
      <c r="H153" s="85">
        <f t="shared" si="20"/>
        <v>0</v>
      </c>
      <c r="I153" s="86" t="e">
        <f t="shared" si="21"/>
        <v>#DIV/0!</v>
      </c>
      <c r="J153" s="87"/>
    </row>
    <row r="154" spans="2:10" x14ac:dyDescent="0.25">
      <c r="B154" s="275"/>
      <c r="C154" s="47" t="s">
        <v>80</v>
      </c>
      <c r="D154" s="85">
        <v>0</v>
      </c>
      <c r="E154" s="85">
        <v>0</v>
      </c>
      <c r="F154" s="61">
        <v>0</v>
      </c>
      <c r="G154" s="61">
        <f t="shared" si="22"/>
        <v>0</v>
      </c>
      <c r="H154" s="85">
        <f t="shared" si="20"/>
        <v>0</v>
      </c>
      <c r="I154" s="86" t="e">
        <f t="shared" si="21"/>
        <v>#DIV/0!</v>
      </c>
      <c r="J154" s="87"/>
    </row>
    <row r="155" spans="2:10" x14ac:dyDescent="0.25">
      <c r="B155" s="275"/>
      <c r="C155" s="47" t="s">
        <v>86</v>
      </c>
      <c r="D155" s="85">
        <v>0</v>
      </c>
      <c r="E155" s="85">
        <v>0</v>
      </c>
      <c r="F155" s="61">
        <v>0</v>
      </c>
      <c r="G155" s="61">
        <f t="shared" si="22"/>
        <v>0</v>
      </c>
      <c r="H155" s="85">
        <f t="shared" si="20"/>
        <v>0</v>
      </c>
      <c r="I155" s="86" t="e">
        <f t="shared" si="21"/>
        <v>#DIV/0!</v>
      </c>
      <c r="J155" s="87"/>
    </row>
    <row r="156" spans="2:10" x14ac:dyDescent="0.25">
      <c r="B156" s="275"/>
      <c r="C156" s="47" t="s">
        <v>87</v>
      </c>
      <c r="D156" s="85">
        <v>0</v>
      </c>
      <c r="E156" s="85">
        <v>50000</v>
      </c>
      <c r="F156" s="61">
        <v>0</v>
      </c>
      <c r="G156" s="61">
        <f t="shared" si="22"/>
        <v>50000</v>
      </c>
      <c r="H156" s="85">
        <f t="shared" si="20"/>
        <v>50000</v>
      </c>
      <c r="I156" s="86" t="e">
        <f t="shared" si="21"/>
        <v>#DIV/0!</v>
      </c>
      <c r="J156" s="87"/>
    </row>
    <row r="157" spans="2:10" x14ac:dyDescent="0.25">
      <c r="B157" s="275"/>
      <c r="C157" s="47" t="s">
        <v>81</v>
      </c>
      <c r="D157" s="85">
        <v>0</v>
      </c>
      <c r="E157" s="85">
        <v>0</v>
      </c>
      <c r="F157" s="61">
        <v>0</v>
      </c>
      <c r="G157" s="61">
        <f t="shared" si="22"/>
        <v>0</v>
      </c>
      <c r="H157" s="85">
        <f t="shared" si="20"/>
        <v>0</v>
      </c>
      <c r="I157" s="86" t="e">
        <f t="shared" si="21"/>
        <v>#DIV/0!</v>
      </c>
      <c r="J157" s="87"/>
    </row>
    <row r="158" spans="2:10" x14ac:dyDescent="0.25">
      <c r="B158" s="275"/>
      <c r="C158" s="47" t="s">
        <v>82</v>
      </c>
      <c r="D158" s="85">
        <v>0</v>
      </c>
      <c r="E158" s="85">
        <v>0</v>
      </c>
      <c r="F158" s="61">
        <v>0</v>
      </c>
      <c r="G158" s="61">
        <f t="shared" si="22"/>
        <v>0</v>
      </c>
      <c r="H158" s="85">
        <f t="shared" si="20"/>
        <v>0</v>
      </c>
      <c r="I158" s="86" t="e">
        <f t="shared" si="21"/>
        <v>#DIV/0!</v>
      </c>
      <c r="J158" s="87"/>
    </row>
    <row r="159" spans="2:10" x14ac:dyDescent="0.25">
      <c r="B159" s="275"/>
      <c r="C159" s="47" t="s">
        <v>83</v>
      </c>
      <c r="D159" s="85">
        <v>0</v>
      </c>
      <c r="E159" s="85">
        <v>0</v>
      </c>
      <c r="F159" s="61">
        <v>0</v>
      </c>
      <c r="G159" s="61">
        <f t="shared" si="22"/>
        <v>0</v>
      </c>
      <c r="H159" s="85">
        <f t="shared" si="20"/>
        <v>0</v>
      </c>
      <c r="I159" s="86" t="e">
        <f t="shared" si="21"/>
        <v>#DIV/0!</v>
      </c>
      <c r="J159" s="87"/>
    </row>
    <row r="160" spans="2:10" x14ac:dyDescent="0.25">
      <c r="B160" s="275"/>
      <c r="C160" s="47" t="s">
        <v>84</v>
      </c>
      <c r="D160" s="85">
        <v>0</v>
      </c>
      <c r="E160" s="85">
        <v>0</v>
      </c>
      <c r="F160" s="61">
        <v>0</v>
      </c>
      <c r="G160" s="61">
        <f t="shared" si="22"/>
        <v>0</v>
      </c>
      <c r="H160" s="85">
        <f t="shared" si="20"/>
        <v>0</v>
      </c>
      <c r="I160" s="86" t="e">
        <f t="shared" si="21"/>
        <v>#DIV/0!</v>
      </c>
      <c r="J160" s="87"/>
    </row>
    <row r="161" spans="2:10" x14ac:dyDescent="0.25">
      <c r="B161" s="275"/>
      <c r="C161" s="47" t="s">
        <v>85</v>
      </c>
      <c r="D161" s="85">
        <v>0</v>
      </c>
      <c r="E161" s="85">
        <v>0</v>
      </c>
      <c r="F161" s="61">
        <v>0</v>
      </c>
      <c r="G161" s="61">
        <f t="shared" si="22"/>
        <v>0</v>
      </c>
      <c r="H161" s="85">
        <f t="shared" si="20"/>
        <v>0</v>
      </c>
      <c r="I161" s="86" t="e">
        <f t="shared" si="21"/>
        <v>#DIV/0!</v>
      </c>
      <c r="J161" s="87"/>
    </row>
    <row r="162" spans="2:10" x14ac:dyDescent="0.25">
      <c r="B162" s="275"/>
      <c r="C162" s="47"/>
      <c r="D162" s="85"/>
      <c r="E162" s="61"/>
      <c r="F162" s="61"/>
      <c r="G162" s="61"/>
      <c r="H162" s="85"/>
      <c r="I162" s="85"/>
      <c r="J162" s="87"/>
    </row>
    <row r="163" spans="2:10" x14ac:dyDescent="0.25">
      <c r="B163" s="275"/>
      <c r="C163" s="60" t="s">
        <v>20</v>
      </c>
      <c r="D163" s="136">
        <f>D147</f>
        <v>0</v>
      </c>
      <c r="E163" s="89">
        <f>SUM(E148:E161)</f>
        <v>50000</v>
      </c>
      <c r="F163" s="89">
        <f>SUM(F148:F161)</f>
        <v>0</v>
      </c>
      <c r="G163" s="89">
        <f>SUM(G148:G161)</f>
        <v>50000</v>
      </c>
      <c r="H163" s="90">
        <f>SUM(H148:H157)</f>
        <v>50000</v>
      </c>
      <c r="I163" s="91" t="e">
        <f>G163/D163%</f>
        <v>#DIV/0!</v>
      </c>
      <c r="J163" s="87"/>
    </row>
    <row r="164" spans="2:10" x14ac:dyDescent="0.25">
      <c r="B164" s="275"/>
      <c r="C164" s="47"/>
      <c r="D164" s="47"/>
      <c r="E164" s="61"/>
      <c r="F164" s="62"/>
      <c r="G164" s="61"/>
      <c r="H164" s="85"/>
      <c r="I164" s="85"/>
      <c r="J164" s="87"/>
    </row>
    <row r="165" spans="2:10" ht="15.75" thickBot="1" x14ac:dyDescent="0.3">
      <c r="B165" s="279"/>
      <c r="C165" s="115" t="s">
        <v>21</v>
      </c>
      <c r="D165" s="137">
        <f>D123+D145+D163</f>
        <v>18000000</v>
      </c>
      <c r="E165" s="138">
        <f>E123+E145+E163</f>
        <v>9534000</v>
      </c>
      <c r="F165" s="139">
        <f>F123+F145+F163</f>
        <v>242000</v>
      </c>
      <c r="G165" s="138">
        <f>G123+G145+G163</f>
        <v>9776000</v>
      </c>
      <c r="H165" s="140">
        <f>H123+H145+H163</f>
        <v>9726000</v>
      </c>
      <c r="I165" s="141">
        <f>G165/D165%</f>
        <v>54.31111111111111</v>
      </c>
      <c r="J165" s="142"/>
    </row>
    <row r="166" spans="2:10" x14ac:dyDescent="0.25">
      <c r="B166" s="280"/>
      <c r="C166" s="75"/>
      <c r="D166" s="75"/>
      <c r="E166" s="75"/>
      <c r="F166" s="75"/>
      <c r="G166" s="76"/>
      <c r="H166" s="75"/>
      <c r="I166" s="75"/>
      <c r="J166" s="75"/>
    </row>
    <row r="167" spans="2:10" x14ac:dyDescent="0.25">
      <c r="B167" s="280"/>
      <c r="C167" s="75"/>
      <c r="D167" s="75"/>
      <c r="E167" s="75"/>
      <c r="F167" s="75"/>
      <c r="G167" s="76"/>
      <c r="H167" s="75"/>
      <c r="I167" s="75"/>
      <c r="J167" s="75"/>
    </row>
    <row r="168" spans="2:10" x14ac:dyDescent="0.25">
      <c r="B168" s="280"/>
      <c r="C168" s="75"/>
      <c r="D168" s="75"/>
      <c r="E168" s="122" t="s">
        <v>25</v>
      </c>
      <c r="F168" s="123" t="s">
        <v>26</v>
      </c>
      <c r="G168" s="124" t="e">
        <f>#REF!</f>
        <v>#REF!</v>
      </c>
      <c r="H168" s="75"/>
      <c r="I168" s="75"/>
      <c r="J168" s="75"/>
    </row>
    <row r="169" spans="2:10" ht="19.5" x14ac:dyDescent="0.55000000000000004">
      <c r="B169" s="280"/>
      <c r="C169" s="75"/>
      <c r="D169" s="75"/>
      <c r="E169" s="122" t="s">
        <v>29</v>
      </c>
      <c r="F169" s="123" t="s">
        <v>26</v>
      </c>
      <c r="G169" s="126">
        <v>0</v>
      </c>
      <c r="H169" s="75" t="s">
        <v>28</v>
      </c>
      <c r="I169" s="75"/>
      <c r="J169" s="75"/>
    </row>
    <row r="170" spans="2:10" ht="15.75" thickBot="1" x14ac:dyDescent="0.3">
      <c r="B170" s="280"/>
      <c r="C170" s="75"/>
      <c r="D170" s="75"/>
      <c r="E170" s="122" t="s">
        <v>30</v>
      </c>
      <c r="F170" s="123"/>
      <c r="G170" s="127" t="e">
        <f>SUM(G168:G169)</f>
        <v>#REF!</v>
      </c>
      <c r="H170" s="160" t="s">
        <v>126</v>
      </c>
      <c r="I170" s="27"/>
      <c r="J170" s="75"/>
    </row>
    <row r="171" spans="2:10" ht="15.75" thickTop="1" x14ac:dyDescent="0.25">
      <c r="B171" s="282"/>
      <c r="C171" s="27"/>
      <c r="D171" s="27"/>
      <c r="E171" s="27"/>
      <c r="F171" s="27"/>
      <c r="G171" s="27"/>
      <c r="H171" s="403" t="str">
        <f>H90</f>
        <v>Jalang'E, 01 Oktober 2019</v>
      </c>
      <c r="I171" s="403"/>
      <c r="J171" s="27"/>
    </row>
    <row r="172" spans="2:10" x14ac:dyDescent="0.25">
      <c r="B172" s="285"/>
    </row>
    <row r="173" spans="2:10" x14ac:dyDescent="0.25">
      <c r="B173" s="285"/>
      <c r="G173" s="166" t="e">
        <f>G165-G168</f>
        <v>#REF!</v>
      </c>
    </row>
    <row r="174" spans="2:10" x14ac:dyDescent="0.25">
      <c r="B174" s="285"/>
    </row>
  </sheetData>
  <mergeCells count="19">
    <mergeCell ref="H171:I171"/>
    <mergeCell ref="J5:J6"/>
    <mergeCell ref="H90:I90"/>
    <mergeCell ref="B98:I98"/>
    <mergeCell ref="B99:I99"/>
    <mergeCell ref="B100:B101"/>
    <mergeCell ref="C100:C101"/>
    <mergeCell ref="D100:D101"/>
    <mergeCell ref="E100:G100"/>
    <mergeCell ref="H100:I100"/>
    <mergeCell ref="J100:J101"/>
    <mergeCell ref="B2:I2"/>
    <mergeCell ref="B3:I3"/>
    <mergeCell ref="B4:I4"/>
    <mergeCell ref="B5:B6"/>
    <mergeCell ref="C5:C6"/>
    <mergeCell ref="D5:D6"/>
    <mergeCell ref="E5:G5"/>
    <mergeCell ref="H5:I5"/>
  </mergeCells>
  <pageMargins left="0.97" right="0.12" top="0.22" bottom="0.12" header="0.3" footer="0.12"/>
  <pageSetup paperSize="9" scale="63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B2:J174"/>
  <sheetViews>
    <sheetView zoomScale="90" zoomScaleNormal="90" workbookViewId="0">
      <pane ySplit="6" topLeftCell="A79" activePane="bottomLeft" state="frozen"/>
      <selection pane="bottomLeft" activeCell="G90" sqref="B2:I90"/>
    </sheetView>
  </sheetViews>
  <sheetFormatPr defaultRowHeight="15" x14ac:dyDescent="0.25"/>
  <cols>
    <col min="1" max="1" width="5.140625" customWidth="1"/>
    <col min="2" max="2" width="6.42578125" customWidth="1"/>
    <col min="3" max="3" width="31.85546875" customWidth="1"/>
    <col min="4" max="4" width="18" customWidth="1"/>
    <col min="5" max="5" width="17.7109375" customWidth="1"/>
    <col min="6" max="6" width="18.140625" customWidth="1"/>
    <col min="7" max="7" width="18.28515625" customWidth="1"/>
    <col min="8" max="8" width="15.7109375" customWidth="1"/>
    <col min="9" max="9" width="10.85546875" customWidth="1"/>
    <col min="10" max="10" width="18.7109375" customWidth="1"/>
  </cols>
  <sheetData>
    <row r="2" spans="2:10" x14ac:dyDescent="0.25">
      <c r="B2" s="392" t="s">
        <v>379</v>
      </c>
      <c r="C2" s="392"/>
      <c r="D2" s="392"/>
      <c r="E2" s="392"/>
      <c r="F2" s="392"/>
      <c r="G2" s="392"/>
      <c r="H2" s="392"/>
      <c r="I2" s="392"/>
      <c r="J2" s="75"/>
    </row>
    <row r="3" spans="2:10" x14ac:dyDescent="0.25">
      <c r="B3" s="392" t="s">
        <v>387</v>
      </c>
      <c r="C3" s="392"/>
      <c r="D3" s="392"/>
      <c r="E3" s="392"/>
      <c r="F3" s="392"/>
      <c r="G3" s="392"/>
      <c r="H3" s="392"/>
      <c r="I3" s="392"/>
      <c r="J3" s="75"/>
    </row>
    <row r="4" spans="2:10" ht="15.75" thickBot="1" x14ac:dyDescent="0.3">
      <c r="B4" s="393" t="s">
        <v>1</v>
      </c>
      <c r="C4" s="393"/>
      <c r="D4" s="393"/>
      <c r="E4" s="393"/>
      <c r="F4" s="393"/>
      <c r="G4" s="393"/>
      <c r="H4" s="393"/>
      <c r="I4" s="393"/>
      <c r="J4" s="78"/>
    </row>
    <row r="5" spans="2:10" x14ac:dyDescent="0.25">
      <c r="B5" s="418" t="s">
        <v>2</v>
      </c>
      <c r="C5" s="396" t="s">
        <v>3</v>
      </c>
      <c r="D5" s="398" t="s">
        <v>4</v>
      </c>
      <c r="E5" s="400" t="s">
        <v>5</v>
      </c>
      <c r="F5" s="401"/>
      <c r="G5" s="402"/>
      <c r="H5" s="401" t="s">
        <v>6</v>
      </c>
      <c r="I5" s="402"/>
      <c r="J5" s="404" t="s">
        <v>0</v>
      </c>
    </row>
    <row r="6" spans="2:10" ht="15.75" thickBot="1" x14ac:dyDescent="0.3">
      <c r="B6" s="419"/>
      <c r="C6" s="397"/>
      <c r="D6" s="399"/>
      <c r="E6" s="147" t="s">
        <v>145</v>
      </c>
      <c r="F6" s="148" t="s">
        <v>146</v>
      </c>
      <c r="G6" s="79" t="s">
        <v>7</v>
      </c>
      <c r="H6" s="80" t="s">
        <v>8</v>
      </c>
      <c r="I6" s="81" t="s">
        <v>9</v>
      </c>
      <c r="J6" s="405"/>
    </row>
    <row r="7" spans="2:10" x14ac:dyDescent="0.25">
      <c r="B7" s="274"/>
      <c r="C7" s="41" t="s">
        <v>10</v>
      </c>
      <c r="D7" s="82"/>
      <c r="E7" s="42"/>
      <c r="F7" s="42"/>
      <c r="G7" s="41"/>
      <c r="H7" s="42"/>
      <c r="I7" s="42"/>
      <c r="J7" s="83"/>
    </row>
    <row r="8" spans="2:10" x14ac:dyDescent="0.25">
      <c r="B8" s="274" t="s">
        <v>12</v>
      </c>
      <c r="C8" s="44" t="s">
        <v>13</v>
      </c>
      <c r="D8" s="45"/>
      <c r="E8" s="45"/>
      <c r="F8" s="45"/>
      <c r="G8" s="59"/>
      <c r="H8" s="45"/>
      <c r="I8" s="45"/>
      <c r="J8" s="84"/>
    </row>
    <row r="9" spans="2:10" x14ac:dyDescent="0.25">
      <c r="B9" s="275"/>
      <c r="C9" s="47" t="s">
        <v>36</v>
      </c>
      <c r="D9" s="247">
        <v>5000000</v>
      </c>
      <c r="E9" s="247">
        <v>12395000</v>
      </c>
      <c r="F9" s="61">
        <f>200000+125000</f>
        <v>325000</v>
      </c>
      <c r="G9" s="61">
        <f>E9+F9</f>
        <v>12720000</v>
      </c>
      <c r="H9" s="85">
        <f>G9-D9</f>
        <v>7720000</v>
      </c>
      <c r="I9" s="86">
        <f>G9/D9%</f>
        <v>254.4</v>
      </c>
      <c r="J9" s="87"/>
    </row>
    <row r="10" spans="2:10" x14ac:dyDescent="0.25">
      <c r="B10" s="275"/>
      <c r="C10" s="47" t="s">
        <v>37</v>
      </c>
      <c r="D10" s="247">
        <v>6000000</v>
      </c>
      <c r="E10" s="247">
        <v>9683000</v>
      </c>
      <c r="F10" s="61">
        <f>54347+30000+400000+150000</f>
        <v>634347</v>
      </c>
      <c r="G10" s="61">
        <f t="shared" ref="G10:G19" si="0">E10+F10</f>
        <v>10317347</v>
      </c>
      <c r="H10" s="85">
        <f t="shared" ref="H10:H22" si="1">G10-D10</f>
        <v>4317347</v>
      </c>
      <c r="I10" s="86">
        <f>G10/D10%</f>
        <v>171.95578333333333</v>
      </c>
      <c r="J10" s="87"/>
    </row>
    <row r="11" spans="2:10" x14ac:dyDescent="0.25">
      <c r="B11" s="275"/>
      <c r="C11" s="47" t="s">
        <v>52</v>
      </c>
      <c r="D11" s="247">
        <v>106000</v>
      </c>
      <c r="E11" s="247">
        <v>499000</v>
      </c>
      <c r="F11" s="61">
        <v>0</v>
      </c>
      <c r="G11" s="61">
        <f t="shared" si="0"/>
        <v>499000</v>
      </c>
      <c r="H11" s="85"/>
      <c r="I11" s="86"/>
      <c r="J11" s="87"/>
    </row>
    <row r="12" spans="2:10" x14ac:dyDescent="0.25">
      <c r="B12" s="275"/>
      <c r="C12" s="47" t="s">
        <v>53</v>
      </c>
      <c r="D12" s="247">
        <v>17446000</v>
      </c>
      <c r="E12" s="247">
        <v>19789000</v>
      </c>
      <c r="F12" s="61">
        <f>370000+500000+250000+250000+90000+85000+400000</f>
        <v>1945000</v>
      </c>
      <c r="G12" s="61">
        <f>E12+F12</f>
        <v>21734000</v>
      </c>
      <c r="H12" s="85">
        <f t="shared" si="1"/>
        <v>4288000</v>
      </c>
      <c r="I12" s="86">
        <f t="shared" ref="I12:I22" si="2">G12/D12%</f>
        <v>124.57869998853606</v>
      </c>
      <c r="J12" s="87"/>
    </row>
    <row r="13" spans="2:10" x14ac:dyDescent="0.25">
      <c r="B13" s="275"/>
      <c r="C13" s="47" t="s">
        <v>54</v>
      </c>
      <c r="D13" s="247">
        <v>8842000</v>
      </c>
      <c r="E13" s="247">
        <v>8576713</v>
      </c>
      <c r="F13" s="61">
        <v>0</v>
      </c>
      <c r="G13" s="61">
        <f t="shared" si="0"/>
        <v>8576713</v>
      </c>
      <c r="H13" s="85">
        <f t="shared" si="1"/>
        <v>-265287</v>
      </c>
      <c r="I13" s="86">
        <f t="shared" si="2"/>
        <v>96.9996946392219</v>
      </c>
      <c r="J13" s="88"/>
    </row>
    <row r="14" spans="2:10" x14ac:dyDescent="0.25">
      <c r="B14" s="275"/>
      <c r="C14" s="47" t="s">
        <v>55</v>
      </c>
      <c r="D14" s="247">
        <v>6000000</v>
      </c>
      <c r="E14" s="247">
        <v>6415000</v>
      </c>
      <c r="F14" s="61">
        <f>700000</f>
        <v>700000</v>
      </c>
      <c r="G14" s="61">
        <f>E14+F14</f>
        <v>7115000</v>
      </c>
      <c r="H14" s="85">
        <f t="shared" si="1"/>
        <v>1115000</v>
      </c>
      <c r="I14" s="86">
        <f t="shared" si="2"/>
        <v>118.58333333333333</v>
      </c>
      <c r="J14" s="88"/>
    </row>
    <row r="15" spans="2:10" x14ac:dyDescent="0.25">
      <c r="B15" s="275"/>
      <c r="C15" s="47" t="s">
        <v>56</v>
      </c>
      <c r="D15" s="247">
        <v>8000000</v>
      </c>
      <c r="E15" s="247">
        <v>6659913</v>
      </c>
      <c r="F15" s="61">
        <v>1105000</v>
      </c>
      <c r="G15" s="61">
        <f t="shared" si="0"/>
        <v>7764913</v>
      </c>
      <c r="H15" s="85">
        <f t="shared" si="1"/>
        <v>-235087</v>
      </c>
      <c r="I15" s="86">
        <f t="shared" si="2"/>
        <v>97.061412500000003</v>
      </c>
      <c r="J15" s="87"/>
    </row>
    <row r="16" spans="2:10" x14ac:dyDescent="0.25">
      <c r="B16" s="275"/>
      <c r="C16" s="47" t="s">
        <v>57</v>
      </c>
      <c r="D16" s="247">
        <v>21000000</v>
      </c>
      <c r="E16" s="247">
        <v>16289110</v>
      </c>
      <c r="F16" s="61">
        <v>0</v>
      </c>
      <c r="G16" s="168">
        <f>E16+F16</f>
        <v>16289110</v>
      </c>
      <c r="H16" s="85">
        <f t="shared" si="1"/>
        <v>-4710890</v>
      </c>
      <c r="I16" s="86">
        <f t="shared" si="2"/>
        <v>77.567190476190476</v>
      </c>
      <c r="J16" s="87"/>
    </row>
    <row r="17" spans="2:10" x14ac:dyDescent="0.25">
      <c r="B17" s="275"/>
      <c r="C17" s="47" t="s">
        <v>58</v>
      </c>
      <c r="D17" s="247">
        <v>1778000</v>
      </c>
      <c r="E17" s="247">
        <v>398888</v>
      </c>
      <c r="F17" s="61">
        <v>0</v>
      </c>
      <c r="G17" s="61">
        <f>E17+F17</f>
        <v>398888</v>
      </c>
      <c r="H17" s="85">
        <f t="shared" si="1"/>
        <v>-1379112</v>
      </c>
      <c r="I17" s="86">
        <f t="shared" si="2"/>
        <v>22.434645669291339</v>
      </c>
      <c r="J17" s="87"/>
    </row>
    <row r="18" spans="2:10" x14ac:dyDescent="0.25">
      <c r="B18" s="275"/>
      <c r="C18" s="47" t="s">
        <v>59</v>
      </c>
      <c r="D18" s="247">
        <v>2334000</v>
      </c>
      <c r="E18" s="247">
        <v>2295000</v>
      </c>
      <c r="F18" s="61">
        <v>0</v>
      </c>
      <c r="G18" s="61">
        <f t="shared" si="0"/>
        <v>2295000</v>
      </c>
      <c r="H18" s="85">
        <f t="shared" si="1"/>
        <v>-39000</v>
      </c>
      <c r="I18" s="86">
        <f t="shared" si="2"/>
        <v>98.329048843187664</v>
      </c>
      <c r="J18" s="87"/>
    </row>
    <row r="19" spans="2:10" x14ac:dyDescent="0.25">
      <c r="B19" s="275"/>
      <c r="C19" s="47" t="s">
        <v>60</v>
      </c>
      <c r="D19" s="247">
        <v>21000000</v>
      </c>
      <c r="E19" s="247">
        <v>29717952</v>
      </c>
      <c r="F19" s="61">
        <v>700000</v>
      </c>
      <c r="G19" s="61">
        <f t="shared" si="0"/>
        <v>30417952</v>
      </c>
      <c r="H19" s="85">
        <f t="shared" si="1"/>
        <v>9417952</v>
      </c>
      <c r="I19" s="86">
        <f>G19/D19%</f>
        <v>144.84739047619047</v>
      </c>
      <c r="J19" s="87"/>
    </row>
    <row r="20" spans="2:10" x14ac:dyDescent="0.25">
      <c r="B20" s="275"/>
      <c r="C20" s="47" t="s">
        <v>61</v>
      </c>
      <c r="D20" s="247">
        <v>24000000</v>
      </c>
      <c r="E20" s="247">
        <v>24993571</v>
      </c>
      <c r="F20" s="61">
        <v>0</v>
      </c>
      <c r="G20" s="61">
        <f>E20+F20</f>
        <v>24993571</v>
      </c>
      <c r="H20" s="85">
        <f t="shared" si="1"/>
        <v>993571</v>
      </c>
      <c r="I20" s="86">
        <f t="shared" si="2"/>
        <v>104.13987916666666</v>
      </c>
      <c r="J20" s="87"/>
    </row>
    <row r="21" spans="2:10" x14ac:dyDescent="0.25">
      <c r="B21" s="275"/>
      <c r="C21" s="47" t="s">
        <v>324</v>
      </c>
      <c r="D21" s="247">
        <v>10000000</v>
      </c>
      <c r="E21" s="247">
        <v>20270000</v>
      </c>
      <c r="F21" s="61">
        <v>2400000</v>
      </c>
      <c r="G21" s="61">
        <f t="shared" ref="G21:G26" si="3">E21+F21</f>
        <v>22670000</v>
      </c>
      <c r="H21" s="85">
        <f>G21-D21</f>
        <v>12670000</v>
      </c>
      <c r="I21" s="86">
        <f>G21/D21%</f>
        <v>226.7</v>
      </c>
      <c r="J21" s="87"/>
    </row>
    <row r="22" spans="2:10" x14ac:dyDescent="0.25">
      <c r="B22" s="275"/>
      <c r="C22" s="47" t="s">
        <v>63</v>
      </c>
      <c r="D22" s="247">
        <v>222000</v>
      </c>
      <c r="E22" s="247">
        <v>770000</v>
      </c>
      <c r="F22" s="61">
        <v>0</v>
      </c>
      <c r="G22" s="61">
        <f t="shared" si="3"/>
        <v>770000</v>
      </c>
      <c r="H22" s="85">
        <f t="shared" si="1"/>
        <v>548000</v>
      </c>
      <c r="I22" s="86">
        <f t="shared" si="2"/>
        <v>346.84684684684686</v>
      </c>
      <c r="J22" s="87"/>
    </row>
    <row r="23" spans="2:10" x14ac:dyDescent="0.25">
      <c r="B23" s="275"/>
      <c r="C23" s="47" t="s">
        <v>64</v>
      </c>
      <c r="D23" s="247">
        <v>2668000</v>
      </c>
      <c r="E23" s="247">
        <v>0</v>
      </c>
      <c r="F23" s="61">
        <v>0</v>
      </c>
      <c r="G23" s="61">
        <f t="shared" si="3"/>
        <v>0</v>
      </c>
      <c r="H23" s="85">
        <f>G23-D23</f>
        <v>-2668000</v>
      </c>
      <c r="I23" s="86">
        <f>G23/D23%</f>
        <v>0</v>
      </c>
      <c r="J23" s="87"/>
    </row>
    <row r="24" spans="2:10" x14ac:dyDescent="0.25">
      <c r="B24" s="275"/>
      <c r="C24" s="47" t="s">
        <v>376</v>
      </c>
      <c r="D24" s="247">
        <v>11889000</v>
      </c>
      <c r="E24" s="247">
        <v>8441000</v>
      </c>
      <c r="F24" s="61">
        <f>300000</f>
        <v>300000</v>
      </c>
      <c r="G24" s="61">
        <f t="shared" si="3"/>
        <v>8741000</v>
      </c>
      <c r="H24" s="85">
        <f>G24-D24</f>
        <v>-3148000</v>
      </c>
      <c r="I24" s="86">
        <f>G24/D24%</f>
        <v>73.521742787450592</v>
      </c>
      <c r="J24" s="87"/>
    </row>
    <row r="25" spans="2:10" x14ac:dyDescent="0.25">
      <c r="B25" s="275"/>
      <c r="C25" s="47" t="s">
        <v>373</v>
      </c>
      <c r="D25" s="247">
        <v>18500000</v>
      </c>
      <c r="E25" s="247">
        <v>23840000</v>
      </c>
      <c r="F25" s="61">
        <v>2238095</v>
      </c>
      <c r="G25" s="61">
        <f t="shared" si="3"/>
        <v>26078095</v>
      </c>
      <c r="H25" s="85">
        <f>G25-D25</f>
        <v>7578095</v>
      </c>
      <c r="I25" s="86">
        <f>G25/D25%</f>
        <v>140.96267567567568</v>
      </c>
      <c r="J25" s="87"/>
    </row>
    <row r="26" spans="2:10" x14ac:dyDescent="0.25">
      <c r="B26" s="275"/>
      <c r="C26" s="47" t="s">
        <v>374</v>
      </c>
      <c r="D26" s="247">
        <v>16000000</v>
      </c>
      <c r="E26" s="247">
        <v>13434238</v>
      </c>
      <c r="F26" s="61">
        <f>1832000+1500000+885714+1304762</f>
        <v>5522476</v>
      </c>
      <c r="G26" s="61">
        <f t="shared" si="3"/>
        <v>18956714</v>
      </c>
      <c r="H26" s="85">
        <f>G26-D26</f>
        <v>2956714</v>
      </c>
      <c r="I26" s="86">
        <f>G26/D26%</f>
        <v>118.4794625</v>
      </c>
      <c r="J26" s="87"/>
    </row>
    <row r="27" spans="2:10" x14ac:dyDescent="0.25">
      <c r="B27" s="275"/>
      <c r="C27" s="47"/>
      <c r="D27" s="248"/>
      <c r="E27" s="269"/>
      <c r="F27" s="61"/>
      <c r="G27" s="61"/>
      <c r="H27" s="85"/>
      <c r="I27" s="86"/>
      <c r="J27" s="87"/>
    </row>
    <row r="28" spans="2:10" x14ac:dyDescent="0.25">
      <c r="B28" s="276"/>
      <c r="C28" s="170" t="s">
        <v>14</v>
      </c>
      <c r="D28" s="135">
        <f>SUM(D9:D26)</f>
        <v>180785000</v>
      </c>
      <c r="E28" s="89">
        <f>SUM(E9:E26)</f>
        <v>204467385</v>
      </c>
      <c r="F28" s="89">
        <f>SUM(F9:F26)</f>
        <v>15869918</v>
      </c>
      <c r="G28" s="89">
        <f>SUM(G9:G26)</f>
        <v>220337303</v>
      </c>
      <c r="H28" s="136">
        <f>SUM(H9:H26)</f>
        <v>39159303</v>
      </c>
      <c r="I28" s="91">
        <f>G28/D28%</f>
        <v>121.87808889011809</v>
      </c>
      <c r="J28" s="171"/>
    </row>
    <row r="29" spans="2:10" x14ac:dyDescent="0.25">
      <c r="B29" s="275"/>
      <c r="C29" s="47"/>
      <c r="D29" s="47"/>
      <c r="E29" s="61"/>
      <c r="F29" s="62"/>
      <c r="G29" s="61"/>
      <c r="H29" s="85"/>
      <c r="I29" s="85"/>
      <c r="J29" s="87"/>
    </row>
    <row r="30" spans="2:10" x14ac:dyDescent="0.25">
      <c r="B30" s="275" t="s">
        <v>15</v>
      </c>
      <c r="C30" s="60" t="s">
        <v>16</v>
      </c>
      <c r="D30" s="47"/>
      <c r="E30" s="269"/>
      <c r="F30" s="62"/>
      <c r="G30" s="61"/>
      <c r="H30" s="85"/>
      <c r="I30" s="85"/>
      <c r="J30" s="87"/>
    </row>
    <row r="31" spans="2:10" x14ac:dyDescent="0.25">
      <c r="B31" s="275"/>
      <c r="C31" s="47" t="s">
        <v>38</v>
      </c>
      <c r="D31" s="250">
        <v>500000</v>
      </c>
      <c r="E31" s="247">
        <v>983956</v>
      </c>
      <c r="F31" s="61">
        <v>0</v>
      </c>
      <c r="G31" s="61">
        <f>E31+F31</f>
        <v>983956</v>
      </c>
      <c r="H31" s="85">
        <f t="shared" ref="H31:H49" si="4">G31-D31</f>
        <v>483956</v>
      </c>
      <c r="I31" s="86">
        <f t="shared" ref="I31:I49" si="5">G31/D31%</f>
        <v>196.7912</v>
      </c>
      <c r="J31" s="87"/>
    </row>
    <row r="32" spans="2:10" x14ac:dyDescent="0.25">
      <c r="B32" s="277"/>
      <c r="C32" s="173" t="s">
        <v>39</v>
      </c>
      <c r="D32" s="250">
        <v>19000000</v>
      </c>
      <c r="E32" s="247">
        <v>26113000</v>
      </c>
      <c r="F32" s="168">
        <f>285000+50000+75000+190000+20000+30000</f>
        <v>650000</v>
      </c>
      <c r="G32" s="61">
        <f>E32+F32</f>
        <v>26763000</v>
      </c>
      <c r="H32" s="174">
        <f t="shared" si="4"/>
        <v>7763000</v>
      </c>
      <c r="I32" s="176">
        <f>G32/D32%</f>
        <v>140.8578947368421</v>
      </c>
      <c r="J32" s="179"/>
    </row>
    <row r="33" spans="2:10" x14ac:dyDescent="0.25">
      <c r="B33" s="275"/>
      <c r="C33" s="47" t="s">
        <v>40</v>
      </c>
      <c r="D33" s="250">
        <v>10000000</v>
      </c>
      <c r="E33" s="247">
        <v>7770000</v>
      </c>
      <c r="F33" s="61">
        <f>135000+350000</f>
        <v>485000</v>
      </c>
      <c r="G33" s="61">
        <f>E33+F33</f>
        <v>8255000</v>
      </c>
      <c r="H33" s="85">
        <f t="shared" si="4"/>
        <v>-1745000</v>
      </c>
      <c r="I33" s="86">
        <f>G33/D33%</f>
        <v>82.55</v>
      </c>
      <c r="J33" s="180"/>
    </row>
    <row r="34" spans="2:10" x14ac:dyDescent="0.25">
      <c r="B34" s="275"/>
      <c r="C34" s="47" t="s">
        <v>41</v>
      </c>
      <c r="D34" s="250">
        <v>4000000</v>
      </c>
      <c r="E34" s="247">
        <v>3434000</v>
      </c>
      <c r="F34" s="61">
        <v>0</v>
      </c>
      <c r="G34" s="61">
        <f>E34+F34</f>
        <v>3434000</v>
      </c>
      <c r="H34" s="85">
        <f t="shared" si="4"/>
        <v>-566000</v>
      </c>
      <c r="I34" s="86">
        <f t="shared" si="5"/>
        <v>85.85</v>
      </c>
      <c r="J34" s="87"/>
    </row>
    <row r="35" spans="2:10" x14ac:dyDescent="0.25">
      <c r="B35" s="275"/>
      <c r="C35" s="47" t="s">
        <v>50</v>
      </c>
      <c r="D35" s="250">
        <v>0</v>
      </c>
      <c r="E35" s="247">
        <v>0</v>
      </c>
      <c r="F35" s="61">
        <v>0</v>
      </c>
      <c r="G35" s="61">
        <f t="shared" ref="G35:G49" si="6">E35+F35</f>
        <v>0</v>
      </c>
      <c r="H35" s="85">
        <f>G35-D35</f>
        <v>0</v>
      </c>
      <c r="I35" s="86" t="e">
        <f>G35/D35%</f>
        <v>#DIV/0!</v>
      </c>
      <c r="J35" s="87"/>
    </row>
    <row r="36" spans="2:10" x14ac:dyDescent="0.25">
      <c r="B36" s="275"/>
      <c r="C36" s="47" t="s">
        <v>51</v>
      </c>
      <c r="D36" s="250">
        <v>11500000</v>
      </c>
      <c r="E36" s="247">
        <v>0</v>
      </c>
      <c r="F36" s="61">
        <v>0</v>
      </c>
      <c r="G36" s="61">
        <f>E36+F36</f>
        <v>0</v>
      </c>
      <c r="H36" s="85">
        <f>G36-D36</f>
        <v>-11500000</v>
      </c>
      <c r="I36" s="86">
        <f>G36/D36%</f>
        <v>0</v>
      </c>
      <c r="J36" s="87"/>
    </row>
    <row r="37" spans="2:10" x14ac:dyDescent="0.25">
      <c r="B37" s="275"/>
      <c r="C37" s="47" t="s">
        <v>49</v>
      </c>
      <c r="D37" s="250">
        <v>0</v>
      </c>
      <c r="E37" s="247">
        <v>0</v>
      </c>
      <c r="F37" s="61">
        <v>0</v>
      </c>
      <c r="G37" s="61">
        <f t="shared" si="6"/>
        <v>0</v>
      </c>
      <c r="H37" s="85">
        <f>G37-D36</f>
        <v>-11500000</v>
      </c>
      <c r="I37" s="86">
        <f>G37/D36%</f>
        <v>0</v>
      </c>
      <c r="J37" s="87"/>
    </row>
    <row r="38" spans="2:10" x14ac:dyDescent="0.25">
      <c r="B38" s="275"/>
      <c r="C38" s="47" t="s">
        <v>79</v>
      </c>
      <c r="D38" s="250">
        <v>3000000</v>
      </c>
      <c r="E38" s="247">
        <v>205000</v>
      </c>
      <c r="F38" s="61">
        <v>0</v>
      </c>
      <c r="G38" s="61">
        <f t="shared" si="6"/>
        <v>205000</v>
      </c>
      <c r="H38" s="85">
        <f>G38-D37</f>
        <v>205000</v>
      </c>
      <c r="I38" s="86" t="e">
        <f>G38/D37%</f>
        <v>#DIV/0!</v>
      </c>
      <c r="J38" s="87"/>
    </row>
    <row r="39" spans="2:10" x14ac:dyDescent="0.25">
      <c r="B39" s="275"/>
      <c r="C39" s="47" t="s">
        <v>375</v>
      </c>
      <c r="D39" s="250">
        <v>3500000</v>
      </c>
      <c r="E39" s="247">
        <v>3690000</v>
      </c>
      <c r="F39" s="61">
        <v>0</v>
      </c>
      <c r="G39" s="61">
        <f t="shared" si="6"/>
        <v>3690000</v>
      </c>
      <c r="H39" s="85">
        <f>G39-D38</f>
        <v>690000</v>
      </c>
      <c r="I39" s="86">
        <f>G39/D38%</f>
        <v>123</v>
      </c>
      <c r="J39" s="87"/>
    </row>
    <row r="40" spans="2:10" x14ac:dyDescent="0.25">
      <c r="B40" s="275"/>
      <c r="C40" s="47" t="s">
        <v>71</v>
      </c>
      <c r="D40" s="250">
        <v>8000000</v>
      </c>
      <c r="E40" s="247">
        <v>7392888</v>
      </c>
      <c r="F40" s="61">
        <f>117500+100000+390000+95000+62500+30000+50000</f>
        <v>845000</v>
      </c>
      <c r="G40" s="61">
        <f t="shared" si="6"/>
        <v>8237888</v>
      </c>
      <c r="H40" s="85">
        <f>G40-D38</f>
        <v>5237888</v>
      </c>
      <c r="I40" s="86">
        <f>G40/D40%</f>
        <v>102.9736</v>
      </c>
      <c r="J40" s="87"/>
    </row>
    <row r="41" spans="2:10" x14ac:dyDescent="0.25">
      <c r="B41" s="275"/>
      <c r="C41" s="47" t="s">
        <v>72</v>
      </c>
      <c r="D41" s="250">
        <v>15000000</v>
      </c>
      <c r="E41" s="247">
        <v>15620000</v>
      </c>
      <c r="F41" s="61">
        <f>640000+300000+650000</f>
        <v>1590000</v>
      </c>
      <c r="G41" s="61">
        <f t="shared" si="6"/>
        <v>17210000</v>
      </c>
      <c r="H41" s="85">
        <f>G41-D40</f>
        <v>9210000</v>
      </c>
      <c r="I41" s="86">
        <f>G41/D41%</f>
        <v>114.73333333333333</v>
      </c>
      <c r="J41" s="87"/>
    </row>
    <row r="42" spans="2:10" x14ac:dyDescent="0.25">
      <c r="B42" s="275"/>
      <c r="C42" s="47" t="s">
        <v>70</v>
      </c>
      <c r="D42" s="250">
        <v>1000000</v>
      </c>
      <c r="E42" s="247">
        <v>0</v>
      </c>
      <c r="F42" s="61">
        <v>0</v>
      </c>
      <c r="G42" s="61">
        <f t="shared" si="6"/>
        <v>0</v>
      </c>
      <c r="H42" s="85">
        <f t="shared" si="4"/>
        <v>-1000000</v>
      </c>
      <c r="I42" s="86">
        <f t="shared" si="5"/>
        <v>0</v>
      </c>
      <c r="J42" s="87"/>
    </row>
    <row r="43" spans="2:10" x14ac:dyDescent="0.25">
      <c r="B43" s="275"/>
      <c r="C43" s="47" t="s">
        <v>73</v>
      </c>
      <c r="D43" s="250">
        <v>0</v>
      </c>
      <c r="E43" s="247">
        <v>0</v>
      </c>
      <c r="F43" s="61">
        <v>0</v>
      </c>
      <c r="G43" s="61">
        <f t="shared" si="6"/>
        <v>0</v>
      </c>
      <c r="H43" s="85">
        <f t="shared" si="4"/>
        <v>0</v>
      </c>
      <c r="I43" s="86" t="e">
        <f t="shared" si="5"/>
        <v>#DIV/0!</v>
      </c>
      <c r="J43" s="87"/>
    </row>
    <row r="44" spans="2:10" x14ac:dyDescent="0.25">
      <c r="B44" s="275"/>
      <c r="C44" s="47" t="s">
        <v>74</v>
      </c>
      <c r="D44" s="250">
        <v>0</v>
      </c>
      <c r="E44" s="247">
        <v>0</v>
      </c>
      <c r="F44" s="61">
        <v>0</v>
      </c>
      <c r="G44" s="61">
        <f t="shared" si="6"/>
        <v>0</v>
      </c>
      <c r="H44" s="85">
        <f t="shared" si="4"/>
        <v>0</v>
      </c>
      <c r="I44" s="86" t="e">
        <f t="shared" si="5"/>
        <v>#DIV/0!</v>
      </c>
      <c r="J44" s="87"/>
    </row>
    <row r="45" spans="2:10" x14ac:dyDescent="0.25">
      <c r="B45" s="275"/>
      <c r="C45" s="47" t="s">
        <v>75</v>
      </c>
      <c r="D45" s="250">
        <v>10000000</v>
      </c>
      <c r="E45" s="247">
        <v>21110000</v>
      </c>
      <c r="F45" s="61">
        <v>0</v>
      </c>
      <c r="G45" s="61">
        <f t="shared" si="6"/>
        <v>21110000</v>
      </c>
      <c r="H45" s="85">
        <f t="shared" si="4"/>
        <v>11110000</v>
      </c>
      <c r="I45" s="86">
        <f t="shared" si="5"/>
        <v>211.1</v>
      </c>
      <c r="J45" s="87"/>
    </row>
    <row r="46" spans="2:10" x14ac:dyDescent="0.25">
      <c r="B46" s="275"/>
      <c r="C46" s="47" t="s">
        <v>76</v>
      </c>
      <c r="D46" s="250">
        <v>0</v>
      </c>
      <c r="E46" s="247">
        <v>0</v>
      </c>
      <c r="F46" s="61">
        <v>0</v>
      </c>
      <c r="G46" s="61">
        <f t="shared" si="6"/>
        <v>0</v>
      </c>
      <c r="H46" s="85">
        <f t="shared" si="4"/>
        <v>0</v>
      </c>
      <c r="I46" s="86" t="e">
        <f t="shared" si="5"/>
        <v>#DIV/0!</v>
      </c>
      <c r="J46" s="87"/>
    </row>
    <row r="47" spans="2:10" x14ac:dyDescent="0.25">
      <c r="B47" s="275"/>
      <c r="C47" s="47" t="s">
        <v>77</v>
      </c>
      <c r="D47" s="250">
        <v>0</v>
      </c>
      <c r="E47" s="247">
        <v>0</v>
      </c>
      <c r="F47" s="61">
        <v>0</v>
      </c>
      <c r="G47" s="61">
        <f t="shared" si="6"/>
        <v>0</v>
      </c>
      <c r="H47" s="85">
        <f t="shared" si="4"/>
        <v>0</v>
      </c>
      <c r="I47" s="86" t="e">
        <f t="shared" si="5"/>
        <v>#DIV/0!</v>
      </c>
      <c r="J47" s="87"/>
    </row>
    <row r="48" spans="2:10" x14ac:dyDescent="0.25">
      <c r="B48" s="275"/>
      <c r="C48" s="47" t="s">
        <v>325</v>
      </c>
      <c r="D48" s="250">
        <v>10000000</v>
      </c>
      <c r="E48" s="247">
        <v>3525000</v>
      </c>
      <c r="F48" s="61">
        <v>0</v>
      </c>
      <c r="G48" s="61">
        <f t="shared" si="6"/>
        <v>3525000</v>
      </c>
      <c r="H48" s="85">
        <f t="shared" si="4"/>
        <v>-6475000</v>
      </c>
      <c r="I48" s="86">
        <f t="shared" si="5"/>
        <v>35.25</v>
      </c>
      <c r="J48" s="87"/>
    </row>
    <row r="49" spans="2:10" x14ac:dyDescent="0.25">
      <c r="B49" s="275"/>
      <c r="C49" s="47" t="s">
        <v>326</v>
      </c>
      <c r="D49" s="250">
        <v>0</v>
      </c>
      <c r="E49" s="247">
        <v>0</v>
      </c>
      <c r="F49" s="61">
        <v>0</v>
      </c>
      <c r="G49" s="61">
        <f t="shared" si="6"/>
        <v>0</v>
      </c>
      <c r="H49" s="85">
        <f t="shared" si="4"/>
        <v>0</v>
      </c>
      <c r="I49" s="86" t="e">
        <f t="shared" si="5"/>
        <v>#DIV/0!</v>
      </c>
      <c r="J49" s="87"/>
    </row>
    <row r="50" spans="2:10" x14ac:dyDescent="0.25">
      <c r="B50" s="275"/>
      <c r="C50" s="47"/>
      <c r="D50" s="85"/>
      <c r="E50" s="269"/>
      <c r="F50" s="61"/>
      <c r="G50" s="61"/>
      <c r="H50" s="85"/>
      <c r="I50" s="85"/>
      <c r="J50" s="87"/>
    </row>
    <row r="51" spans="2:10" x14ac:dyDescent="0.25">
      <c r="B51" s="276"/>
      <c r="C51" s="170" t="s">
        <v>17</v>
      </c>
      <c r="D51" s="271">
        <f>SUM(D31:D49)</f>
        <v>95500000</v>
      </c>
      <c r="E51" s="89">
        <f>SUM(E31:E49)</f>
        <v>89843844</v>
      </c>
      <c r="F51" s="89">
        <f>SUM(F31:F49)</f>
        <v>3570000</v>
      </c>
      <c r="G51" s="89">
        <f>SUM(G31:G49)</f>
        <v>93413844</v>
      </c>
      <c r="H51" s="136">
        <f>SUM(H31:H49)</f>
        <v>1913844</v>
      </c>
      <c r="I51" s="91">
        <f>G51/D51%</f>
        <v>97.815543455497377</v>
      </c>
      <c r="J51" s="171"/>
    </row>
    <row r="52" spans="2:10" x14ac:dyDescent="0.25">
      <c r="B52" s="275"/>
      <c r="C52" s="47"/>
      <c r="D52" s="47"/>
      <c r="E52" s="61"/>
      <c r="F52" s="62"/>
      <c r="G52" s="61"/>
      <c r="H52" s="85"/>
      <c r="I52" s="85"/>
      <c r="J52" s="87"/>
    </row>
    <row r="53" spans="2:10" x14ac:dyDescent="0.25">
      <c r="B53" s="275" t="s">
        <v>18</v>
      </c>
      <c r="C53" s="60" t="s">
        <v>19</v>
      </c>
      <c r="D53" s="47"/>
      <c r="E53" s="269"/>
      <c r="F53" s="62"/>
      <c r="G53" s="61"/>
      <c r="H53" s="85"/>
      <c r="I53" s="85"/>
      <c r="J53" s="87"/>
    </row>
    <row r="54" spans="2:10" x14ac:dyDescent="0.25">
      <c r="B54" s="275"/>
      <c r="C54" s="47" t="s">
        <v>42</v>
      </c>
      <c r="D54" s="248">
        <v>500000</v>
      </c>
      <c r="E54" s="247">
        <v>372500</v>
      </c>
      <c r="F54" s="61">
        <v>0</v>
      </c>
      <c r="G54" s="61">
        <f>E54+F54</f>
        <v>372500</v>
      </c>
      <c r="H54" s="85">
        <f t="shared" ref="H54:H67" si="7">G54-D54</f>
        <v>-127500</v>
      </c>
      <c r="I54" s="86">
        <f>G54/D54%</f>
        <v>74.5</v>
      </c>
      <c r="J54" s="87"/>
    </row>
    <row r="55" spans="2:10" x14ac:dyDescent="0.25">
      <c r="B55" s="275"/>
      <c r="C55" s="47" t="s">
        <v>43</v>
      </c>
      <c r="D55" s="248">
        <v>20000000</v>
      </c>
      <c r="E55" s="247">
        <v>18210800</v>
      </c>
      <c r="F55" s="61">
        <f>378000</f>
        <v>378000</v>
      </c>
      <c r="G55" s="61">
        <f t="shared" ref="G55:G67" si="8">E55+F55</f>
        <v>18588800</v>
      </c>
      <c r="H55" s="85">
        <f t="shared" si="7"/>
        <v>-1411200</v>
      </c>
      <c r="I55" s="86">
        <f>G55/D55%</f>
        <v>92.944000000000003</v>
      </c>
      <c r="J55" s="87"/>
    </row>
    <row r="56" spans="2:10" x14ac:dyDescent="0.25">
      <c r="B56" s="275"/>
      <c r="C56" s="47" t="s">
        <v>44</v>
      </c>
      <c r="D56" s="248">
        <v>600000</v>
      </c>
      <c r="E56" s="247">
        <v>30000</v>
      </c>
      <c r="F56" s="61">
        <v>0</v>
      </c>
      <c r="G56" s="61">
        <f t="shared" si="8"/>
        <v>30000</v>
      </c>
      <c r="H56" s="85">
        <f t="shared" si="7"/>
        <v>-570000</v>
      </c>
      <c r="I56" s="86">
        <f>G56/D56%</f>
        <v>5</v>
      </c>
      <c r="J56" s="87"/>
    </row>
    <row r="57" spans="2:10" x14ac:dyDescent="0.25">
      <c r="B57" s="275"/>
      <c r="C57" s="47" t="s">
        <v>45</v>
      </c>
      <c r="D57" s="248">
        <v>0</v>
      </c>
      <c r="E57" s="247">
        <v>0</v>
      </c>
      <c r="F57" s="61">
        <v>0</v>
      </c>
      <c r="G57" s="61">
        <f t="shared" si="8"/>
        <v>0</v>
      </c>
      <c r="H57" s="85">
        <f t="shared" si="7"/>
        <v>0</v>
      </c>
      <c r="I57" s="86" t="e">
        <f t="shared" ref="I57:I67" si="9">G57/D57%</f>
        <v>#DIV/0!</v>
      </c>
      <c r="J57" s="87"/>
    </row>
    <row r="58" spans="2:10" x14ac:dyDescent="0.25">
      <c r="B58" s="275"/>
      <c r="C58" s="47" t="s">
        <v>46</v>
      </c>
      <c r="D58" s="248">
        <v>0</v>
      </c>
      <c r="E58" s="247">
        <v>0</v>
      </c>
      <c r="F58" s="92">
        <v>0</v>
      </c>
      <c r="G58" s="61">
        <f t="shared" si="8"/>
        <v>0</v>
      </c>
      <c r="H58" s="85">
        <f t="shared" si="7"/>
        <v>0</v>
      </c>
      <c r="I58" s="86" t="e">
        <f t="shared" si="9"/>
        <v>#DIV/0!</v>
      </c>
      <c r="J58" s="87"/>
    </row>
    <row r="59" spans="2:10" x14ac:dyDescent="0.25">
      <c r="B59" s="275"/>
      <c r="C59" s="47" t="s">
        <v>47</v>
      </c>
      <c r="D59" s="248">
        <v>0</v>
      </c>
      <c r="E59" s="247">
        <v>0</v>
      </c>
      <c r="F59" s="61">
        <v>0</v>
      </c>
      <c r="G59" s="61">
        <f t="shared" si="8"/>
        <v>0</v>
      </c>
      <c r="H59" s="85">
        <f t="shared" si="7"/>
        <v>0</v>
      </c>
      <c r="I59" s="86" t="e">
        <f t="shared" si="9"/>
        <v>#DIV/0!</v>
      </c>
      <c r="J59" s="87"/>
    </row>
    <row r="60" spans="2:10" x14ac:dyDescent="0.25">
      <c r="B60" s="275"/>
      <c r="C60" s="47" t="s">
        <v>129</v>
      </c>
      <c r="D60" s="248">
        <v>900000</v>
      </c>
      <c r="E60" s="247">
        <v>0</v>
      </c>
      <c r="F60" s="61">
        <v>0</v>
      </c>
      <c r="G60" s="61">
        <f t="shared" si="8"/>
        <v>0</v>
      </c>
      <c r="H60" s="85">
        <f t="shared" si="7"/>
        <v>-900000</v>
      </c>
      <c r="I60" s="86">
        <f t="shared" si="9"/>
        <v>0</v>
      </c>
      <c r="J60" s="87"/>
    </row>
    <row r="61" spans="2:10" x14ac:dyDescent="0.25">
      <c r="B61" s="275"/>
      <c r="C61" s="47" t="s">
        <v>86</v>
      </c>
      <c r="D61" s="248">
        <v>0</v>
      </c>
      <c r="E61" s="247">
        <v>0</v>
      </c>
      <c r="F61" s="61">
        <v>0</v>
      </c>
      <c r="G61" s="61">
        <f t="shared" si="8"/>
        <v>0</v>
      </c>
      <c r="H61" s="85">
        <f t="shared" si="7"/>
        <v>0</v>
      </c>
      <c r="I61" s="86" t="e">
        <f t="shared" si="9"/>
        <v>#DIV/0!</v>
      </c>
      <c r="J61" s="87"/>
    </row>
    <row r="62" spans="2:10" x14ac:dyDescent="0.25">
      <c r="B62" s="275"/>
      <c r="C62" s="47" t="s">
        <v>87</v>
      </c>
      <c r="D62" s="248">
        <v>0</v>
      </c>
      <c r="E62" s="247">
        <v>190000</v>
      </c>
      <c r="F62" s="61">
        <v>0</v>
      </c>
      <c r="G62" s="61">
        <f>E62+F62</f>
        <v>190000</v>
      </c>
      <c r="H62" s="85">
        <f>G62-D62</f>
        <v>190000</v>
      </c>
      <c r="I62" s="86" t="e">
        <f>G62/D62%</f>
        <v>#DIV/0!</v>
      </c>
      <c r="J62" s="87"/>
    </row>
    <row r="63" spans="2:10" x14ac:dyDescent="0.25">
      <c r="B63" s="275"/>
      <c r="C63" s="47" t="s">
        <v>81</v>
      </c>
      <c r="D63" s="248">
        <v>0</v>
      </c>
      <c r="E63" s="247">
        <v>0</v>
      </c>
      <c r="F63" s="61">
        <v>0</v>
      </c>
      <c r="G63" s="61">
        <f t="shared" si="8"/>
        <v>0</v>
      </c>
      <c r="H63" s="85">
        <f t="shared" si="7"/>
        <v>0</v>
      </c>
      <c r="I63" s="86" t="e">
        <f t="shared" si="9"/>
        <v>#DIV/0!</v>
      </c>
      <c r="J63" s="87"/>
    </row>
    <row r="64" spans="2:10" x14ac:dyDescent="0.25">
      <c r="B64" s="275"/>
      <c r="C64" s="47" t="s">
        <v>82</v>
      </c>
      <c r="D64" s="248">
        <v>0</v>
      </c>
      <c r="E64" s="247">
        <v>0</v>
      </c>
      <c r="F64" s="61">
        <v>0</v>
      </c>
      <c r="G64" s="61">
        <f t="shared" si="8"/>
        <v>0</v>
      </c>
      <c r="H64" s="85">
        <f t="shared" si="7"/>
        <v>0</v>
      </c>
      <c r="I64" s="86" t="e">
        <f t="shared" si="9"/>
        <v>#DIV/0!</v>
      </c>
      <c r="J64" s="87"/>
    </row>
    <row r="65" spans="2:10" x14ac:dyDescent="0.25">
      <c r="B65" s="275"/>
      <c r="C65" s="47" t="s">
        <v>83</v>
      </c>
      <c r="D65" s="248">
        <v>0</v>
      </c>
      <c r="E65" s="247">
        <v>0</v>
      </c>
      <c r="F65" s="61">
        <v>0</v>
      </c>
      <c r="G65" s="61">
        <f>E65+F65</f>
        <v>0</v>
      </c>
      <c r="H65" s="85">
        <f>G65-D65</f>
        <v>0</v>
      </c>
      <c r="I65" s="86" t="e">
        <f>G65/D65%</f>
        <v>#DIV/0!</v>
      </c>
      <c r="J65" s="87"/>
    </row>
    <row r="66" spans="2:10" x14ac:dyDescent="0.25">
      <c r="B66" s="275"/>
      <c r="C66" s="47" t="s">
        <v>142</v>
      </c>
      <c r="D66" s="248">
        <v>1000000</v>
      </c>
      <c r="E66" s="247">
        <v>1179000</v>
      </c>
      <c r="F66" s="61">
        <v>0</v>
      </c>
      <c r="G66" s="61">
        <f>E66+F66</f>
        <v>1179000</v>
      </c>
      <c r="H66" s="85">
        <f>G66-D66</f>
        <v>179000</v>
      </c>
      <c r="I66" s="86">
        <f>G66/D66%</f>
        <v>117.9</v>
      </c>
      <c r="J66" s="87"/>
    </row>
    <row r="67" spans="2:10" x14ac:dyDescent="0.25">
      <c r="B67" s="275"/>
      <c r="C67" s="47" t="s">
        <v>85</v>
      </c>
      <c r="D67" s="248">
        <v>1500000</v>
      </c>
      <c r="E67" s="247">
        <v>600000</v>
      </c>
      <c r="F67" s="61">
        <v>0</v>
      </c>
      <c r="G67" s="61">
        <f t="shared" si="8"/>
        <v>600000</v>
      </c>
      <c r="H67" s="85">
        <f t="shared" si="7"/>
        <v>-900000</v>
      </c>
      <c r="I67" s="86">
        <f t="shared" si="9"/>
        <v>40</v>
      </c>
      <c r="J67" s="87"/>
    </row>
    <row r="68" spans="2:10" x14ac:dyDescent="0.25">
      <c r="B68" s="275"/>
      <c r="C68" s="47"/>
      <c r="D68" s="85"/>
      <c r="E68" s="269"/>
      <c r="F68" s="61"/>
      <c r="G68" s="61"/>
      <c r="H68" s="85"/>
      <c r="I68" s="85"/>
      <c r="J68" s="87"/>
    </row>
    <row r="69" spans="2:10" x14ac:dyDescent="0.25">
      <c r="B69" s="276"/>
      <c r="C69" s="170" t="s">
        <v>20</v>
      </c>
      <c r="D69" s="136">
        <f>SUM(D54:D67)</f>
        <v>24500000</v>
      </c>
      <c r="E69" s="89">
        <f>SUM(E54:E67)</f>
        <v>20582300</v>
      </c>
      <c r="F69" s="89">
        <f>SUM(F54:F67)</f>
        <v>378000</v>
      </c>
      <c r="G69" s="89">
        <f>SUM(G54:G67)</f>
        <v>20960300</v>
      </c>
      <c r="H69" s="136">
        <f>SUM(H54:H63)</f>
        <v>-2818700</v>
      </c>
      <c r="I69" s="91">
        <f>G69/D69%</f>
        <v>85.552244897959184</v>
      </c>
      <c r="J69" s="171"/>
    </row>
    <row r="70" spans="2:10" x14ac:dyDescent="0.25">
      <c r="B70" s="275"/>
      <c r="C70" s="47"/>
      <c r="D70" s="47"/>
      <c r="E70" s="61"/>
      <c r="F70" s="62"/>
      <c r="G70" s="61"/>
      <c r="H70" s="85"/>
      <c r="I70" s="85"/>
      <c r="J70" s="87"/>
    </row>
    <row r="71" spans="2:10" ht="15.75" thickBot="1" x14ac:dyDescent="0.3">
      <c r="B71" s="275"/>
      <c r="C71" s="60" t="s">
        <v>21</v>
      </c>
      <c r="D71" s="93">
        <f>D28+D51+D69</f>
        <v>300785000</v>
      </c>
      <c r="E71" s="94">
        <f>E28+E51+E69</f>
        <v>314893529</v>
      </c>
      <c r="F71" s="95">
        <f>F28+F51+F69</f>
        <v>19817918</v>
      </c>
      <c r="G71" s="94">
        <f>G28+G51+G69</f>
        <v>334711447</v>
      </c>
      <c r="H71" s="96">
        <f>H28+H51+H69</f>
        <v>38254447</v>
      </c>
      <c r="I71" s="97">
        <f>G71/D71%</f>
        <v>111.27930149442292</v>
      </c>
      <c r="J71" s="87"/>
    </row>
    <row r="72" spans="2:10" ht="15.75" thickTop="1" x14ac:dyDescent="0.25">
      <c r="B72" s="278"/>
      <c r="C72" s="98"/>
      <c r="D72" s="99"/>
      <c r="E72" s="100"/>
      <c r="F72" s="101"/>
      <c r="G72" s="100"/>
      <c r="H72" s="102"/>
      <c r="I72" s="103"/>
      <c r="J72" s="104"/>
    </row>
    <row r="73" spans="2:10" x14ac:dyDescent="0.25">
      <c r="B73" s="278"/>
      <c r="C73" s="98" t="s">
        <v>22</v>
      </c>
      <c r="D73" s="105"/>
      <c r="E73" s="106"/>
      <c r="F73" s="107"/>
      <c r="G73" s="106"/>
      <c r="H73" s="108"/>
      <c r="I73" s="109"/>
      <c r="J73" s="104"/>
    </row>
    <row r="74" spans="2:10" x14ac:dyDescent="0.25">
      <c r="B74" s="278" t="s">
        <v>12</v>
      </c>
      <c r="C74" s="98" t="s">
        <v>23</v>
      </c>
      <c r="D74" s="105">
        <v>13500000</v>
      </c>
      <c r="E74" s="106">
        <f>E123</f>
        <v>14117000</v>
      </c>
      <c r="F74" s="107">
        <f>F123</f>
        <v>852000</v>
      </c>
      <c r="G74" s="106">
        <f>E74+F74</f>
        <v>14969000</v>
      </c>
      <c r="H74" s="108">
        <f>G74-D74</f>
        <v>1469000</v>
      </c>
      <c r="I74" s="110">
        <f>G74/D74%</f>
        <v>110.88148148148149</v>
      </c>
      <c r="J74" s="104"/>
    </row>
    <row r="75" spans="2:10" x14ac:dyDescent="0.25">
      <c r="B75" s="278"/>
      <c r="C75" s="98"/>
      <c r="D75" s="105"/>
      <c r="E75" s="106"/>
      <c r="F75" s="107"/>
      <c r="G75" s="106"/>
      <c r="H75" s="108"/>
      <c r="I75" s="110"/>
      <c r="J75" s="104"/>
    </row>
    <row r="76" spans="2:10" x14ac:dyDescent="0.25">
      <c r="B76" s="278" t="s">
        <v>15</v>
      </c>
      <c r="C76" s="98" t="s">
        <v>16</v>
      </c>
      <c r="D76" s="105">
        <v>4500000</v>
      </c>
      <c r="E76" s="106">
        <f>E145</f>
        <v>3298000</v>
      </c>
      <c r="F76" s="107">
        <f>F145</f>
        <v>647500</v>
      </c>
      <c r="G76" s="106">
        <f>E76+F76</f>
        <v>3945500</v>
      </c>
      <c r="H76" s="108">
        <f>G76-D76</f>
        <v>-554500</v>
      </c>
      <c r="I76" s="110">
        <f>G76/D76%</f>
        <v>87.677777777777777</v>
      </c>
      <c r="J76" s="104"/>
    </row>
    <row r="77" spans="2:10" x14ac:dyDescent="0.25">
      <c r="B77" s="278"/>
      <c r="C77" s="98"/>
      <c r="D77" s="105"/>
      <c r="E77" s="106"/>
      <c r="F77" s="107"/>
      <c r="G77" s="106"/>
      <c r="H77" s="108"/>
      <c r="I77" s="110"/>
      <c r="J77" s="104"/>
    </row>
    <row r="78" spans="2:10" x14ac:dyDescent="0.25">
      <c r="B78" s="278" t="s">
        <v>18</v>
      </c>
      <c r="C78" s="98" t="s">
        <v>19</v>
      </c>
      <c r="D78" s="105">
        <v>0</v>
      </c>
      <c r="E78" s="106">
        <f>E163</f>
        <v>58000</v>
      </c>
      <c r="F78" s="107">
        <f>F163</f>
        <v>0</v>
      </c>
      <c r="G78" s="106">
        <f>E78+F78</f>
        <v>58000</v>
      </c>
      <c r="H78" s="108">
        <f>G78-D78</f>
        <v>58000</v>
      </c>
      <c r="I78" s="110" t="e">
        <f>G78/D78%</f>
        <v>#DIV/0!</v>
      </c>
      <c r="J78" s="104"/>
    </row>
    <row r="79" spans="2:10" ht="15.75" thickBot="1" x14ac:dyDescent="0.3">
      <c r="B79" s="278"/>
      <c r="C79" s="98"/>
      <c r="D79" s="111"/>
      <c r="E79" s="112"/>
      <c r="F79" s="113"/>
      <c r="G79" s="112"/>
      <c r="H79" s="96"/>
      <c r="I79" s="97"/>
      <c r="J79" s="104"/>
    </row>
    <row r="80" spans="2:10" ht="16.5" thickTop="1" thickBot="1" x14ac:dyDescent="0.3">
      <c r="B80" s="279"/>
      <c r="C80" s="115" t="s">
        <v>24</v>
      </c>
      <c r="D80" s="116">
        <f>SUM(D74:D78)</f>
        <v>18000000</v>
      </c>
      <c r="E80" s="117">
        <f>SUM(E74:E78)</f>
        <v>17473000</v>
      </c>
      <c r="F80" s="118">
        <f>SUM(F74:F78)</f>
        <v>1499500</v>
      </c>
      <c r="G80" s="117">
        <f>SUM(G74:G78)</f>
        <v>18972500</v>
      </c>
      <c r="H80" s="119">
        <f>SUM(H74:H78)</f>
        <v>972500</v>
      </c>
      <c r="I80" s="120">
        <f>G80/D80%</f>
        <v>105.40277777777777</v>
      </c>
      <c r="J80" s="121"/>
    </row>
    <row r="81" spans="2:10" x14ac:dyDescent="0.25">
      <c r="B81" s="280"/>
      <c r="C81" s="75"/>
      <c r="D81" s="75"/>
      <c r="E81" s="75"/>
      <c r="F81" s="75"/>
      <c r="G81" s="76"/>
      <c r="H81" s="75"/>
      <c r="I81" s="75"/>
      <c r="J81" s="75"/>
    </row>
    <row r="82" spans="2:10" x14ac:dyDescent="0.25">
      <c r="B82" s="280"/>
      <c r="C82" s="75"/>
      <c r="D82" s="75"/>
      <c r="E82" s="122" t="s">
        <v>25</v>
      </c>
      <c r="F82" s="242" t="s">
        <v>26</v>
      </c>
      <c r="G82" s="124" t="e">
        <f>#REF!</f>
        <v>#REF!</v>
      </c>
      <c r="H82" s="75"/>
      <c r="I82" s="75"/>
      <c r="J82" s="75"/>
    </row>
    <row r="83" spans="2:10" x14ac:dyDescent="0.25">
      <c r="B83" s="280"/>
      <c r="C83" s="75"/>
      <c r="D83" s="75"/>
      <c r="E83" s="122" t="s">
        <v>132</v>
      </c>
      <c r="F83" s="242" t="s">
        <v>26</v>
      </c>
      <c r="G83" s="124" t="e">
        <f>#REF!</f>
        <v>#REF!</v>
      </c>
      <c r="H83" s="75"/>
      <c r="I83" s="75"/>
      <c r="J83" s="75"/>
    </row>
    <row r="84" spans="2:10" x14ac:dyDescent="0.25">
      <c r="B84" s="280"/>
      <c r="C84" s="75"/>
      <c r="D84" s="75"/>
      <c r="E84" s="122" t="s">
        <v>27</v>
      </c>
      <c r="F84" s="242" t="s">
        <v>26</v>
      </c>
      <c r="G84" s="125">
        <f>101000+100000+91000+151000+164000+110000</f>
        <v>717000</v>
      </c>
      <c r="H84" s="75"/>
      <c r="I84" s="75"/>
      <c r="J84" s="75"/>
    </row>
    <row r="85" spans="2:10" ht="19.5" x14ac:dyDescent="0.55000000000000004">
      <c r="B85" s="280"/>
      <c r="C85" s="75"/>
      <c r="D85" s="75"/>
      <c r="E85" s="122" t="s">
        <v>29</v>
      </c>
      <c r="F85" s="242" t="s">
        <v>26</v>
      </c>
      <c r="G85" s="126">
        <f>100000+70000+125000+20000</f>
        <v>315000</v>
      </c>
      <c r="H85" s="75" t="s">
        <v>28</v>
      </c>
      <c r="I85" s="75"/>
      <c r="J85" s="75"/>
    </row>
    <row r="86" spans="2:10" ht="15.75" thickBot="1" x14ac:dyDescent="0.3">
      <c r="B86" s="280"/>
      <c r="C86" s="75"/>
      <c r="D86" s="75"/>
      <c r="E86" s="122" t="s">
        <v>30</v>
      </c>
      <c r="F86" s="123"/>
      <c r="G86" s="127" t="e">
        <f>SUM(G82:G85)</f>
        <v>#REF!</v>
      </c>
      <c r="H86" s="160" t="s">
        <v>126</v>
      </c>
      <c r="I86" s="27"/>
      <c r="J86" s="75"/>
    </row>
    <row r="87" spans="2:10" ht="15.75" thickTop="1" x14ac:dyDescent="0.25">
      <c r="B87" s="280"/>
      <c r="C87" s="75"/>
      <c r="D87" s="75"/>
      <c r="E87" s="122"/>
      <c r="F87" s="123"/>
      <c r="G87" s="159" t="s">
        <v>263</v>
      </c>
      <c r="H87" s="27"/>
      <c r="I87" s="27"/>
      <c r="J87" s="75"/>
    </row>
    <row r="88" spans="2:10" ht="15.75" thickBot="1" x14ac:dyDescent="0.3">
      <c r="B88" s="286" t="s">
        <v>367</v>
      </c>
      <c r="C88" s="161" t="s">
        <v>321</v>
      </c>
      <c r="D88" s="149"/>
      <c r="E88" s="162"/>
      <c r="F88" s="243" t="s">
        <v>26</v>
      </c>
      <c r="G88" s="244">
        <f>2000000+1650000</f>
        <v>3650000</v>
      </c>
      <c r="H88" s="165" t="s">
        <v>126</v>
      </c>
      <c r="I88" s="149"/>
      <c r="J88" s="245">
        <f>SUM(G88:G89)</f>
        <v>11157500</v>
      </c>
    </row>
    <row r="89" spans="2:10" ht="16.5" thickTop="1" thickBot="1" x14ac:dyDescent="0.3">
      <c r="B89" s="281"/>
      <c r="C89" s="161" t="s">
        <v>322</v>
      </c>
      <c r="D89" s="162"/>
      <c r="E89" s="161"/>
      <c r="F89" s="243" t="s">
        <v>26</v>
      </c>
      <c r="G89" s="164">
        <f>1507500+2000000+2000000+2000000</f>
        <v>7507500</v>
      </c>
      <c r="H89" s="165" t="s">
        <v>126</v>
      </c>
      <c r="I89" s="149"/>
      <c r="J89" s="162"/>
    </row>
    <row r="90" spans="2:10" ht="15.75" thickTop="1" x14ac:dyDescent="0.25">
      <c r="B90" s="282"/>
      <c r="C90" s="27"/>
      <c r="D90" s="27"/>
      <c r="E90" s="27"/>
      <c r="F90" s="27"/>
      <c r="G90" s="403" t="s">
        <v>388</v>
      </c>
      <c r="H90" s="403"/>
      <c r="I90" s="403"/>
      <c r="J90" s="27"/>
    </row>
    <row r="91" spans="2:10" x14ac:dyDescent="0.25">
      <c r="B91" s="282"/>
      <c r="C91" s="27"/>
      <c r="D91" s="27"/>
      <c r="E91" s="27"/>
      <c r="F91" s="27"/>
      <c r="G91" s="166" t="e">
        <f>G71-G82</f>
        <v>#REF!</v>
      </c>
      <c r="H91" s="27"/>
      <c r="I91" s="27"/>
      <c r="J91" s="27"/>
    </row>
    <row r="92" spans="2:10" ht="15.75" thickBot="1" x14ac:dyDescent="0.3">
      <c r="B92" s="282"/>
      <c r="C92" s="27"/>
      <c r="D92" s="27"/>
      <c r="E92" s="27"/>
      <c r="F92" s="27"/>
      <c r="G92" s="27" t="s">
        <v>133</v>
      </c>
      <c r="H92" s="27"/>
      <c r="I92" s="27"/>
      <c r="J92" s="128" t="e">
        <f>G82+G85</f>
        <v>#REF!</v>
      </c>
    </row>
    <row r="93" spans="2:10" ht="15.75" thickTop="1" x14ac:dyDescent="0.25">
      <c r="B93" s="282"/>
      <c r="C93" s="27"/>
      <c r="D93" s="27"/>
      <c r="E93" s="27"/>
      <c r="F93" s="27"/>
      <c r="G93" s="27"/>
      <c r="H93" s="27"/>
      <c r="I93" s="27"/>
      <c r="J93" s="166"/>
    </row>
    <row r="94" spans="2:10" ht="15.75" thickBot="1" x14ac:dyDescent="0.3">
      <c r="B94" s="282"/>
      <c r="C94" s="27"/>
      <c r="D94" s="27"/>
      <c r="E94" s="27"/>
      <c r="F94" s="27"/>
      <c r="G94" s="27"/>
      <c r="H94" s="27"/>
      <c r="I94" s="27"/>
      <c r="J94" s="128" t="e">
        <f>G86+G88+G89</f>
        <v>#REF!</v>
      </c>
    </row>
    <row r="95" spans="2:10" ht="15.75" thickTop="1" x14ac:dyDescent="0.25">
      <c r="B95" s="282"/>
      <c r="C95" s="27"/>
      <c r="D95" s="27"/>
      <c r="E95" s="27"/>
      <c r="F95" s="27"/>
      <c r="G95" s="27"/>
      <c r="H95" s="27"/>
      <c r="I95" s="27"/>
      <c r="J95" s="27"/>
    </row>
    <row r="96" spans="2:10" x14ac:dyDescent="0.25">
      <c r="B96" s="283"/>
      <c r="C96" s="129"/>
      <c r="D96" s="129"/>
      <c r="E96" s="129"/>
      <c r="F96" s="129"/>
      <c r="G96" s="129"/>
      <c r="H96" s="129"/>
      <c r="I96" s="129"/>
      <c r="J96" s="129"/>
    </row>
    <row r="97" spans="2:10" x14ac:dyDescent="0.25">
      <c r="B97" s="282"/>
      <c r="C97" s="27"/>
      <c r="D97" s="27"/>
      <c r="E97" s="27"/>
      <c r="F97" s="27"/>
      <c r="G97" s="27"/>
      <c r="H97" s="27"/>
      <c r="I97" s="27"/>
      <c r="J97" s="75"/>
    </row>
    <row r="98" spans="2:10" x14ac:dyDescent="0.25">
      <c r="B98" s="406" t="s">
        <v>383</v>
      </c>
      <c r="C98" s="406"/>
      <c r="D98" s="406"/>
      <c r="E98" s="406"/>
      <c r="F98" s="406"/>
      <c r="G98" s="406"/>
      <c r="H98" s="406"/>
      <c r="I98" s="406"/>
      <c r="J98" s="75"/>
    </row>
    <row r="99" spans="2:10" ht="15.75" thickBot="1" x14ac:dyDescent="0.3">
      <c r="B99" s="406" t="s">
        <v>389</v>
      </c>
      <c r="C99" s="406"/>
      <c r="D99" s="406"/>
      <c r="E99" s="406"/>
      <c r="F99" s="406"/>
      <c r="G99" s="406"/>
      <c r="H99" s="406"/>
      <c r="I99" s="406"/>
      <c r="J99" s="78"/>
    </row>
    <row r="100" spans="2:10" x14ac:dyDescent="0.25">
      <c r="B100" s="420" t="s">
        <v>2</v>
      </c>
      <c r="C100" s="409" t="s">
        <v>3</v>
      </c>
      <c r="D100" s="411" t="s">
        <v>4</v>
      </c>
      <c r="E100" s="413" t="s">
        <v>5</v>
      </c>
      <c r="F100" s="414"/>
      <c r="G100" s="415"/>
      <c r="H100" s="413" t="s">
        <v>6</v>
      </c>
      <c r="I100" s="415"/>
      <c r="J100" s="416" t="s">
        <v>0</v>
      </c>
    </row>
    <row r="101" spans="2:10" ht="15.75" thickBot="1" x14ac:dyDescent="0.3">
      <c r="B101" s="421"/>
      <c r="C101" s="410"/>
      <c r="D101" s="412"/>
      <c r="E101" s="145" t="str">
        <f>E6</f>
        <v>PENJ. S/D TGL. 30</v>
      </c>
      <c r="F101" s="146" t="str">
        <f>F6</f>
        <v>PENJ. TGL. 31</v>
      </c>
      <c r="G101" s="130" t="s">
        <v>7</v>
      </c>
      <c r="H101" s="131" t="s">
        <v>8</v>
      </c>
      <c r="I101" s="130" t="s">
        <v>9</v>
      </c>
      <c r="J101" s="417"/>
    </row>
    <row r="102" spans="2:10" ht="15.75" thickTop="1" x14ac:dyDescent="0.25">
      <c r="B102" s="284"/>
      <c r="C102" s="133" t="s">
        <v>11</v>
      </c>
      <c r="D102" s="82"/>
      <c r="E102" s="42"/>
      <c r="F102" s="42"/>
      <c r="G102" s="41"/>
      <c r="H102" s="42"/>
      <c r="I102" s="42"/>
      <c r="J102" s="83"/>
    </row>
    <row r="103" spans="2:10" x14ac:dyDescent="0.25">
      <c r="B103" s="274" t="s">
        <v>12</v>
      </c>
      <c r="C103" s="44" t="s">
        <v>13</v>
      </c>
      <c r="D103" s="134">
        <v>13500000</v>
      </c>
      <c r="E103" s="45"/>
      <c r="F103" s="45"/>
      <c r="G103" s="59"/>
      <c r="H103" s="45"/>
      <c r="I103" s="45"/>
      <c r="J103" s="84"/>
    </row>
    <row r="104" spans="2:10" x14ac:dyDescent="0.25">
      <c r="B104" s="275"/>
      <c r="C104" s="47" t="s">
        <v>36</v>
      </c>
      <c r="D104" s="85">
        <v>0</v>
      </c>
      <c r="E104" s="85">
        <v>7611000</v>
      </c>
      <c r="F104" s="61">
        <f>50000+100000+100000+100000+50000+50000+100000+76000</f>
        <v>626000</v>
      </c>
      <c r="G104" s="61">
        <f>E104+F104</f>
        <v>8237000</v>
      </c>
      <c r="H104" s="85">
        <f>G104-D104</f>
        <v>8237000</v>
      </c>
      <c r="I104" s="86" t="e">
        <f>G104/D104%</f>
        <v>#DIV/0!</v>
      </c>
      <c r="J104" s="87"/>
    </row>
    <row r="105" spans="2:10" x14ac:dyDescent="0.25">
      <c r="B105" s="275"/>
      <c r="C105" s="47" t="s">
        <v>37</v>
      </c>
      <c r="D105" s="85">
        <v>0</v>
      </c>
      <c r="E105" s="85">
        <v>1800000</v>
      </c>
      <c r="F105" s="61">
        <f>6000</f>
        <v>6000</v>
      </c>
      <c r="G105" s="61">
        <f t="shared" ref="G105:G121" si="10">E105+F105</f>
        <v>1806000</v>
      </c>
      <c r="H105" s="85">
        <f>G105-D105</f>
        <v>1806000</v>
      </c>
      <c r="I105" s="86" t="e">
        <f>G105/D105%</f>
        <v>#DIV/0!</v>
      </c>
      <c r="J105" s="87"/>
    </row>
    <row r="106" spans="2:10" x14ac:dyDescent="0.25">
      <c r="B106" s="275"/>
      <c r="C106" s="47" t="s">
        <v>52</v>
      </c>
      <c r="D106" s="85">
        <v>0</v>
      </c>
      <c r="E106" s="85">
        <v>0</v>
      </c>
      <c r="F106" s="61">
        <v>0</v>
      </c>
      <c r="G106" s="61">
        <f t="shared" si="10"/>
        <v>0</v>
      </c>
      <c r="H106" s="85"/>
      <c r="I106" s="86"/>
      <c r="J106" s="87"/>
    </row>
    <row r="107" spans="2:10" x14ac:dyDescent="0.25">
      <c r="B107" s="275"/>
      <c r="C107" s="47" t="s">
        <v>53</v>
      </c>
      <c r="D107" s="85">
        <v>0</v>
      </c>
      <c r="E107" s="85">
        <v>771000</v>
      </c>
      <c r="F107" s="61">
        <v>0</v>
      </c>
      <c r="G107" s="61">
        <f t="shared" si="10"/>
        <v>771000</v>
      </c>
      <c r="H107" s="85">
        <f t="shared" ref="H107:H121" si="11">G107-D107</f>
        <v>771000</v>
      </c>
      <c r="I107" s="86" t="e">
        <f t="shared" ref="I107:I121" si="12">G107/D107%</f>
        <v>#DIV/0!</v>
      </c>
      <c r="J107" s="87"/>
    </row>
    <row r="108" spans="2:10" x14ac:dyDescent="0.25">
      <c r="B108" s="275"/>
      <c r="C108" s="47" t="s">
        <v>54</v>
      </c>
      <c r="D108" s="85"/>
      <c r="E108" s="85">
        <v>482500</v>
      </c>
      <c r="F108" s="61">
        <v>0</v>
      </c>
      <c r="G108" s="61">
        <f t="shared" si="10"/>
        <v>482500</v>
      </c>
      <c r="H108" s="85">
        <f t="shared" si="11"/>
        <v>482500</v>
      </c>
      <c r="I108" s="86" t="e">
        <f t="shared" si="12"/>
        <v>#DIV/0!</v>
      </c>
      <c r="J108" s="88"/>
    </row>
    <row r="109" spans="2:10" x14ac:dyDescent="0.25">
      <c r="B109" s="275"/>
      <c r="C109" s="47" t="s">
        <v>55</v>
      </c>
      <c r="D109" s="85">
        <v>0</v>
      </c>
      <c r="E109" s="85">
        <v>160000</v>
      </c>
      <c r="F109" s="61">
        <v>70000</v>
      </c>
      <c r="G109" s="61">
        <f t="shared" si="10"/>
        <v>230000</v>
      </c>
      <c r="H109" s="85">
        <f t="shared" si="11"/>
        <v>230000</v>
      </c>
      <c r="I109" s="86" t="e">
        <f t="shared" si="12"/>
        <v>#DIV/0!</v>
      </c>
      <c r="J109" s="88"/>
    </row>
    <row r="110" spans="2:10" x14ac:dyDescent="0.25">
      <c r="B110" s="275"/>
      <c r="C110" s="47" t="s">
        <v>56</v>
      </c>
      <c r="D110" s="85">
        <v>0</v>
      </c>
      <c r="E110" s="85">
        <v>268000</v>
      </c>
      <c r="F110" s="61">
        <v>0</v>
      </c>
      <c r="G110" s="61">
        <f t="shared" si="10"/>
        <v>268000</v>
      </c>
      <c r="H110" s="85">
        <f t="shared" si="11"/>
        <v>268000</v>
      </c>
      <c r="I110" s="86" t="e">
        <f t="shared" si="12"/>
        <v>#DIV/0!</v>
      </c>
      <c r="J110" s="87"/>
    </row>
    <row r="111" spans="2:10" x14ac:dyDescent="0.25">
      <c r="B111" s="275"/>
      <c r="C111" s="47" t="s">
        <v>57</v>
      </c>
      <c r="D111" s="85">
        <v>0</v>
      </c>
      <c r="E111" s="85">
        <v>1858500</v>
      </c>
      <c r="F111" s="61">
        <f>50000+100000</f>
        <v>150000</v>
      </c>
      <c r="G111" s="61">
        <f t="shared" si="10"/>
        <v>2008500</v>
      </c>
      <c r="H111" s="85">
        <f t="shared" si="11"/>
        <v>2008500</v>
      </c>
      <c r="I111" s="86" t="e">
        <f t="shared" si="12"/>
        <v>#DIV/0!</v>
      </c>
      <c r="J111" s="87"/>
    </row>
    <row r="112" spans="2:10" x14ac:dyDescent="0.25">
      <c r="B112" s="275"/>
      <c r="C112" s="47" t="s">
        <v>58</v>
      </c>
      <c r="D112" s="85">
        <v>0</v>
      </c>
      <c r="E112" s="85">
        <v>756000</v>
      </c>
      <c r="F112" s="61">
        <v>0</v>
      </c>
      <c r="G112" s="61">
        <f t="shared" si="10"/>
        <v>756000</v>
      </c>
      <c r="H112" s="85">
        <f t="shared" si="11"/>
        <v>756000</v>
      </c>
      <c r="I112" s="86" t="e">
        <f t="shared" si="12"/>
        <v>#DIV/0!</v>
      </c>
      <c r="J112" s="87"/>
    </row>
    <row r="113" spans="2:10" x14ac:dyDescent="0.25">
      <c r="B113" s="275"/>
      <c r="C113" s="47" t="s">
        <v>59</v>
      </c>
      <c r="D113" s="85">
        <v>0</v>
      </c>
      <c r="E113" s="85">
        <v>160000</v>
      </c>
      <c r="F113" s="61">
        <v>0</v>
      </c>
      <c r="G113" s="61">
        <f t="shared" si="10"/>
        <v>160000</v>
      </c>
      <c r="H113" s="85">
        <f t="shared" si="11"/>
        <v>160000</v>
      </c>
      <c r="I113" s="86" t="e">
        <f t="shared" si="12"/>
        <v>#DIV/0!</v>
      </c>
      <c r="J113" s="87"/>
    </row>
    <row r="114" spans="2:10" x14ac:dyDescent="0.25">
      <c r="B114" s="275"/>
      <c r="C114" s="47" t="s">
        <v>60</v>
      </c>
      <c r="D114" s="85">
        <v>0</v>
      </c>
      <c r="E114" s="85">
        <v>150000</v>
      </c>
      <c r="F114" s="61">
        <v>0</v>
      </c>
      <c r="G114" s="61">
        <f t="shared" si="10"/>
        <v>150000</v>
      </c>
      <c r="H114" s="85">
        <f t="shared" si="11"/>
        <v>150000</v>
      </c>
      <c r="I114" s="86" t="e">
        <f t="shared" si="12"/>
        <v>#DIV/0!</v>
      </c>
      <c r="J114" s="87"/>
    </row>
    <row r="115" spans="2:10" x14ac:dyDescent="0.25">
      <c r="B115" s="275"/>
      <c r="C115" s="47" t="s">
        <v>61</v>
      </c>
      <c r="D115" s="85">
        <v>0</v>
      </c>
      <c r="E115" s="85">
        <v>100000</v>
      </c>
      <c r="F115" s="61">
        <v>0</v>
      </c>
      <c r="G115" s="61">
        <f t="shared" si="10"/>
        <v>100000</v>
      </c>
      <c r="H115" s="85">
        <f t="shared" si="11"/>
        <v>100000</v>
      </c>
      <c r="I115" s="86" t="e">
        <f t="shared" si="12"/>
        <v>#DIV/0!</v>
      </c>
      <c r="J115" s="87"/>
    </row>
    <row r="116" spans="2:10" x14ac:dyDescent="0.25">
      <c r="B116" s="275"/>
      <c r="C116" s="47" t="s">
        <v>324</v>
      </c>
      <c r="D116" s="85">
        <v>0</v>
      </c>
      <c r="E116" s="85">
        <v>0</v>
      </c>
      <c r="F116" s="61">
        <v>0</v>
      </c>
      <c r="G116" s="61">
        <f t="shared" si="10"/>
        <v>0</v>
      </c>
      <c r="H116" s="85">
        <f t="shared" si="11"/>
        <v>0</v>
      </c>
      <c r="I116" s="86" t="e">
        <f t="shared" si="12"/>
        <v>#DIV/0!</v>
      </c>
      <c r="J116" s="87"/>
    </row>
    <row r="117" spans="2:10" x14ac:dyDescent="0.25">
      <c r="B117" s="275"/>
      <c r="C117" s="47" t="s">
        <v>63</v>
      </c>
      <c r="D117" s="85">
        <v>0</v>
      </c>
      <c r="E117" s="85">
        <v>0</v>
      </c>
      <c r="F117" s="61">
        <v>0</v>
      </c>
      <c r="G117" s="61">
        <f t="shared" si="10"/>
        <v>0</v>
      </c>
      <c r="H117" s="85">
        <f t="shared" si="11"/>
        <v>0</v>
      </c>
      <c r="I117" s="86" t="e">
        <f t="shared" si="12"/>
        <v>#DIV/0!</v>
      </c>
      <c r="J117" s="87"/>
    </row>
    <row r="118" spans="2:10" x14ac:dyDescent="0.25">
      <c r="B118" s="275"/>
      <c r="C118" s="47" t="s">
        <v>64</v>
      </c>
      <c r="D118" s="85">
        <v>0</v>
      </c>
      <c r="E118" s="85">
        <v>0</v>
      </c>
      <c r="F118" s="61">
        <v>0</v>
      </c>
      <c r="G118" s="61">
        <f t="shared" si="10"/>
        <v>0</v>
      </c>
      <c r="H118" s="85">
        <f t="shared" si="11"/>
        <v>0</v>
      </c>
      <c r="I118" s="86" t="e">
        <f t="shared" si="12"/>
        <v>#DIV/0!</v>
      </c>
      <c r="J118" s="87"/>
    </row>
    <row r="119" spans="2:10" x14ac:dyDescent="0.25">
      <c r="B119" s="275"/>
      <c r="C119" s="47" t="s">
        <v>376</v>
      </c>
      <c r="D119" s="85">
        <v>0</v>
      </c>
      <c r="E119" s="85">
        <v>0</v>
      </c>
      <c r="F119" s="61">
        <v>0</v>
      </c>
      <c r="G119" s="61">
        <f t="shared" si="10"/>
        <v>0</v>
      </c>
      <c r="H119" s="85">
        <f t="shared" si="11"/>
        <v>0</v>
      </c>
      <c r="I119" s="86" t="e">
        <f t="shared" si="12"/>
        <v>#DIV/0!</v>
      </c>
      <c r="J119" s="87"/>
    </row>
    <row r="120" spans="2:10" x14ac:dyDescent="0.25">
      <c r="B120" s="275"/>
      <c r="C120" s="47" t="s">
        <v>373</v>
      </c>
      <c r="D120" s="85">
        <v>0</v>
      </c>
      <c r="E120" s="85">
        <v>0</v>
      </c>
      <c r="F120" s="61">
        <v>0</v>
      </c>
      <c r="G120" s="61">
        <f t="shared" si="10"/>
        <v>0</v>
      </c>
      <c r="H120" s="85">
        <f t="shared" si="11"/>
        <v>0</v>
      </c>
      <c r="I120" s="86" t="e">
        <f t="shared" si="12"/>
        <v>#DIV/0!</v>
      </c>
      <c r="J120" s="87"/>
    </row>
    <row r="121" spans="2:10" x14ac:dyDescent="0.25">
      <c r="B121" s="275"/>
      <c r="C121" s="47" t="s">
        <v>374</v>
      </c>
      <c r="D121" s="85">
        <v>0</v>
      </c>
      <c r="E121" s="85">
        <v>0</v>
      </c>
      <c r="F121" s="61">
        <v>0</v>
      </c>
      <c r="G121" s="61">
        <f t="shared" si="10"/>
        <v>0</v>
      </c>
      <c r="H121" s="85">
        <f t="shared" si="11"/>
        <v>0</v>
      </c>
      <c r="I121" s="86" t="e">
        <f t="shared" si="12"/>
        <v>#DIV/0!</v>
      </c>
      <c r="J121" s="87"/>
    </row>
    <row r="122" spans="2:10" x14ac:dyDescent="0.25">
      <c r="B122" s="275"/>
      <c r="C122" s="47"/>
      <c r="D122" s="47"/>
      <c r="E122" s="61"/>
      <c r="F122" s="61"/>
      <c r="G122" s="61"/>
      <c r="H122" s="85"/>
      <c r="I122" s="86"/>
      <c r="J122" s="87"/>
    </row>
    <row r="123" spans="2:10" x14ac:dyDescent="0.25">
      <c r="B123" s="275"/>
      <c r="C123" s="60" t="s">
        <v>14</v>
      </c>
      <c r="D123" s="135">
        <f>D103</f>
        <v>13500000</v>
      </c>
      <c r="E123" s="89">
        <f>SUM(E104:E121)</f>
        <v>14117000</v>
      </c>
      <c r="F123" s="89">
        <f>SUM(F104:F121)</f>
        <v>852000</v>
      </c>
      <c r="G123" s="89">
        <f>SUM(G104:G121)</f>
        <v>14969000</v>
      </c>
      <c r="H123" s="90">
        <f>SUM(H104:H117)</f>
        <v>14969000</v>
      </c>
      <c r="I123" s="91">
        <f>G123/D123%</f>
        <v>110.88148148148149</v>
      </c>
      <c r="J123" s="87"/>
    </row>
    <row r="124" spans="2:10" x14ac:dyDescent="0.25">
      <c r="B124" s="275"/>
      <c r="C124" s="47"/>
      <c r="D124" s="47"/>
      <c r="E124" s="61"/>
      <c r="F124" s="62"/>
      <c r="G124" s="61"/>
      <c r="H124" s="85"/>
      <c r="I124" s="85"/>
      <c r="J124" s="87"/>
    </row>
    <row r="125" spans="2:10" x14ac:dyDescent="0.25">
      <c r="B125" s="275" t="s">
        <v>15</v>
      </c>
      <c r="C125" s="60" t="s">
        <v>16</v>
      </c>
      <c r="D125" s="134">
        <v>4500000</v>
      </c>
      <c r="E125" s="61"/>
      <c r="F125" s="62"/>
      <c r="G125" s="61"/>
      <c r="H125" s="85"/>
      <c r="I125" s="85"/>
      <c r="J125" s="87"/>
    </row>
    <row r="126" spans="2:10" x14ac:dyDescent="0.25">
      <c r="B126" s="275"/>
      <c r="C126" s="47" t="s">
        <v>38</v>
      </c>
      <c r="D126" s="85">
        <v>0</v>
      </c>
      <c r="E126" s="85">
        <v>0</v>
      </c>
      <c r="F126" s="61">
        <v>7500</v>
      </c>
      <c r="G126" s="61">
        <f t="shared" ref="G126:G143" si="13">E126+F126</f>
        <v>7500</v>
      </c>
      <c r="H126" s="85">
        <f t="shared" ref="H126:H143" si="14">G126-D126</f>
        <v>7500</v>
      </c>
      <c r="I126" s="86" t="e">
        <f t="shared" ref="I126:I143" si="15">G126/D126%</f>
        <v>#DIV/0!</v>
      </c>
      <c r="J126" s="87"/>
    </row>
    <row r="127" spans="2:10" x14ac:dyDescent="0.25">
      <c r="B127" s="275"/>
      <c r="C127" s="47" t="s">
        <v>39</v>
      </c>
      <c r="D127" s="85">
        <v>0</v>
      </c>
      <c r="E127" s="85">
        <v>620000</v>
      </c>
      <c r="F127" s="61">
        <v>90000</v>
      </c>
      <c r="G127" s="61">
        <f t="shared" si="13"/>
        <v>710000</v>
      </c>
      <c r="H127" s="85">
        <f t="shared" si="14"/>
        <v>710000</v>
      </c>
      <c r="I127" s="86" t="e">
        <f t="shared" si="15"/>
        <v>#DIV/0!</v>
      </c>
      <c r="J127" s="87"/>
    </row>
    <row r="128" spans="2:10" x14ac:dyDescent="0.25">
      <c r="B128" s="275"/>
      <c r="C128" s="47" t="s">
        <v>40</v>
      </c>
      <c r="D128" s="85">
        <v>0</v>
      </c>
      <c r="E128" s="85">
        <v>1206000</v>
      </c>
      <c r="F128" s="61">
        <f>150000+200000+100000</f>
        <v>450000</v>
      </c>
      <c r="G128" s="61">
        <f t="shared" si="13"/>
        <v>1656000</v>
      </c>
      <c r="H128" s="85">
        <f t="shared" si="14"/>
        <v>1656000</v>
      </c>
      <c r="I128" s="86" t="e">
        <f t="shared" si="15"/>
        <v>#DIV/0!</v>
      </c>
      <c r="J128" s="87"/>
    </row>
    <row r="129" spans="2:10" x14ac:dyDescent="0.25">
      <c r="B129" s="275"/>
      <c r="C129" s="47" t="s">
        <v>41</v>
      </c>
      <c r="D129" s="85">
        <v>0</v>
      </c>
      <c r="E129" s="85">
        <v>50000</v>
      </c>
      <c r="F129" s="61">
        <v>0</v>
      </c>
      <c r="G129" s="61">
        <f t="shared" si="13"/>
        <v>50000</v>
      </c>
      <c r="H129" s="85">
        <f t="shared" si="14"/>
        <v>50000</v>
      </c>
      <c r="I129" s="86" t="e">
        <f t="shared" si="15"/>
        <v>#DIV/0!</v>
      </c>
      <c r="J129" s="87"/>
    </row>
    <row r="130" spans="2:10" x14ac:dyDescent="0.25">
      <c r="B130" s="275"/>
      <c r="C130" s="47" t="s">
        <v>50</v>
      </c>
      <c r="D130" s="85">
        <v>0</v>
      </c>
      <c r="E130" s="85">
        <v>0</v>
      </c>
      <c r="F130" s="61">
        <v>0</v>
      </c>
      <c r="G130" s="61">
        <f t="shared" si="13"/>
        <v>0</v>
      </c>
      <c r="H130" s="85">
        <f t="shared" si="14"/>
        <v>0</v>
      </c>
      <c r="I130" s="86" t="e">
        <f t="shared" si="15"/>
        <v>#DIV/0!</v>
      </c>
      <c r="J130" s="87"/>
    </row>
    <row r="131" spans="2:10" x14ac:dyDescent="0.25">
      <c r="B131" s="275"/>
      <c r="C131" s="47" t="s">
        <v>51</v>
      </c>
      <c r="D131" s="85">
        <v>0</v>
      </c>
      <c r="E131" s="85">
        <v>20000</v>
      </c>
      <c r="F131" s="61">
        <v>0</v>
      </c>
      <c r="G131" s="61">
        <f t="shared" si="13"/>
        <v>20000</v>
      </c>
      <c r="H131" s="85">
        <f t="shared" si="14"/>
        <v>20000</v>
      </c>
      <c r="I131" s="86" t="e">
        <f t="shared" si="15"/>
        <v>#DIV/0!</v>
      </c>
      <c r="J131" s="87"/>
    </row>
    <row r="132" spans="2:10" x14ac:dyDescent="0.25">
      <c r="B132" s="275"/>
      <c r="C132" s="47" t="s">
        <v>49</v>
      </c>
      <c r="D132" s="85">
        <v>0</v>
      </c>
      <c r="E132" s="85">
        <v>0</v>
      </c>
      <c r="F132" s="61">
        <v>0</v>
      </c>
      <c r="G132" s="61">
        <f t="shared" si="13"/>
        <v>0</v>
      </c>
      <c r="H132" s="85">
        <f t="shared" si="14"/>
        <v>0</v>
      </c>
      <c r="I132" s="86" t="e">
        <f t="shared" si="15"/>
        <v>#DIV/0!</v>
      </c>
      <c r="J132" s="87"/>
    </row>
    <row r="133" spans="2:10" x14ac:dyDescent="0.25">
      <c r="B133" s="275"/>
      <c r="C133" s="47" t="s">
        <v>79</v>
      </c>
      <c r="D133" s="85">
        <v>0</v>
      </c>
      <c r="E133" s="85">
        <v>0</v>
      </c>
      <c r="F133" s="61">
        <v>0</v>
      </c>
      <c r="G133" s="61">
        <f t="shared" si="13"/>
        <v>0</v>
      </c>
      <c r="H133" s="85">
        <f t="shared" si="14"/>
        <v>0</v>
      </c>
      <c r="I133" s="86" t="e">
        <f t="shared" si="15"/>
        <v>#DIV/0!</v>
      </c>
      <c r="J133" s="87"/>
    </row>
    <row r="134" spans="2:10" x14ac:dyDescent="0.25">
      <c r="B134" s="275"/>
      <c r="C134" s="47" t="s">
        <v>375</v>
      </c>
      <c r="D134" s="85">
        <v>0</v>
      </c>
      <c r="E134" s="85">
        <v>0</v>
      </c>
      <c r="F134" s="61">
        <v>0</v>
      </c>
      <c r="G134" s="61">
        <f t="shared" si="13"/>
        <v>0</v>
      </c>
      <c r="H134" s="85">
        <f t="shared" si="14"/>
        <v>0</v>
      </c>
      <c r="I134" s="86" t="e">
        <f t="shared" si="15"/>
        <v>#DIV/0!</v>
      </c>
      <c r="J134" s="87"/>
    </row>
    <row r="135" spans="2:10" x14ac:dyDescent="0.25">
      <c r="B135" s="275"/>
      <c r="C135" s="47" t="s">
        <v>71</v>
      </c>
      <c r="D135" s="85">
        <v>0</v>
      </c>
      <c r="E135" s="85">
        <v>1402000</v>
      </c>
      <c r="F135" s="61">
        <f>100000</f>
        <v>100000</v>
      </c>
      <c r="G135" s="61">
        <f t="shared" si="13"/>
        <v>1502000</v>
      </c>
      <c r="H135" s="85">
        <f t="shared" si="14"/>
        <v>1502000</v>
      </c>
      <c r="I135" s="86" t="e">
        <f t="shared" si="15"/>
        <v>#DIV/0!</v>
      </c>
      <c r="J135" s="87"/>
    </row>
    <row r="136" spans="2:10" x14ac:dyDescent="0.25">
      <c r="B136" s="275"/>
      <c r="C136" s="47" t="s">
        <v>72</v>
      </c>
      <c r="D136" s="85">
        <v>0</v>
      </c>
      <c r="E136" s="85">
        <v>0</v>
      </c>
      <c r="F136" s="61">
        <v>0</v>
      </c>
      <c r="G136" s="61">
        <f t="shared" si="13"/>
        <v>0</v>
      </c>
      <c r="H136" s="85">
        <f t="shared" si="14"/>
        <v>0</v>
      </c>
      <c r="I136" s="86" t="e">
        <f t="shared" si="15"/>
        <v>#DIV/0!</v>
      </c>
      <c r="J136" s="87"/>
    </row>
    <row r="137" spans="2:10" x14ac:dyDescent="0.25">
      <c r="B137" s="275"/>
      <c r="C137" s="47" t="s">
        <v>70</v>
      </c>
      <c r="D137" s="85">
        <v>0</v>
      </c>
      <c r="E137" s="85">
        <v>0</v>
      </c>
      <c r="F137" s="61">
        <v>0</v>
      </c>
      <c r="G137" s="61">
        <f>E137+F137</f>
        <v>0</v>
      </c>
      <c r="H137" s="85">
        <f t="shared" si="14"/>
        <v>0</v>
      </c>
      <c r="I137" s="86" t="e">
        <f t="shared" si="15"/>
        <v>#DIV/0!</v>
      </c>
      <c r="J137" s="87"/>
    </row>
    <row r="138" spans="2:10" x14ac:dyDescent="0.25">
      <c r="B138" s="275"/>
      <c r="C138" s="47" t="s">
        <v>73</v>
      </c>
      <c r="D138" s="85">
        <v>0</v>
      </c>
      <c r="E138" s="85">
        <v>0</v>
      </c>
      <c r="F138" s="61">
        <v>0</v>
      </c>
      <c r="G138" s="61">
        <f t="shared" si="13"/>
        <v>0</v>
      </c>
      <c r="H138" s="85">
        <f t="shared" si="14"/>
        <v>0</v>
      </c>
      <c r="I138" s="86" t="e">
        <f t="shared" si="15"/>
        <v>#DIV/0!</v>
      </c>
      <c r="J138" s="87"/>
    </row>
    <row r="139" spans="2:10" x14ac:dyDescent="0.25">
      <c r="B139" s="275"/>
      <c r="C139" s="47" t="s">
        <v>74</v>
      </c>
      <c r="D139" s="85">
        <v>0</v>
      </c>
      <c r="E139" s="85">
        <v>0</v>
      </c>
      <c r="F139" s="61">
        <v>0</v>
      </c>
      <c r="G139" s="61">
        <f t="shared" si="13"/>
        <v>0</v>
      </c>
      <c r="H139" s="85">
        <f t="shared" si="14"/>
        <v>0</v>
      </c>
      <c r="I139" s="86" t="e">
        <f t="shared" si="15"/>
        <v>#DIV/0!</v>
      </c>
      <c r="J139" s="87"/>
    </row>
    <row r="140" spans="2:10" x14ac:dyDescent="0.25">
      <c r="B140" s="275"/>
      <c r="C140" s="47" t="s">
        <v>75</v>
      </c>
      <c r="D140" s="85">
        <v>0</v>
      </c>
      <c r="E140" s="85">
        <v>0</v>
      </c>
      <c r="F140" s="61">
        <v>0</v>
      </c>
      <c r="G140" s="61">
        <f t="shared" si="13"/>
        <v>0</v>
      </c>
      <c r="H140" s="85">
        <f t="shared" si="14"/>
        <v>0</v>
      </c>
      <c r="I140" s="86" t="e">
        <f t="shared" si="15"/>
        <v>#DIV/0!</v>
      </c>
      <c r="J140" s="87"/>
    </row>
    <row r="141" spans="2:10" x14ac:dyDescent="0.25">
      <c r="B141" s="275"/>
      <c r="C141" s="47" t="s">
        <v>76</v>
      </c>
      <c r="D141" s="85">
        <v>0</v>
      </c>
      <c r="E141" s="85">
        <v>0</v>
      </c>
      <c r="F141" s="61">
        <v>0</v>
      </c>
      <c r="G141" s="61">
        <f t="shared" si="13"/>
        <v>0</v>
      </c>
      <c r="H141" s="85">
        <f t="shared" si="14"/>
        <v>0</v>
      </c>
      <c r="I141" s="86" t="e">
        <f t="shared" si="15"/>
        <v>#DIV/0!</v>
      </c>
      <c r="J141" s="87"/>
    </row>
    <row r="142" spans="2:10" x14ac:dyDescent="0.25">
      <c r="B142" s="275"/>
      <c r="C142" s="47" t="s">
        <v>77</v>
      </c>
      <c r="D142" s="85">
        <v>0</v>
      </c>
      <c r="E142" s="85">
        <v>0</v>
      </c>
      <c r="F142" s="61">
        <v>0</v>
      </c>
      <c r="G142" s="61">
        <f t="shared" si="13"/>
        <v>0</v>
      </c>
      <c r="H142" s="85">
        <f t="shared" si="14"/>
        <v>0</v>
      </c>
      <c r="I142" s="86" t="e">
        <f t="shared" si="15"/>
        <v>#DIV/0!</v>
      </c>
      <c r="J142" s="87"/>
    </row>
    <row r="143" spans="2:10" x14ac:dyDescent="0.25">
      <c r="B143" s="275"/>
      <c r="C143" s="47" t="s">
        <v>323</v>
      </c>
      <c r="D143" s="85">
        <v>0</v>
      </c>
      <c r="E143" s="85">
        <v>0</v>
      </c>
      <c r="F143" s="61">
        <v>0</v>
      </c>
      <c r="G143" s="61">
        <f t="shared" si="13"/>
        <v>0</v>
      </c>
      <c r="H143" s="85">
        <f t="shared" si="14"/>
        <v>0</v>
      </c>
      <c r="I143" s="86" t="e">
        <f t="shared" si="15"/>
        <v>#DIV/0!</v>
      </c>
      <c r="J143" s="87"/>
    </row>
    <row r="144" spans="2:10" x14ac:dyDescent="0.25">
      <c r="B144" s="275"/>
      <c r="C144" s="47"/>
      <c r="D144" s="85"/>
      <c r="E144" s="61"/>
      <c r="F144" s="61"/>
      <c r="G144" s="61"/>
      <c r="H144" s="85"/>
      <c r="I144" s="85"/>
      <c r="J144" s="87"/>
    </row>
    <row r="145" spans="2:10" x14ac:dyDescent="0.25">
      <c r="B145" s="275"/>
      <c r="C145" s="60" t="s">
        <v>17</v>
      </c>
      <c r="D145" s="136">
        <f>D125</f>
        <v>4500000</v>
      </c>
      <c r="E145" s="89">
        <f>SUM(E126:E143)</f>
        <v>3298000</v>
      </c>
      <c r="F145" s="89">
        <f>SUM(F126:F143)</f>
        <v>647500</v>
      </c>
      <c r="G145" s="89">
        <f>SUM(G126:G143)</f>
        <v>3945500</v>
      </c>
      <c r="H145" s="90">
        <f>SUM(H126:H143)</f>
        <v>3945500</v>
      </c>
      <c r="I145" s="91">
        <f>G145/D145%</f>
        <v>87.677777777777777</v>
      </c>
      <c r="J145" s="87"/>
    </row>
    <row r="146" spans="2:10" x14ac:dyDescent="0.25">
      <c r="B146" s="275"/>
      <c r="C146" s="47"/>
      <c r="D146" s="47"/>
      <c r="E146" s="61"/>
      <c r="F146" s="62"/>
      <c r="G146" s="61"/>
      <c r="H146" s="85"/>
      <c r="I146" s="85"/>
      <c r="J146" s="87"/>
    </row>
    <row r="147" spans="2:10" x14ac:dyDescent="0.25">
      <c r="B147" s="275" t="s">
        <v>18</v>
      </c>
      <c r="C147" s="60" t="s">
        <v>19</v>
      </c>
      <c r="D147" s="134"/>
      <c r="E147" s="61"/>
      <c r="F147" s="62"/>
      <c r="G147" s="61"/>
      <c r="H147" s="85"/>
      <c r="I147" s="85"/>
      <c r="J147" s="87"/>
    </row>
    <row r="148" spans="2:10" x14ac:dyDescent="0.25">
      <c r="B148" s="275"/>
      <c r="C148" s="47" t="s">
        <v>42</v>
      </c>
      <c r="D148" s="85">
        <v>0</v>
      </c>
      <c r="E148" s="85">
        <v>0</v>
      </c>
      <c r="F148" s="61">
        <v>0</v>
      </c>
      <c r="G148" s="61">
        <f>E148+F148</f>
        <v>0</v>
      </c>
      <c r="H148" s="85">
        <f t="shared" ref="H148:H161" si="16">G148-D148</f>
        <v>0</v>
      </c>
      <c r="I148" s="86" t="e">
        <f t="shared" ref="I148:I161" si="17">G148/D148%</f>
        <v>#DIV/0!</v>
      </c>
      <c r="J148" s="87"/>
    </row>
    <row r="149" spans="2:10" x14ac:dyDescent="0.25">
      <c r="B149" s="275"/>
      <c r="C149" s="47" t="s">
        <v>43</v>
      </c>
      <c r="D149" s="85">
        <v>0</v>
      </c>
      <c r="E149" s="85">
        <v>0</v>
      </c>
      <c r="F149" s="61">
        <v>0</v>
      </c>
      <c r="G149" s="61">
        <f t="shared" ref="G149:G161" si="18">E149+F149</f>
        <v>0</v>
      </c>
      <c r="H149" s="85">
        <f t="shared" si="16"/>
        <v>0</v>
      </c>
      <c r="I149" s="86" t="e">
        <f t="shared" si="17"/>
        <v>#DIV/0!</v>
      </c>
      <c r="J149" s="87"/>
    </row>
    <row r="150" spans="2:10" x14ac:dyDescent="0.25">
      <c r="B150" s="275"/>
      <c r="C150" s="47" t="s">
        <v>44</v>
      </c>
      <c r="D150" s="85">
        <v>0</v>
      </c>
      <c r="E150" s="85">
        <v>0</v>
      </c>
      <c r="F150" s="61">
        <v>0</v>
      </c>
      <c r="G150" s="61">
        <f t="shared" si="18"/>
        <v>0</v>
      </c>
      <c r="H150" s="85">
        <f t="shared" si="16"/>
        <v>0</v>
      </c>
      <c r="I150" s="86" t="e">
        <f t="shared" si="17"/>
        <v>#DIV/0!</v>
      </c>
      <c r="J150" s="87"/>
    </row>
    <row r="151" spans="2:10" x14ac:dyDescent="0.25">
      <c r="B151" s="275"/>
      <c r="C151" s="47" t="s">
        <v>45</v>
      </c>
      <c r="D151" s="85">
        <v>0</v>
      </c>
      <c r="E151" s="85">
        <v>0</v>
      </c>
      <c r="F151" s="61">
        <v>0</v>
      </c>
      <c r="G151" s="61">
        <f t="shared" si="18"/>
        <v>0</v>
      </c>
      <c r="H151" s="85">
        <f t="shared" si="16"/>
        <v>0</v>
      </c>
      <c r="I151" s="86" t="e">
        <f t="shared" si="17"/>
        <v>#DIV/0!</v>
      </c>
      <c r="J151" s="87"/>
    </row>
    <row r="152" spans="2:10" x14ac:dyDescent="0.25">
      <c r="B152" s="275"/>
      <c r="C152" s="47" t="s">
        <v>46</v>
      </c>
      <c r="D152" s="85">
        <v>0</v>
      </c>
      <c r="E152" s="85">
        <v>0</v>
      </c>
      <c r="F152" s="92">
        <v>0</v>
      </c>
      <c r="G152" s="61">
        <f t="shared" si="18"/>
        <v>0</v>
      </c>
      <c r="H152" s="85">
        <f t="shared" si="16"/>
        <v>0</v>
      </c>
      <c r="I152" s="86" t="e">
        <f t="shared" si="17"/>
        <v>#DIV/0!</v>
      </c>
      <c r="J152" s="87"/>
    </row>
    <row r="153" spans="2:10" x14ac:dyDescent="0.25">
      <c r="B153" s="275"/>
      <c r="C153" s="47" t="s">
        <v>88</v>
      </c>
      <c r="D153" s="85">
        <v>0</v>
      </c>
      <c r="E153" s="85">
        <v>0</v>
      </c>
      <c r="F153" s="61">
        <v>0</v>
      </c>
      <c r="G153" s="61">
        <f t="shared" si="18"/>
        <v>0</v>
      </c>
      <c r="H153" s="85">
        <f t="shared" si="16"/>
        <v>0</v>
      </c>
      <c r="I153" s="86" t="e">
        <f t="shared" si="17"/>
        <v>#DIV/0!</v>
      </c>
      <c r="J153" s="87"/>
    </row>
    <row r="154" spans="2:10" x14ac:dyDescent="0.25">
      <c r="B154" s="275"/>
      <c r="C154" s="47" t="s">
        <v>80</v>
      </c>
      <c r="D154" s="85">
        <v>0</v>
      </c>
      <c r="E154" s="85">
        <v>0</v>
      </c>
      <c r="F154" s="61">
        <v>0</v>
      </c>
      <c r="G154" s="61">
        <f t="shared" si="18"/>
        <v>0</v>
      </c>
      <c r="H154" s="85">
        <f t="shared" si="16"/>
        <v>0</v>
      </c>
      <c r="I154" s="86" t="e">
        <f t="shared" si="17"/>
        <v>#DIV/0!</v>
      </c>
      <c r="J154" s="87"/>
    </row>
    <row r="155" spans="2:10" x14ac:dyDescent="0.25">
      <c r="B155" s="275"/>
      <c r="C155" s="47" t="s">
        <v>86</v>
      </c>
      <c r="D155" s="85">
        <v>0</v>
      </c>
      <c r="E155" s="85">
        <v>0</v>
      </c>
      <c r="F155" s="61">
        <v>0</v>
      </c>
      <c r="G155" s="61">
        <f t="shared" si="18"/>
        <v>0</v>
      </c>
      <c r="H155" s="85">
        <f t="shared" si="16"/>
        <v>0</v>
      </c>
      <c r="I155" s="86" t="e">
        <f t="shared" si="17"/>
        <v>#DIV/0!</v>
      </c>
      <c r="J155" s="87"/>
    </row>
    <row r="156" spans="2:10" x14ac:dyDescent="0.25">
      <c r="B156" s="275"/>
      <c r="C156" s="47" t="s">
        <v>87</v>
      </c>
      <c r="D156" s="85">
        <v>0</v>
      </c>
      <c r="E156" s="85">
        <v>53000</v>
      </c>
      <c r="F156" s="61">
        <v>0</v>
      </c>
      <c r="G156" s="61">
        <f t="shared" si="18"/>
        <v>53000</v>
      </c>
      <c r="H156" s="85">
        <f t="shared" si="16"/>
        <v>53000</v>
      </c>
      <c r="I156" s="86" t="e">
        <f t="shared" si="17"/>
        <v>#DIV/0!</v>
      </c>
      <c r="J156" s="87"/>
    </row>
    <row r="157" spans="2:10" x14ac:dyDescent="0.25">
      <c r="B157" s="275"/>
      <c r="C157" s="47" t="s">
        <v>81</v>
      </c>
      <c r="D157" s="85">
        <v>0</v>
      </c>
      <c r="E157" s="85">
        <v>0</v>
      </c>
      <c r="F157" s="61">
        <v>0</v>
      </c>
      <c r="G157" s="61">
        <f t="shared" si="18"/>
        <v>0</v>
      </c>
      <c r="H157" s="85">
        <f t="shared" si="16"/>
        <v>0</v>
      </c>
      <c r="I157" s="86" t="e">
        <f t="shared" si="17"/>
        <v>#DIV/0!</v>
      </c>
      <c r="J157" s="87"/>
    </row>
    <row r="158" spans="2:10" x14ac:dyDescent="0.25">
      <c r="B158" s="275"/>
      <c r="C158" s="47" t="s">
        <v>82</v>
      </c>
      <c r="D158" s="85">
        <v>0</v>
      </c>
      <c r="E158" s="85">
        <v>5000</v>
      </c>
      <c r="F158" s="61">
        <v>0</v>
      </c>
      <c r="G158" s="61">
        <f t="shared" si="18"/>
        <v>5000</v>
      </c>
      <c r="H158" s="85">
        <f t="shared" si="16"/>
        <v>5000</v>
      </c>
      <c r="I158" s="86" t="e">
        <f t="shared" si="17"/>
        <v>#DIV/0!</v>
      </c>
      <c r="J158" s="87"/>
    </row>
    <row r="159" spans="2:10" x14ac:dyDescent="0.25">
      <c r="B159" s="275"/>
      <c r="C159" s="47" t="s">
        <v>83</v>
      </c>
      <c r="D159" s="85">
        <v>0</v>
      </c>
      <c r="E159" s="85">
        <v>0</v>
      </c>
      <c r="F159" s="61">
        <v>0</v>
      </c>
      <c r="G159" s="61">
        <f t="shared" si="18"/>
        <v>0</v>
      </c>
      <c r="H159" s="85">
        <f t="shared" si="16"/>
        <v>0</v>
      </c>
      <c r="I159" s="86" t="e">
        <f t="shared" si="17"/>
        <v>#DIV/0!</v>
      </c>
      <c r="J159" s="87"/>
    </row>
    <row r="160" spans="2:10" x14ac:dyDescent="0.25">
      <c r="B160" s="275"/>
      <c r="C160" s="47" t="s">
        <v>84</v>
      </c>
      <c r="D160" s="85">
        <v>0</v>
      </c>
      <c r="E160" s="85">
        <v>0</v>
      </c>
      <c r="F160" s="61">
        <v>0</v>
      </c>
      <c r="G160" s="61">
        <f t="shared" si="18"/>
        <v>0</v>
      </c>
      <c r="H160" s="85">
        <f t="shared" si="16"/>
        <v>0</v>
      </c>
      <c r="I160" s="86" t="e">
        <f t="shared" si="17"/>
        <v>#DIV/0!</v>
      </c>
      <c r="J160" s="87"/>
    </row>
    <row r="161" spans="2:10" x14ac:dyDescent="0.25">
      <c r="B161" s="275"/>
      <c r="C161" s="47" t="s">
        <v>85</v>
      </c>
      <c r="D161" s="85">
        <v>0</v>
      </c>
      <c r="E161" s="85">
        <v>0</v>
      </c>
      <c r="F161" s="61">
        <v>0</v>
      </c>
      <c r="G161" s="61">
        <f t="shared" si="18"/>
        <v>0</v>
      </c>
      <c r="H161" s="85">
        <f t="shared" si="16"/>
        <v>0</v>
      </c>
      <c r="I161" s="86" t="e">
        <f t="shared" si="17"/>
        <v>#DIV/0!</v>
      </c>
      <c r="J161" s="87"/>
    </row>
    <row r="162" spans="2:10" x14ac:dyDescent="0.25">
      <c r="B162" s="275"/>
      <c r="C162" s="47"/>
      <c r="D162" s="85"/>
      <c r="E162" s="61"/>
      <c r="F162" s="61"/>
      <c r="G162" s="61"/>
      <c r="H162" s="85"/>
      <c r="I162" s="85"/>
      <c r="J162" s="87"/>
    </row>
    <row r="163" spans="2:10" x14ac:dyDescent="0.25">
      <c r="B163" s="275"/>
      <c r="C163" s="60" t="s">
        <v>20</v>
      </c>
      <c r="D163" s="136">
        <f>D147</f>
        <v>0</v>
      </c>
      <c r="E163" s="89">
        <f>SUM(E148:E161)</f>
        <v>58000</v>
      </c>
      <c r="F163" s="89">
        <f>SUM(F148:F161)</f>
        <v>0</v>
      </c>
      <c r="G163" s="89">
        <f>SUM(G148:G161)</f>
        <v>58000</v>
      </c>
      <c r="H163" s="90">
        <f>SUM(H148:H157)</f>
        <v>53000</v>
      </c>
      <c r="I163" s="91" t="e">
        <f>G163/D163%</f>
        <v>#DIV/0!</v>
      </c>
      <c r="J163" s="87"/>
    </row>
    <row r="164" spans="2:10" ht="15.75" thickBot="1" x14ac:dyDescent="0.3">
      <c r="B164" s="279"/>
      <c r="C164" s="292"/>
      <c r="D164" s="292"/>
      <c r="E164" s="293"/>
      <c r="F164" s="294"/>
      <c r="G164" s="293"/>
      <c r="H164" s="295"/>
      <c r="I164" s="295"/>
      <c r="J164" s="121"/>
    </row>
    <row r="165" spans="2:10" ht="15.75" thickBot="1" x14ac:dyDescent="0.3">
      <c r="B165" s="289"/>
      <c r="C165" s="290" t="s">
        <v>21</v>
      </c>
      <c r="D165" s="116">
        <f>D123+D145+D163</f>
        <v>18000000</v>
      </c>
      <c r="E165" s="117">
        <f>E123+E145+E163</f>
        <v>17473000</v>
      </c>
      <c r="F165" s="118">
        <f>F123+F145+F163</f>
        <v>1499500</v>
      </c>
      <c r="G165" s="117">
        <f>G123+G145+G163</f>
        <v>18972500</v>
      </c>
      <c r="H165" s="119">
        <f>H123+H145+H163</f>
        <v>18967500</v>
      </c>
      <c r="I165" s="120">
        <f>G165/D165%</f>
        <v>105.40277777777777</v>
      </c>
      <c r="J165" s="291"/>
    </row>
    <row r="166" spans="2:10" x14ac:dyDescent="0.25">
      <c r="B166" s="280"/>
      <c r="C166" s="75"/>
      <c r="D166" s="75"/>
      <c r="E166" s="75"/>
      <c r="F166" s="75"/>
      <c r="G166" s="76"/>
      <c r="H166" s="75"/>
      <c r="I166" s="75"/>
      <c r="J166" s="75"/>
    </row>
    <row r="167" spans="2:10" x14ac:dyDescent="0.25">
      <c r="B167" s="280"/>
      <c r="C167" s="75"/>
      <c r="D167" s="75"/>
      <c r="E167" s="75"/>
      <c r="F167" s="75"/>
      <c r="G167" s="76"/>
      <c r="H167" s="75"/>
      <c r="I167" s="75"/>
      <c r="J167" s="75"/>
    </row>
    <row r="168" spans="2:10" x14ac:dyDescent="0.25">
      <c r="B168" s="280"/>
      <c r="C168" s="75"/>
      <c r="D168" s="75"/>
      <c r="E168" s="122" t="s">
        <v>25</v>
      </c>
      <c r="F168" s="123" t="s">
        <v>26</v>
      </c>
      <c r="G168" s="124" t="e">
        <f>#REF!</f>
        <v>#REF!</v>
      </c>
      <c r="H168" s="75"/>
      <c r="I168" s="75"/>
      <c r="J168" s="75"/>
    </row>
    <row r="169" spans="2:10" ht="19.5" x14ac:dyDescent="0.55000000000000004">
      <c r="B169" s="280"/>
      <c r="C169" s="75"/>
      <c r="D169" s="75"/>
      <c r="E169" s="122" t="s">
        <v>29</v>
      </c>
      <c r="F169" s="123" t="s">
        <v>26</v>
      </c>
      <c r="G169" s="126">
        <v>0</v>
      </c>
      <c r="H169" s="75" t="s">
        <v>28</v>
      </c>
      <c r="I169" s="75"/>
      <c r="J169" s="75"/>
    </row>
    <row r="170" spans="2:10" ht="15.75" thickBot="1" x14ac:dyDescent="0.3">
      <c r="B170" s="280"/>
      <c r="C170" s="75"/>
      <c r="D170" s="75"/>
      <c r="E170" s="122" t="s">
        <v>30</v>
      </c>
      <c r="F170" s="123"/>
      <c r="G170" s="127" t="e">
        <f>SUM(G168:G169)</f>
        <v>#REF!</v>
      </c>
      <c r="H170" s="160" t="s">
        <v>126</v>
      </c>
      <c r="I170" s="27"/>
      <c r="J170" s="75"/>
    </row>
    <row r="171" spans="2:10" ht="15.75" thickTop="1" x14ac:dyDescent="0.25">
      <c r="B171" s="282"/>
      <c r="C171" s="27"/>
      <c r="D171" s="27"/>
      <c r="E171" s="27"/>
      <c r="F171" s="27"/>
      <c r="G171" s="403" t="str">
        <f>G90</f>
        <v>Jalang'E 01 November 2019</v>
      </c>
      <c r="H171" s="403"/>
      <c r="I171" s="403"/>
      <c r="J171" s="27"/>
    </row>
    <row r="172" spans="2:10" x14ac:dyDescent="0.25">
      <c r="B172" s="285"/>
    </row>
    <row r="173" spans="2:10" x14ac:dyDescent="0.25">
      <c r="B173" s="285"/>
      <c r="G173" s="166" t="e">
        <f>G165-G168</f>
        <v>#REF!</v>
      </c>
    </row>
    <row r="174" spans="2:10" x14ac:dyDescent="0.25">
      <c r="B174" s="285"/>
    </row>
  </sheetData>
  <mergeCells count="19">
    <mergeCell ref="G90:I90"/>
    <mergeCell ref="G171:I171"/>
    <mergeCell ref="J5:J6"/>
    <mergeCell ref="B98:I98"/>
    <mergeCell ref="B99:I99"/>
    <mergeCell ref="B100:B101"/>
    <mergeCell ref="C100:C101"/>
    <mergeCell ref="D100:D101"/>
    <mergeCell ref="E100:G100"/>
    <mergeCell ref="H100:I100"/>
    <mergeCell ref="J100:J101"/>
    <mergeCell ref="B2:I2"/>
    <mergeCell ref="B3:I3"/>
    <mergeCell ref="B4:I4"/>
    <mergeCell ref="B5:B6"/>
    <mergeCell ref="C5:C6"/>
    <mergeCell ref="D5:D6"/>
    <mergeCell ref="E5:G5"/>
    <mergeCell ref="H5:I5"/>
  </mergeCells>
  <pageMargins left="0.84" right="0.12" top="0.17" bottom="0.12" header="0.3" footer="0.25"/>
  <pageSetup paperSize="9" scale="63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B2:J174"/>
  <sheetViews>
    <sheetView zoomScale="90" zoomScaleNormal="90" workbookViewId="0">
      <pane ySplit="6" topLeftCell="A79" activePane="bottomLeft" state="frozen"/>
      <selection pane="bottomLeft" activeCell="B2" sqref="B2:I90"/>
    </sheetView>
  </sheetViews>
  <sheetFormatPr defaultRowHeight="15" x14ac:dyDescent="0.25"/>
  <cols>
    <col min="2" max="2" width="6.140625" customWidth="1"/>
    <col min="3" max="3" width="36.5703125" customWidth="1"/>
    <col min="4" max="4" width="17.7109375" customWidth="1"/>
    <col min="5" max="5" width="18" customWidth="1"/>
    <col min="6" max="6" width="19.140625" customWidth="1"/>
    <col min="7" max="7" width="18.28515625" customWidth="1"/>
    <col min="8" max="8" width="16" customWidth="1"/>
    <col min="10" max="10" width="18.85546875" customWidth="1"/>
  </cols>
  <sheetData>
    <row r="2" spans="2:10" x14ac:dyDescent="0.25">
      <c r="B2" s="392" t="s">
        <v>385</v>
      </c>
      <c r="C2" s="392"/>
      <c r="D2" s="392"/>
      <c r="E2" s="392"/>
      <c r="F2" s="392"/>
      <c r="G2" s="392"/>
      <c r="H2" s="392"/>
      <c r="I2" s="392"/>
      <c r="J2" s="75"/>
    </row>
    <row r="3" spans="2:10" x14ac:dyDescent="0.25">
      <c r="B3" s="392" t="s">
        <v>392</v>
      </c>
      <c r="C3" s="392"/>
      <c r="D3" s="392"/>
      <c r="E3" s="392"/>
      <c r="F3" s="392"/>
      <c r="G3" s="392"/>
      <c r="H3" s="392"/>
      <c r="I3" s="392"/>
      <c r="J3" s="75"/>
    </row>
    <row r="4" spans="2:10" ht="15.75" thickBot="1" x14ac:dyDescent="0.3">
      <c r="B4" s="393" t="s">
        <v>1</v>
      </c>
      <c r="C4" s="393"/>
      <c r="D4" s="393"/>
      <c r="E4" s="393"/>
      <c r="F4" s="393"/>
      <c r="G4" s="393"/>
      <c r="H4" s="393"/>
      <c r="I4" s="393"/>
      <c r="J4" s="78"/>
    </row>
    <row r="5" spans="2:10" x14ac:dyDescent="0.25">
      <c r="B5" s="418" t="s">
        <v>2</v>
      </c>
      <c r="C5" s="396" t="s">
        <v>3</v>
      </c>
      <c r="D5" s="398" t="s">
        <v>4</v>
      </c>
      <c r="E5" s="400" t="s">
        <v>5</v>
      </c>
      <c r="F5" s="401"/>
      <c r="G5" s="402"/>
      <c r="H5" s="401" t="s">
        <v>6</v>
      </c>
      <c r="I5" s="402"/>
      <c r="J5" s="404" t="s">
        <v>0</v>
      </c>
    </row>
    <row r="6" spans="2:10" ht="15.75" thickBot="1" x14ac:dyDescent="0.3">
      <c r="B6" s="419"/>
      <c r="C6" s="397"/>
      <c r="D6" s="399"/>
      <c r="E6" s="147" t="s">
        <v>328</v>
      </c>
      <c r="F6" s="148" t="s">
        <v>339</v>
      </c>
      <c r="G6" s="79" t="s">
        <v>7</v>
      </c>
      <c r="H6" s="80" t="s">
        <v>8</v>
      </c>
      <c r="I6" s="81" t="s">
        <v>9</v>
      </c>
      <c r="J6" s="405"/>
    </row>
    <row r="7" spans="2:10" x14ac:dyDescent="0.25">
      <c r="B7" s="274"/>
      <c r="C7" s="41" t="s">
        <v>10</v>
      </c>
      <c r="D7" s="82"/>
      <c r="E7" s="42"/>
      <c r="F7" s="42"/>
      <c r="G7" s="41"/>
      <c r="H7" s="42"/>
      <c r="I7" s="42"/>
      <c r="J7" s="83"/>
    </row>
    <row r="8" spans="2:10" x14ac:dyDescent="0.25">
      <c r="B8" s="274" t="s">
        <v>12</v>
      </c>
      <c r="C8" s="44" t="s">
        <v>13</v>
      </c>
      <c r="D8" s="45"/>
      <c r="E8" s="45"/>
      <c r="F8" s="45"/>
      <c r="G8" s="59"/>
      <c r="H8" s="45"/>
      <c r="I8" s="45"/>
      <c r="J8" s="84"/>
    </row>
    <row r="9" spans="2:10" x14ac:dyDescent="0.25">
      <c r="B9" s="275"/>
      <c r="C9" s="47" t="s">
        <v>36</v>
      </c>
      <c r="D9" s="248">
        <v>5000000</v>
      </c>
      <c r="E9" s="247">
        <v>13138000</v>
      </c>
      <c r="F9" s="61">
        <f>10000</f>
        <v>10000</v>
      </c>
      <c r="G9" s="61">
        <f>E9+F9</f>
        <v>13148000</v>
      </c>
      <c r="H9" s="85">
        <f>G9-D9</f>
        <v>8148000</v>
      </c>
      <c r="I9" s="86">
        <f>G9/D9%</f>
        <v>262.95999999999998</v>
      </c>
      <c r="J9" s="87"/>
    </row>
    <row r="10" spans="2:10" x14ac:dyDescent="0.25">
      <c r="B10" s="275"/>
      <c r="C10" s="47" t="s">
        <v>37</v>
      </c>
      <c r="D10" s="248">
        <v>6224000</v>
      </c>
      <c r="E10" s="247">
        <v>11235000</v>
      </c>
      <c r="F10" s="61">
        <v>0</v>
      </c>
      <c r="G10" s="61">
        <f t="shared" ref="G10:G19" si="0">E10+F10</f>
        <v>11235000</v>
      </c>
      <c r="H10" s="85">
        <f t="shared" ref="H10:H22" si="1">G10-D10</f>
        <v>5011000</v>
      </c>
      <c r="I10" s="86">
        <f>G10/D10%</f>
        <v>180.51092544987148</v>
      </c>
      <c r="J10" s="87"/>
    </row>
    <row r="11" spans="2:10" x14ac:dyDescent="0.25">
      <c r="B11" s="275"/>
      <c r="C11" s="47" t="s">
        <v>52</v>
      </c>
      <c r="D11" s="248">
        <v>318000</v>
      </c>
      <c r="E11" s="247">
        <v>827500</v>
      </c>
      <c r="F11" s="61">
        <v>0</v>
      </c>
      <c r="G11" s="61">
        <f t="shared" si="0"/>
        <v>827500</v>
      </c>
      <c r="H11" s="85"/>
      <c r="I11" s="86"/>
      <c r="J11" s="87"/>
    </row>
    <row r="12" spans="2:10" x14ac:dyDescent="0.25">
      <c r="B12" s="275"/>
      <c r="C12" s="47" t="s">
        <v>53</v>
      </c>
      <c r="D12" s="248">
        <v>15000000</v>
      </c>
      <c r="E12" s="247">
        <v>17683368</v>
      </c>
      <c r="F12" s="92">
        <v>0</v>
      </c>
      <c r="G12" s="61">
        <f>E12+F12</f>
        <v>17683368</v>
      </c>
      <c r="H12" s="85">
        <f t="shared" si="1"/>
        <v>2683368</v>
      </c>
      <c r="I12" s="86">
        <f t="shared" ref="I12:I22" si="2">G12/D12%</f>
        <v>117.88912000000001</v>
      </c>
      <c r="J12" s="87"/>
    </row>
    <row r="13" spans="2:10" x14ac:dyDescent="0.25">
      <c r="B13" s="275"/>
      <c r="C13" s="47" t="s">
        <v>54</v>
      </c>
      <c r="D13" s="248">
        <v>8255000</v>
      </c>
      <c r="E13" s="247">
        <v>10293000</v>
      </c>
      <c r="F13" s="61">
        <v>0</v>
      </c>
      <c r="G13" s="61">
        <f t="shared" si="0"/>
        <v>10293000</v>
      </c>
      <c r="H13" s="85">
        <f t="shared" si="1"/>
        <v>2038000</v>
      </c>
      <c r="I13" s="86">
        <f t="shared" si="2"/>
        <v>124.68806783767414</v>
      </c>
      <c r="J13" s="88"/>
    </row>
    <row r="14" spans="2:10" x14ac:dyDescent="0.25">
      <c r="B14" s="275"/>
      <c r="C14" s="47" t="s">
        <v>55</v>
      </c>
      <c r="D14" s="248">
        <v>6432000</v>
      </c>
      <c r="E14" s="247">
        <v>7273139</v>
      </c>
      <c r="F14" s="61">
        <v>0</v>
      </c>
      <c r="G14" s="61">
        <f>E14+F14</f>
        <v>7273139</v>
      </c>
      <c r="H14" s="85">
        <f t="shared" si="1"/>
        <v>841139</v>
      </c>
      <c r="I14" s="86">
        <f t="shared" si="2"/>
        <v>113.07740982587065</v>
      </c>
      <c r="J14" s="88"/>
    </row>
    <row r="15" spans="2:10" x14ac:dyDescent="0.25">
      <c r="B15" s="275"/>
      <c r="C15" s="47" t="s">
        <v>56</v>
      </c>
      <c r="D15" s="248">
        <v>9000000</v>
      </c>
      <c r="E15" s="247">
        <v>8960000</v>
      </c>
      <c r="F15" s="61">
        <v>0</v>
      </c>
      <c r="G15" s="61">
        <f t="shared" si="0"/>
        <v>8960000</v>
      </c>
      <c r="H15" s="85">
        <f t="shared" si="1"/>
        <v>-40000</v>
      </c>
      <c r="I15" s="86">
        <f t="shared" si="2"/>
        <v>99.555555555555557</v>
      </c>
      <c r="J15" s="87"/>
    </row>
    <row r="16" spans="2:10" x14ac:dyDescent="0.25">
      <c r="B16" s="275"/>
      <c r="C16" s="47" t="s">
        <v>57</v>
      </c>
      <c r="D16" s="248">
        <v>21000000</v>
      </c>
      <c r="E16" s="247">
        <v>11055555</v>
      </c>
      <c r="F16" s="61">
        <v>0</v>
      </c>
      <c r="G16" s="168">
        <f>E16+F16</f>
        <v>11055555</v>
      </c>
      <c r="H16" s="85">
        <f t="shared" si="1"/>
        <v>-9944445</v>
      </c>
      <c r="I16" s="86">
        <f t="shared" si="2"/>
        <v>52.645499999999998</v>
      </c>
      <c r="J16" s="87"/>
    </row>
    <row r="17" spans="2:10" x14ac:dyDescent="0.25">
      <c r="B17" s="275"/>
      <c r="C17" s="47" t="s">
        <v>58</v>
      </c>
      <c r="D17" s="248">
        <v>1518000</v>
      </c>
      <c r="E17" s="247">
        <v>638000</v>
      </c>
      <c r="F17" s="61">
        <v>0</v>
      </c>
      <c r="G17" s="61">
        <f>E17+F17</f>
        <v>638000</v>
      </c>
      <c r="H17" s="85">
        <f t="shared" si="1"/>
        <v>-880000</v>
      </c>
      <c r="I17" s="86">
        <f t="shared" si="2"/>
        <v>42.028985507246375</v>
      </c>
      <c r="J17" s="87"/>
    </row>
    <row r="18" spans="2:10" x14ac:dyDescent="0.25">
      <c r="B18" s="275"/>
      <c r="C18" s="47" t="s">
        <v>59</v>
      </c>
      <c r="D18" s="248">
        <v>1768000</v>
      </c>
      <c r="E18" s="247">
        <v>2058000</v>
      </c>
      <c r="F18" s="61">
        <v>0</v>
      </c>
      <c r="G18" s="61">
        <f t="shared" si="0"/>
        <v>2058000</v>
      </c>
      <c r="H18" s="85">
        <f t="shared" si="1"/>
        <v>290000</v>
      </c>
      <c r="I18" s="86">
        <f t="shared" si="2"/>
        <v>116.4027149321267</v>
      </c>
      <c r="J18" s="87"/>
    </row>
    <row r="19" spans="2:10" x14ac:dyDescent="0.25">
      <c r="B19" s="275"/>
      <c r="C19" s="47" t="s">
        <v>60</v>
      </c>
      <c r="D19" s="248">
        <v>25511000</v>
      </c>
      <c r="E19" s="247">
        <v>20656332</v>
      </c>
      <c r="F19" s="61">
        <v>0</v>
      </c>
      <c r="G19" s="61">
        <f t="shared" si="0"/>
        <v>20656332</v>
      </c>
      <c r="H19" s="85">
        <f t="shared" si="1"/>
        <v>-4854668</v>
      </c>
      <c r="I19" s="86">
        <f>G19/D19%</f>
        <v>80.970295166790791</v>
      </c>
      <c r="J19" s="87"/>
    </row>
    <row r="20" spans="2:10" x14ac:dyDescent="0.25">
      <c r="B20" s="275"/>
      <c r="C20" s="47" t="s">
        <v>61</v>
      </c>
      <c r="D20" s="287">
        <v>24000000</v>
      </c>
      <c r="E20" s="247">
        <v>18834333</v>
      </c>
      <c r="F20" s="61">
        <v>2000000</v>
      </c>
      <c r="G20" s="61">
        <f>E20+F20</f>
        <v>20834333</v>
      </c>
      <c r="H20" s="85">
        <f t="shared" si="1"/>
        <v>-3165667</v>
      </c>
      <c r="I20" s="86">
        <f t="shared" si="2"/>
        <v>86.80972083333333</v>
      </c>
      <c r="J20" s="87"/>
    </row>
    <row r="21" spans="2:10" x14ac:dyDescent="0.25">
      <c r="B21" s="275"/>
      <c r="C21" s="47" t="s">
        <v>324</v>
      </c>
      <c r="D21" s="248">
        <v>10000000</v>
      </c>
      <c r="E21" s="247">
        <v>8852000</v>
      </c>
      <c r="F21" s="61">
        <v>0</v>
      </c>
      <c r="G21" s="61">
        <f t="shared" ref="G21:G26" si="3">E21+F21</f>
        <v>8852000</v>
      </c>
      <c r="H21" s="85">
        <f>G21-D21</f>
        <v>-1148000</v>
      </c>
      <c r="I21" s="86">
        <f>G21/D21%</f>
        <v>88.52</v>
      </c>
      <c r="J21" s="87"/>
    </row>
    <row r="22" spans="2:10" x14ac:dyDescent="0.25">
      <c r="B22" s="275"/>
      <c r="C22" s="47" t="s">
        <v>63</v>
      </c>
      <c r="D22" s="248">
        <v>400000</v>
      </c>
      <c r="E22" s="247">
        <v>300000</v>
      </c>
      <c r="F22" s="61">
        <v>0</v>
      </c>
      <c r="G22" s="61">
        <f t="shared" si="3"/>
        <v>300000</v>
      </c>
      <c r="H22" s="85">
        <f t="shared" si="1"/>
        <v>-100000</v>
      </c>
      <c r="I22" s="86">
        <f t="shared" si="2"/>
        <v>75</v>
      </c>
      <c r="J22" s="87"/>
    </row>
    <row r="23" spans="2:10" x14ac:dyDescent="0.25">
      <c r="B23" s="275"/>
      <c r="C23" s="47" t="s">
        <v>64</v>
      </c>
      <c r="D23" s="248">
        <v>2779000</v>
      </c>
      <c r="E23" s="247">
        <v>0</v>
      </c>
      <c r="F23" s="61">
        <v>0</v>
      </c>
      <c r="G23" s="61">
        <f t="shared" si="3"/>
        <v>0</v>
      </c>
      <c r="H23" s="85">
        <f>G23-D23</f>
        <v>-2779000</v>
      </c>
      <c r="I23" s="86">
        <f>G23/D23%</f>
        <v>0</v>
      </c>
      <c r="J23" s="87"/>
    </row>
    <row r="24" spans="2:10" x14ac:dyDescent="0.25">
      <c r="B24" s="275"/>
      <c r="C24" s="47" t="s">
        <v>376</v>
      </c>
      <c r="D24" s="248">
        <v>12632000</v>
      </c>
      <c r="E24" s="247">
        <v>11954662</v>
      </c>
      <c r="F24" s="61">
        <f>1965000</f>
        <v>1965000</v>
      </c>
      <c r="G24" s="61">
        <f t="shared" si="3"/>
        <v>13919662</v>
      </c>
      <c r="H24" s="85">
        <f>G24-D24</f>
        <v>1287662</v>
      </c>
      <c r="I24" s="86">
        <f>G24/D24%</f>
        <v>110.19365104496516</v>
      </c>
      <c r="J24" s="87"/>
    </row>
    <row r="25" spans="2:10" x14ac:dyDescent="0.25">
      <c r="B25" s="275"/>
      <c r="C25" s="47" t="s">
        <v>373</v>
      </c>
      <c r="D25" s="248">
        <v>18500000</v>
      </c>
      <c r="E25" s="247">
        <v>29153868</v>
      </c>
      <c r="F25" s="61">
        <f>1000000+1633000</f>
        <v>2633000</v>
      </c>
      <c r="G25" s="61">
        <f t="shared" si="3"/>
        <v>31786868</v>
      </c>
      <c r="H25" s="85">
        <f>G25-D25</f>
        <v>13286868</v>
      </c>
      <c r="I25" s="86">
        <f>G25/D25%</f>
        <v>171.82090810810811</v>
      </c>
      <c r="J25" s="87"/>
    </row>
    <row r="26" spans="2:10" x14ac:dyDescent="0.25">
      <c r="B26" s="275"/>
      <c r="C26" s="47" t="s">
        <v>374</v>
      </c>
      <c r="D26" s="248">
        <v>16000000</v>
      </c>
      <c r="E26" s="247">
        <v>23053478</v>
      </c>
      <c r="F26" s="61">
        <f>2660000</f>
        <v>2660000</v>
      </c>
      <c r="G26" s="61">
        <f t="shared" si="3"/>
        <v>25713478</v>
      </c>
      <c r="H26" s="85">
        <f>G26-D26</f>
        <v>9713478</v>
      </c>
      <c r="I26" s="86">
        <f>G26/D26%</f>
        <v>160.7092375</v>
      </c>
      <c r="J26" s="87"/>
    </row>
    <row r="27" spans="2:10" x14ac:dyDescent="0.25">
      <c r="B27" s="275"/>
      <c r="C27" s="47"/>
      <c r="D27" s="248"/>
      <c r="E27" s="269"/>
      <c r="F27" s="61"/>
      <c r="G27" s="61"/>
      <c r="H27" s="85"/>
      <c r="I27" s="86"/>
      <c r="J27" s="87"/>
    </row>
    <row r="28" spans="2:10" x14ac:dyDescent="0.25">
      <c r="B28" s="276"/>
      <c r="C28" s="170" t="s">
        <v>14</v>
      </c>
      <c r="D28" s="135">
        <f>SUM(D9:D26)</f>
        <v>184337000</v>
      </c>
      <c r="E28" s="89">
        <f>SUM(E9:E26)</f>
        <v>195966235</v>
      </c>
      <c r="F28" s="89">
        <f>SUM(F9:F26)</f>
        <v>9268000</v>
      </c>
      <c r="G28" s="89">
        <f>SUM(G9:G26)</f>
        <v>205234235</v>
      </c>
      <c r="H28" s="136">
        <f>SUM(H9:H26)</f>
        <v>20387735</v>
      </c>
      <c r="I28" s="91">
        <f>G28/D28%</f>
        <v>111.33643001676278</v>
      </c>
      <c r="J28" s="171"/>
    </row>
    <row r="29" spans="2:10" x14ac:dyDescent="0.25">
      <c r="B29" s="275"/>
      <c r="C29" s="47"/>
      <c r="D29" s="47"/>
      <c r="E29" s="61"/>
      <c r="F29" s="62"/>
      <c r="G29" s="61"/>
      <c r="H29" s="85"/>
      <c r="I29" s="85"/>
      <c r="J29" s="87"/>
    </row>
    <row r="30" spans="2:10" x14ac:dyDescent="0.25">
      <c r="B30" s="275" t="s">
        <v>15</v>
      </c>
      <c r="C30" s="60" t="s">
        <v>16</v>
      </c>
      <c r="D30" s="47"/>
      <c r="E30" s="269"/>
      <c r="F30" s="62"/>
      <c r="G30" s="61"/>
      <c r="H30" s="85"/>
      <c r="I30" s="85"/>
      <c r="J30" s="87"/>
    </row>
    <row r="31" spans="2:10" x14ac:dyDescent="0.25">
      <c r="B31" s="275"/>
      <c r="C31" s="47" t="s">
        <v>38</v>
      </c>
      <c r="D31" s="270">
        <v>428000</v>
      </c>
      <c r="E31" s="48">
        <v>356000</v>
      </c>
      <c r="F31" s="61">
        <v>0</v>
      </c>
      <c r="G31" s="61">
        <f>E31+F31</f>
        <v>356000</v>
      </c>
      <c r="H31" s="85">
        <f t="shared" ref="H31:H49" si="4">G31-D31</f>
        <v>-72000</v>
      </c>
      <c r="I31" s="86">
        <f t="shared" ref="I31:I49" si="5">G31/D31%</f>
        <v>83.177570093457945</v>
      </c>
      <c r="J31" s="87"/>
    </row>
    <row r="32" spans="2:10" x14ac:dyDescent="0.25">
      <c r="B32" s="277"/>
      <c r="C32" s="173" t="s">
        <v>39</v>
      </c>
      <c r="D32" s="270">
        <v>19000000</v>
      </c>
      <c r="E32" s="48">
        <v>20849861</v>
      </c>
      <c r="F32" s="168">
        <v>0</v>
      </c>
      <c r="G32" s="61">
        <f>E32+F32</f>
        <v>20849861</v>
      </c>
      <c r="H32" s="174">
        <f t="shared" si="4"/>
        <v>1849861</v>
      </c>
      <c r="I32" s="176">
        <f>G32/D32%</f>
        <v>109.73611052631578</v>
      </c>
      <c r="J32" s="179"/>
    </row>
    <row r="33" spans="2:10" x14ac:dyDescent="0.25">
      <c r="B33" s="275"/>
      <c r="C33" s="47" t="s">
        <v>40</v>
      </c>
      <c r="D33" s="270">
        <v>10000000</v>
      </c>
      <c r="E33" s="48">
        <v>6911000</v>
      </c>
      <c r="F33" s="61">
        <f>271000</f>
        <v>271000</v>
      </c>
      <c r="G33" s="61">
        <f>E33+F33</f>
        <v>7182000</v>
      </c>
      <c r="H33" s="85">
        <f t="shared" si="4"/>
        <v>-2818000</v>
      </c>
      <c r="I33" s="86">
        <f>G33/D33%</f>
        <v>71.819999999999993</v>
      </c>
      <c r="J33" s="180"/>
    </row>
    <row r="34" spans="2:10" x14ac:dyDescent="0.25">
      <c r="B34" s="275"/>
      <c r="C34" s="47" t="s">
        <v>41</v>
      </c>
      <c r="D34" s="270">
        <v>4000000</v>
      </c>
      <c r="E34" s="48">
        <v>3092000</v>
      </c>
      <c r="F34" s="61">
        <v>0</v>
      </c>
      <c r="G34" s="61">
        <f>E34+F34</f>
        <v>3092000</v>
      </c>
      <c r="H34" s="85">
        <f t="shared" si="4"/>
        <v>-908000</v>
      </c>
      <c r="I34" s="86">
        <f t="shared" si="5"/>
        <v>77.3</v>
      </c>
      <c r="J34" s="87"/>
    </row>
    <row r="35" spans="2:10" x14ac:dyDescent="0.25">
      <c r="B35" s="275"/>
      <c r="C35" s="47" t="s">
        <v>50</v>
      </c>
      <c r="D35" s="270">
        <v>0</v>
      </c>
      <c r="E35" s="48">
        <v>0</v>
      </c>
      <c r="F35" s="61">
        <v>4000</v>
      </c>
      <c r="G35" s="61">
        <f t="shared" ref="G35:G49" si="6">E35+F35</f>
        <v>4000</v>
      </c>
      <c r="H35" s="85">
        <f>G35-D35</f>
        <v>4000</v>
      </c>
      <c r="I35" s="86" t="e">
        <f>G35/D35%</f>
        <v>#DIV/0!</v>
      </c>
      <c r="J35" s="87"/>
    </row>
    <row r="36" spans="2:10" x14ac:dyDescent="0.25">
      <c r="B36" s="275"/>
      <c r="C36" s="47" t="s">
        <v>51</v>
      </c>
      <c r="D36" s="270">
        <v>0</v>
      </c>
      <c r="E36" s="48">
        <v>335000</v>
      </c>
      <c r="F36" s="61">
        <v>0</v>
      </c>
      <c r="G36" s="61">
        <f>E36+F36</f>
        <v>335000</v>
      </c>
      <c r="H36" s="85">
        <f>G36-D36</f>
        <v>335000</v>
      </c>
      <c r="I36" s="86" t="e">
        <f>G36/D36%</f>
        <v>#DIV/0!</v>
      </c>
      <c r="J36" s="87"/>
    </row>
    <row r="37" spans="2:10" x14ac:dyDescent="0.25">
      <c r="B37" s="275"/>
      <c r="C37" s="47" t="s">
        <v>49</v>
      </c>
      <c r="D37" s="270">
        <v>0</v>
      </c>
      <c r="E37" s="48">
        <v>0</v>
      </c>
      <c r="F37" s="61">
        <v>0</v>
      </c>
      <c r="G37" s="61">
        <f t="shared" si="6"/>
        <v>0</v>
      </c>
      <c r="H37" s="85">
        <f>G37-D36</f>
        <v>0</v>
      </c>
      <c r="I37" s="86" t="e">
        <f>G37/D36%</f>
        <v>#DIV/0!</v>
      </c>
      <c r="J37" s="87"/>
    </row>
    <row r="38" spans="2:10" x14ac:dyDescent="0.25">
      <c r="B38" s="275"/>
      <c r="C38" s="47" t="s">
        <v>79</v>
      </c>
      <c r="D38" s="270">
        <v>3000000</v>
      </c>
      <c r="E38" s="48">
        <v>1055000</v>
      </c>
      <c r="F38" s="61">
        <v>0</v>
      </c>
      <c r="G38" s="61">
        <f t="shared" si="6"/>
        <v>1055000</v>
      </c>
      <c r="H38" s="85">
        <f>G38-D37</f>
        <v>1055000</v>
      </c>
      <c r="I38" s="86" t="e">
        <f>G38/D37%</f>
        <v>#DIV/0!</v>
      </c>
      <c r="J38" s="87"/>
    </row>
    <row r="39" spans="2:10" x14ac:dyDescent="0.25">
      <c r="B39" s="275"/>
      <c r="C39" s="47" t="s">
        <v>375</v>
      </c>
      <c r="D39" s="270">
        <v>0</v>
      </c>
      <c r="E39" s="48">
        <v>2890000</v>
      </c>
      <c r="F39" s="61">
        <v>0</v>
      </c>
      <c r="G39" s="61">
        <f t="shared" si="6"/>
        <v>2890000</v>
      </c>
      <c r="H39" s="85">
        <f>G39-D38</f>
        <v>-110000</v>
      </c>
      <c r="I39" s="86">
        <f>G39/D38%</f>
        <v>96.333333333333329</v>
      </c>
      <c r="J39" s="87"/>
    </row>
    <row r="40" spans="2:10" x14ac:dyDescent="0.25">
      <c r="B40" s="275"/>
      <c r="C40" s="47" t="s">
        <v>71</v>
      </c>
      <c r="D40" s="288">
        <v>8000000</v>
      </c>
      <c r="E40" s="48">
        <v>8102777</v>
      </c>
      <c r="F40" s="61">
        <v>0</v>
      </c>
      <c r="G40" s="61">
        <f t="shared" si="6"/>
        <v>8102777</v>
      </c>
      <c r="H40" s="85">
        <f>G40-D38</f>
        <v>5102777</v>
      </c>
      <c r="I40" s="86">
        <f>G40/D40%</f>
        <v>101.2847125</v>
      </c>
      <c r="J40" s="87"/>
    </row>
    <row r="41" spans="2:10" x14ac:dyDescent="0.25">
      <c r="B41" s="275"/>
      <c r="C41" s="47" t="s">
        <v>72</v>
      </c>
      <c r="D41" s="270">
        <v>15000000</v>
      </c>
      <c r="E41" s="48">
        <v>13615000</v>
      </c>
      <c r="F41" s="61">
        <f>100000+100000</f>
        <v>200000</v>
      </c>
      <c r="G41" s="61">
        <f t="shared" si="6"/>
        <v>13815000</v>
      </c>
      <c r="H41" s="85">
        <f>G41-D40</f>
        <v>5815000</v>
      </c>
      <c r="I41" s="86">
        <f>G41/D41%</f>
        <v>92.1</v>
      </c>
      <c r="J41" s="87"/>
    </row>
    <row r="42" spans="2:10" x14ac:dyDescent="0.25">
      <c r="B42" s="275"/>
      <c r="C42" s="47" t="s">
        <v>70</v>
      </c>
      <c r="D42" s="270">
        <v>1000000</v>
      </c>
      <c r="E42" s="48">
        <v>140000</v>
      </c>
      <c r="F42" s="61">
        <v>0</v>
      </c>
      <c r="G42" s="61">
        <f t="shared" si="6"/>
        <v>140000</v>
      </c>
      <c r="H42" s="85">
        <f t="shared" si="4"/>
        <v>-860000</v>
      </c>
      <c r="I42" s="86">
        <f t="shared" si="5"/>
        <v>14</v>
      </c>
      <c r="J42" s="87"/>
    </row>
    <row r="43" spans="2:10" x14ac:dyDescent="0.25">
      <c r="B43" s="275"/>
      <c r="C43" s="47" t="s">
        <v>73</v>
      </c>
      <c r="D43" s="270">
        <v>0</v>
      </c>
      <c r="E43" s="48">
        <v>0</v>
      </c>
      <c r="F43" s="61">
        <v>0</v>
      </c>
      <c r="G43" s="61">
        <f t="shared" si="6"/>
        <v>0</v>
      </c>
      <c r="H43" s="85">
        <f t="shared" si="4"/>
        <v>0</v>
      </c>
      <c r="I43" s="86" t="e">
        <f t="shared" si="5"/>
        <v>#DIV/0!</v>
      </c>
      <c r="J43" s="87"/>
    </row>
    <row r="44" spans="2:10" x14ac:dyDescent="0.25">
      <c r="B44" s="275"/>
      <c r="C44" s="47" t="s">
        <v>74</v>
      </c>
      <c r="D44" s="270">
        <v>0</v>
      </c>
      <c r="E44" s="48">
        <v>0</v>
      </c>
      <c r="F44" s="61">
        <v>0</v>
      </c>
      <c r="G44" s="61">
        <f t="shared" si="6"/>
        <v>0</v>
      </c>
      <c r="H44" s="85">
        <f t="shared" si="4"/>
        <v>0</v>
      </c>
      <c r="I44" s="86" t="e">
        <f t="shared" si="5"/>
        <v>#DIV/0!</v>
      </c>
      <c r="J44" s="87"/>
    </row>
    <row r="45" spans="2:10" x14ac:dyDescent="0.25">
      <c r="B45" s="275"/>
      <c r="C45" s="47" t="s">
        <v>75</v>
      </c>
      <c r="D45" s="270">
        <v>10000000</v>
      </c>
      <c r="E45" s="48">
        <v>21757000</v>
      </c>
      <c r="F45" s="61">
        <v>0</v>
      </c>
      <c r="G45" s="61">
        <f t="shared" si="6"/>
        <v>21757000</v>
      </c>
      <c r="H45" s="85">
        <f t="shared" si="4"/>
        <v>11757000</v>
      </c>
      <c r="I45" s="86">
        <f t="shared" si="5"/>
        <v>217.57</v>
      </c>
      <c r="J45" s="87"/>
    </row>
    <row r="46" spans="2:10" x14ac:dyDescent="0.25">
      <c r="B46" s="275"/>
      <c r="C46" s="47" t="s">
        <v>76</v>
      </c>
      <c r="D46" s="270">
        <v>0</v>
      </c>
      <c r="E46" s="48">
        <v>0</v>
      </c>
      <c r="F46" s="61">
        <v>0</v>
      </c>
      <c r="G46" s="61">
        <f t="shared" si="6"/>
        <v>0</v>
      </c>
      <c r="H46" s="85">
        <f t="shared" si="4"/>
        <v>0</v>
      </c>
      <c r="I46" s="86" t="e">
        <f t="shared" si="5"/>
        <v>#DIV/0!</v>
      </c>
      <c r="J46" s="87"/>
    </row>
    <row r="47" spans="2:10" x14ac:dyDescent="0.25">
      <c r="B47" s="275"/>
      <c r="C47" s="47" t="s">
        <v>77</v>
      </c>
      <c r="D47" s="270">
        <v>0</v>
      </c>
      <c r="E47" s="48">
        <v>0</v>
      </c>
      <c r="F47" s="61">
        <v>0</v>
      </c>
      <c r="G47" s="61">
        <f t="shared" si="6"/>
        <v>0</v>
      </c>
      <c r="H47" s="85">
        <f t="shared" si="4"/>
        <v>0</v>
      </c>
      <c r="I47" s="86" t="e">
        <f t="shared" si="5"/>
        <v>#DIV/0!</v>
      </c>
      <c r="J47" s="87"/>
    </row>
    <row r="48" spans="2:10" x14ac:dyDescent="0.25">
      <c r="B48" s="275"/>
      <c r="C48" s="47" t="s">
        <v>325</v>
      </c>
      <c r="D48" s="270">
        <v>10000000</v>
      </c>
      <c r="E48" s="48">
        <v>7355000</v>
      </c>
      <c r="F48" s="61">
        <v>0</v>
      </c>
      <c r="G48" s="61">
        <f t="shared" si="6"/>
        <v>7355000</v>
      </c>
      <c r="H48" s="85">
        <f t="shared" si="4"/>
        <v>-2645000</v>
      </c>
      <c r="I48" s="86">
        <f t="shared" si="5"/>
        <v>73.55</v>
      </c>
      <c r="J48" s="87"/>
    </row>
    <row r="49" spans="2:10" x14ac:dyDescent="0.25">
      <c r="B49" s="275"/>
      <c r="C49" s="47" t="s">
        <v>326</v>
      </c>
      <c r="D49" s="270">
        <v>0</v>
      </c>
      <c r="E49" s="48">
        <v>0</v>
      </c>
      <c r="F49" s="61">
        <v>0</v>
      </c>
      <c r="G49" s="61">
        <f t="shared" si="6"/>
        <v>0</v>
      </c>
      <c r="H49" s="85">
        <f t="shared" si="4"/>
        <v>0</v>
      </c>
      <c r="I49" s="86" t="e">
        <f t="shared" si="5"/>
        <v>#DIV/0!</v>
      </c>
      <c r="J49" s="87"/>
    </row>
    <row r="50" spans="2:10" x14ac:dyDescent="0.25">
      <c r="B50" s="275"/>
      <c r="C50" s="47"/>
      <c r="D50" s="246"/>
      <c r="E50" s="269"/>
      <c r="F50" s="61"/>
      <c r="G50" s="61"/>
      <c r="H50" s="85"/>
      <c r="I50" s="85"/>
      <c r="J50" s="87"/>
    </row>
    <row r="51" spans="2:10" x14ac:dyDescent="0.25">
      <c r="B51" s="276"/>
      <c r="C51" s="170" t="s">
        <v>17</v>
      </c>
      <c r="D51" s="271">
        <f>SUM(D31:D49)</f>
        <v>80428000</v>
      </c>
      <c r="E51" s="89">
        <f>SUM(E31:E49)</f>
        <v>86458638</v>
      </c>
      <c r="F51" s="89">
        <f>SUM(F31:F49)</f>
        <v>475000</v>
      </c>
      <c r="G51" s="89">
        <f>SUM(G31:G49)</f>
        <v>86933638</v>
      </c>
      <c r="H51" s="136">
        <f>SUM(H31:H49)</f>
        <v>18505638</v>
      </c>
      <c r="I51" s="91">
        <f>G51/D51%</f>
        <v>108.08877256676779</v>
      </c>
      <c r="J51" s="171"/>
    </row>
    <row r="52" spans="2:10" x14ac:dyDescent="0.25">
      <c r="B52" s="275"/>
      <c r="C52" s="47"/>
      <c r="D52" s="47"/>
      <c r="E52" s="61"/>
      <c r="F52" s="62"/>
      <c r="G52" s="61"/>
      <c r="H52" s="85"/>
      <c r="I52" s="85"/>
      <c r="J52" s="87"/>
    </row>
    <row r="53" spans="2:10" x14ac:dyDescent="0.25">
      <c r="B53" s="275" t="s">
        <v>18</v>
      </c>
      <c r="C53" s="60" t="s">
        <v>19</v>
      </c>
      <c r="D53" s="47"/>
      <c r="E53" s="269"/>
      <c r="F53" s="62"/>
      <c r="G53" s="61"/>
      <c r="H53" s="85"/>
      <c r="I53" s="85"/>
      <c r="J53" s="87"/>
    </row>
    <row r="54" spans="2:10" x14ac:dyDescent="0.25">
      <c r="B54" s="275"/>
      <c r="C54" s="47" t="s">
        <v>42</v>
      </c>
      <c r="D54" s="250">
        <v>500000</v>
      </c>
      <c r="E54" s="247">
        <v>279000</v>
      </c>
      <c r="F54" s="61">
        <v>185000</v>
      </c>
      <c r="G54" s="61">
        <f>E54+F54</f>
        <v>464000</v>
      </c>
      <c r="H54" s="85">
        <f t="shared" ref="H54:H67" si="7">G54-D54</f>
        <v>-36000</v>
      </c>
      <c r="I54" s="86">
        <f>G54/D54%</f>
        <v>92.8</v>
      </c>
      <c r="J54" s="87"/>
    </row>
    <row r="55" spans="2:10" x14ac:dyDescent="0.25">
      <c r="B55" s="275"/>
      <c r="C55" s="47" t="s">
        <v>43</v>
      </c>
      <c r="D55" s="250">
        <v>20000000</v>
      </c>
      <c r="E55" s="247">
        <v>17275500</v>
      </c>
      <c r="F55" s="61">
        <v>0</v>
      </c>
      <c r="G55" s="61">
        <f t="shared" ref="G55:G67" si="8">E55+F55</f>
        <v>17275500</v>
      </c>
      <c r="H55" s="85">
        <f t="shared" si="7"/>
        <v>-2724500</v>
      </c>
      <c r="I55" s="86">
        <f>G55/D55%</f>
        <v>86.377499999999998</v>
      </c>
      <c r="J55" s="87"/>
    </row>
    <row r="56" spans="2:10" x14ac:dyDescent="0.25">
      <c r="B56" s="275"/>
      <c r="C56" s="47" t="s">
        <v>44</v>
      </c>
      <c r="D56" s="250">
        <v>600000</v>
      </c>
      <c r="E56" s="247">
        <v>1500000</v>
      </c>
      <c r="F56" s="61">
        <v>0</v>
      </c>
      <c r="G56" s="61">
        <f t="shared" si="8"/>
        <v>1500000</v>
      </c>
      <c r="H56" s="85">
        <f t="shared" si="7"/>
        <v>900000</v>
      </c>
      <c r="I56" s="86">
        <f>G56/D56%</f>
        <v>250</v>
      </c>
      <c r="J56" s="87"/>
    </row>
    <row r="57" spans="2:10" x14ac:dyDescent="0.25">
      <c r="B57" s="275"/>
      <c r="C57" s="47" t="s">
        <v>45</v>
      </c>
      <c r="D57" s="250">
        <v>0</v>
      </c>
      <c r="E57" s="247">
        <v>0</v>
      </c>
      <c r="F57" s="61">
        <v>0</v>
      </c>
      <c r="G57" s="61">
        <f t="shared" si="8"/>
        <v>0</v>
      </c>
      <c r="H57" s="85">
        <f t="shared" si="7"/>
        <v>0</v>
      </c>
      <c r="I57" s="86" t="e">
        <f t="shared" ref="I57:I67" si="9">G57/D57%</f>
        <v>#DIV/0!</v>
      </c>
      <c r="J57" s="87"/>
    </row>
    <row r="58" spans="2:10" x14ac:dyDescent="0.25">
      <c r="B58" s="275"/>
      <c r="C58" s="47" t="s">
        <v>46</v>
      </c>
      <c r="D58" s="250">
        <v>0</v>
      </c>
      <c r="E58" s="247">
        <v>0</v>
      </c>
      <c r="F58" s="92">
        <v>0</v>
      </c>
      <c r="G58" s="61">
        <f t="shared" si="8"/>
        <v>0</v>
      </c>
      <c r="H58" s="85">
        <f t="shared" si="7"/>
        <v>0</v>
      </c>
      <c r="I58" s="86" t="e">
        <f t="shared" si="9"/>
        <v>#DIV/0!</v>
      </c>
      <c r="J58" s="87"/>
    </row>
    <row r="59" spans="2:10" x14ac:dyDescent="0.25">
      <c r="B59" s="275"/>
      <c r="C59" s="47" t="s">
        <v>47</v>
      </c>
      <c r="D59" s="250">
        <v>0</v>
      </c>
      <c r="E59" s="247">
        <v>3075000</v>
      </c>
      <c r="F59" s="61">
        <v>0</v>
      </c>
      <c r="G59" s="61">
        <f t="shared" si="8"/>
        <v>3075000</v>
      </c>
      <c r="H59" s="85">
        <f t="shared" si="7"/>
        <v>3075000</v>
      </c>
      <c r="I59" s="86" t="e">
        <f t="shared" si="9"/>
        <v>#DIV/0!</v>
      </c>
      <c r="J59" s="87"/>
    </row>
    <row r="60" spans="2:10" x14ac:dyDescent="0.25">
      <c r="B60" s="275"/>
      <c r="C60" s="47" t="s">
        <v>129</v>
      </c>
      <c r="D60" s="250">
        <v>900000</v>
      </c>
      <c r="E60" s="247">
        <v>0</v>
      </c>
      <c r="F60" s="61">
        <v>0</v>
      </c>
      <c r="G60" s="61">
        <f t="shared" si="8"/>
        <v>0</v>
      </c>
      <c r="H60" s="85">
        <f t="shared" si="7"/>
        <v>-900000</v>
      </c>
      <c r="I60" s="86">
        <f t="shared" si="9"/>
        <v>0</v>
      </c>
      <c r="J60" s="87"/>
    </row>
    <row r="61" spans="2:10" x14ac:dyDescent="0.25">
      <c r="B61" s="275"/>
      <c r="C61" s="47" t="s">
        <v>86</v>
      </c>
      <c r="D61" s="250">
        <v>0</v>
      </c>
      <c r="E61" s="247">
        <v>0</v>
      </c>
      <c r="F61" s="61">
        <v>0</v>
      </c>
      <c r="G61" s="61">
        <f t="shared" si="8"/>
        <v>0</v>
      </c>
      <c r="H61" s="85">
        <f t="shared" si="7"/>
        <v>0</v>
      </c>
      <c r="I61" s="86" t="e">
        <f t="shared" si="9"/>
        <v>#DIV/0!</v>
      </c>
      <c r="J61" s="87"/>
    </row>
    <row r="62" spans="2:10" x14ac:dyDescent="0.25">
      <c r="B62" s="275"/>
      <c r="C62" s="47" t="s">
        <v>87</v>
      </c>
      <c r="D62" s="250">
        <v>0</v>
      </c>
      <c r="E62" s="247">
        <v>280000</v>
      </c>
      <c r="F62" s="61">
        <v>0</v>
      </c>
      <c r="G62" s="61">
        <f>E62+F62</f>
        <v>280000</v>
      </c>
      <c r="H62" s="85">
        <f>G62-D62</f>
        <v>280000</v>
      </c>
      <c r="I62" s="86" t="e">
        <f>G62/D62%</f>
        <v>#DIV/0!</v>
      </c>
      <c r="J62" s="87"/>
    </row>
    <row r="63" spans="2:10" x14ac:dyDescent="0.25">
      <c r="B63" s="275"/>
      <c r="C63" s="47" t="s">
        <v>81</v>
      </c>
      <c r="D63" s="250">
        <v>0</v>
      </c>
      <c r="E63" s="247">
        <v>0</v>
      </c>
      <c r="F63" s="61">
        <v>0</v>
      </c>
      <c r="G63" s="61">
        <f t="shared" si="8"/>
        <v>0</v>
      </c>
      <c r="H63" s="85">
        <f t="shared" si="7"/>
        <v>0</v>
      </c>
      <c r="I63" s="86" t="e">
        <f t="shared" si="9"/>
        <v>#DIV/0!</v>
      </c>
      <c r="J63" s="87"/>
    </row>
    <row r="64" spans="2:10" x14ac:dyDescent="0.25">
      <c r="B64" s="275"/>
      <c r="C64" s="47" t="s">
        <v>82</v>
      </c>
      <c r="D64" s="250">
        <v>0</v>
      </c>
      <c r="E64" s="247">
        <v>98000</v>
      </c>
      <c r="F64" s="61">
        <v>0</v>
      </c>
      <c r="G64" s="61">
        <f t="shared" si="8"/>
        <v>98000</v>
      </c>
      <c r="H64" s="85">
        <f t="shared" si="7"/>
        <v>98000</v>
      </c>
      <c r="I64" s="86" t="e">
        <f t="shared" si="9"/>
        <v>#DIV/0!</v>
      </c>
      <c r="J64" s="87"/>
    </row>
    <row r="65" spans="2:10" x14ac:dyDescent="0.25">
      <c r="B65" s="275"/>
      <c r="C65" s="47" t="s">
        <v>83</v>
      </c>
      <c r="D65" s="250">
        <v>0</v>
      </c>
      <c r="E65" s="247">
        <v>0</v>
      </c>
      <c r="F65" s="61">
        <v>0</v>
      </c>
      <c r="G65" s="61">
        <f>E65+F65</f>
        <v>0</v>
      </c>
      <c r="H65" s="85">
        <f>G65-D65</f>
        <v>0</v>
      </c>
      <c r="I65" s="86" t="e">
        <f>G65/D65%</f>
        <v>#DIV/0!</v>
      </c>
      <c r="J65" s="87"/>
    </row>
    <row r="66" spans="2:10" x14ac:dyDescent="0.25">
      <c r="B66" s="275"/>
      <c r="C66" s="47" t="s">
        <v>142</v>
      </c>
      <c r="D66" s="250">
        <v>1000000</v>
      </c>
      <c r="E66" s="247">
        <v>300000</v>
      </c>
      <c r="F66" s="61">
        <v>0</v>
      </c>
      <c r="G66" s="61">
        <f>E66+F66</f>
        <v>300000</v>
      </c>
      <c r="H66" s="85">
        <f>G66-D66</f>
        <v>-700000</v>
      </c>
      <c r="I66" s="86">
        <f>G66/D66%</f>
        <v>30</v>
      </c>
      <c r="J66" s="87"/>
    </row>
    <row r="67" spans="2:10" x14ac:dyDescent="0.25">
      <c r="B67" s="275"/>
      <c r="C67" s="47" t="s">
        <v>85</v>
      </c>
      <c r="D67" s="250">
        <v>1500000</v>
      </c>
      <c r="E67" s="247">
        <v>0</v>
      </c>
      <c r="F67" s="61">
        <v>0</v>
      </c>
      <c r="G67" s="61">
        <f t="shared" si="8"/>
        <v>0</v>
      </c>
      <c r="H67" s="85">
        <f t="shared" si="7"/>
        <v>-1500000</v>
      </c>
      <c r="I67" s="86">
        <f t="shared" si="9"/>
        <v>0</v>
      </c>
      <c r="J67" s="87"/>
    </row>
    <row r="68" spans="2:10" x14ac:dyDescent="0.25">
      <c r="B68" s="275"/>
      <c r="C68" s="47"/>
      <c r="D68" s="246"/>
      <c r="E68" s="269"/>
      <c r="F68" s="61"/>
      <c r="G68" s="61"/>
      <c r="H68" s="85"/>
      <c r="I68" s="85"/>
      <c r="J68" s="87"/>
    </row>
    <row r="69" spans="2:10" x14ac:dyDescent="0.25">
      <c r="B69" s="276"/>
      <c r="C69" s="170" t="s">
        <v>20</v>
      </c>
      <c r="D69" s="271">
        <f>SUM(D54:D67)</f>
        <v>24500000</v>
      </c>
      <c r="E69" s="89">
        <f>SUM(E54:E67)</f>
        <v>22807500</v>
      </c>
      <c r="F69" s="89">
        <f>SUM(F54:F67)</f>
        <v>185000</v>
      </c>
      <c r="G69" s="89">
        <f>SUM(G54:G67)</f>
        <v>22992500</v>
      </c>
      <c r="H69" s="136">
        <f>SUM(H54:H63)</f>
        <v>594500</v>
      </c>
      <c r="I69" s="91">
        <f>G69/D69%</f>
        <v>93.84693877551021</v>
      </c>
      <c r="J69" s="171"/>
    </row>
    <row r="70" spans="2:10" x14ac:dyDescent="0.25">
      <c r="B70" s="275"/>
      <c r="C70" s="47"/>
      <c r="D70" s="47"/>
      <c r="E70" s="61"/>
      <c r="F70" s="62"/>
      <c r="G70" s="61"/>
      <c r="H70" s="85"/>
      <c r="I70" s="85"/>
      <c r="J70" s="87"/>
    </row>
    <row r="71" spans="2:10" ht="15.75" thickBot="1" x14ac:dyDescent="0.3">
      <c r="B71" s="275"/>
      <c r="C71" s="60" t="s">
        <v>21</v>
      </c>
      <c r="D71" s="93">
        <f>D28+D51+D69</f>
        <v>289265000</v>
      </c>
      <c r="E71" s="94">
        <f>E28+E51+E69</f>
        <v>305232373</v>
      </c>
      <c r="F71" s="95">
        <f>F28+F51+F69</f>
        <v>9928000</v>
      </c>
      <c r="G71" s="94">
        <f>G28+G51+G69</f>
        <v>315160373</v>
      </c>
      <c r="H71" s="96">
        <f>H28+H51+H69</f>
        <v>39487873</v>
      </c>
      <c r="I71" s="97">
        <f>G71/D71%</f>
        <v>108.95212797953434</v>
      </c>
      <c r="J71" s="87"/>
    </row>
    <row r="72" spans="2:10" ht="15.75" thickTop="1" x14ac:dyDescent="0.25">
      <c r="B72" s="278"/>
      <c r="C72" s="98"/>
      <c r="D72" s="99"/>
      <c r="E72" s="100"/>
      <c r="F72" s="101"/>
      <c r="G72" s="100"/>
      <c r="H72" s="102"/>
      <c r="I72" s="103"/>
      <c r="J72" s="104"/>
    </row>
    <row r="73" spans="2:10" x14ac:dyDescent="0.25">
      <c r="B73" s="278"/>
      <c r="C73" s="98" t="s">
        <v>22</v>
      </c>
      <c r="D73" s="105"/>
      <c r="E73" s="106"/>
      <c r="F73" s="107"/>
      <c r="G73" s="106"/>
      <c r="H73" s="108"/>
      <c r="I73" s="109"/>
      <c r="J73" s="104"/>
    </row>
    <row r="74" spans="2:10" x14ac:dyDescent="0.25">
      <c r="B74" s="278" t="s">
        <v>12</v>
      </c>
      <c r="C74" s="98" t="s">
        <v>23</v>
      </c>
      <c r="D74" s="105">
        <v>13500000</v>
      </c>
      <c r="E74" s="106">
        <f>E123</f>
        <v>18280000</v>
      </c>
      <c r="F74" s="107">
        <f>F123</f>
        <v>456000</v>
      </c>
      <c r="G74" s="106">
        <f>E74+F74</f>
        <v>18736000</v>
      </c>
      <c r="H74" s="108">
        <f>G74-D74</f>
        <v>5236000</v>
      </c>
      <c r="I74" s="110">
        <f>G74/D74%</f>
        <v>138.78518518518518</v>
      </c>
      <c r="J74" s="104"/>
    </row>
    <row r="75" spans="2:10" x14ac:dyDescent="0.25">
      <c r="B75" s="278"/>
      <c r="C75" s="98"/>
      <c r="D75" s="105"/>
      <c r="E75" s="106"/>
      <c r="F75" s="107"/>
      <c r="G75" s="106"/>
      <c r="H75" s="108"/>
      <c r="I75" s="110"/>
      <c r="J75" s="104"/>
    </row>
    <row r="76" spans="2:10" x14ac:dyDescent="0.25">
      <c r="B76" s="278" t="s">
        <v>15</v>
      </c>
      <c r="C76" s="98" t="s">
        <v>16</v>
      </c>
      <c r="D76" s="105">
        <v>4500000</v>
      </c>
      <c r="E76" s="106">
        <f>E145</f>
        <v>5706000</v>
      </c>
      <c r="F76" s="107">
        <f>F145</f>
        <v>50000</v>
      </c>
      <c r="G76" s="106">
        <f>E76+F76</f>
        <v>5756000</v>
      </c>
      <c r="H76" s="108">
        <f>G76-D76</f>
        <v>1256000</v>
      </c>
      <c r="I76" s="110">
        <f>G76/D76%</f>
        <v>127.91111111111111</v>
      </c>
      <c r="J76" s="104"/>
    </row>
    <row r="77" spans="2:10" x14ac:dyDescent="0.25">
      <c r="B77" s="278"/>
      <c r="C77" s="98"/>
      <c r="D77" s="105"/>
      <c r="E77" s="106"/>
      <c r="F77" s="107"/>
      <c r="G77" s="106"/>
      <c r="H77" s="108"/>
      <c r="I77" s="110"/>
      <c r="J77" s="104"/>
    </row>
    <row r="78" spans="2:10" x14ac:dyDescent="0.25">
      <c r="B78" s="278" t="s">
        <v>18</v>
      </c>
      <c r="C78" s="98" t="s">
        <v>19</v>
      </c>
      <c r="D78" s="105">
        <v>0</v>
      </c>
      <c r="E78" s="106">
        <f>E163</f>
        <v>2000</v>
      </c>
      <c r="F78" s="107">
        <f>F163</f>
        <v>0</v>
      </c>
      <c r="G78" s="106">
        <f>E78+F78</f>
        <v>2000</v>
      </c>
      <c r="H78" s="108">
        <f>G78-D78</f>
        <v>2000</v>
      </c>
      <c r="I78" s="110" t="e">
        <f>G78/D78%</f>
        <v>#DIV/0!</v>
      </c>
      <c r="J78" s="104"/>
    </row>
    <row r="79" spans="2:10" ht="15.75" thickBot="1" x14ac:dyDescent="0.3">
      <c r="B79" s="278"/>
      <c r="C79" s="98"/>
      <c r="D79" s="111"/>
      <c r="E79" s="112"/>
      <c r="F79" s="113"/>
      <c r="G79" s="112"/>
      <c r="H79" s="96"/>
      <c r="I79" s="97"/>
      <c r="J79" s="104"/>
    </row>
    <row r="80" spans="2:10" ht="16.5" thickTop="1" thickBot="1" x14ac:dyDescent="0.3">
      <c r="B80" s="279"/>
      <c r="C80" s="115" t="s">
        <v>24</v>
      </c>
      <c r="D80" s="116">
        <f>SUM(D74:D78)</f>
        <v>18000000</v>
      </c>
      <c r="E80" s="117">
        <f>SUM(E74:E78)</f>
        <v>23988000</v>
      </c>
      <c r="F80" s="118">
        <f>SUM(F74:F78)</f>
        <v>506000</v>
      </c>
      <c r="G80" s="117">
        <f>SUM(G74:G78)</f>
        <v>24494000</v>
      </c>
      <c r="H80" s="119">
        <f>SUM(H74:H78)</f>
        <v>6494000</v>
      </c>
      <c r="I80" s="120">
        <f>G80/D80%</f>
        <v>136.07777777777778</v>
      </c>
      <c r="J80" s="121"/>
    </row>
    <row r="81" spans="2:10" x14ac:dyDescent="0.25">
      <c r="B81" s="280"/>
      <c r="C81" s="75"/>
      <c r="D81" s="75"/>
      <c r="E81" s="75"/>
      <c r="F81" s="75"/>
      <c r="G81" s="76"/>
      <c r="H81" s="75"/>
      <c r="I81" s="75"/>
      <c r="J81" s="75"/>
    </row>
    <row r="82" spans="2:10" x14ac:dyDescent="0.25">
      <c r="B82" s="280"/>
      <c r="C82" s="75"/>
      <c r="D82" s="75"/>
      <c r="E82" s="122" t="s">
        <v>25</v>
      </c>
      <c r="F82" s="242" t="s">
        <v>26</v>
      </c>
      <c r="G82" s="124" t="e">
        <f>#REF!</f>
        <v>#REF!</v>
      </c>
      <c r="H82" s="75"/>
      <c r="I82" s="75"/>
      <c r="J82" s="75"/>
    </row>
    <row r="83" spans="2:10" x14ac:dyDescent="0.25">
      <c r="B83" s="280"/>
      <c r="C83" s="75"/>
      <c r="D83" s="75"/>
      <c r="E83" s="122" t="s">
        <v>132</v>
      </c>
      <c r="F83" s="242" t="s">
        <v>26</v>
      </c>
      <c r="G83" s="124" t="e">
        <f>#REF!</f>
        <v>#REF!</v>
      </c>
      <c r="H83" s="75"/>
      <c r="I83" s="75"/>
      <c r="J83" s="75"/>
    </row>
    <row r="84" spans="2:10" x14ac:dyDescent="0.25">
      <c r="B84" s="280"/>
      <c r="C84" s="75"/>
      <c r="D84" s="75"/>
      <c r="E84" s="122" t="s">
        <v>27</v>
      </c>
      <c r="F84" s="242" t="s">
        <v>26</v>
      </c>
      <c r="G84" s="125">
        <f>62000+227000+98000+43000+121000+78000+160500+237000+160000+930000</f>
        <v>2116500</v>
      </c>
      <c r="H84" s="75"/>
      <c r="I84" s="75"/>
      <c r="J84" s="75"/>
    </row>
    <row r="85" spans="2:10" ht="19.5" x14ac:dyDescent="0.55000000000000004">
      <c r="B85" s="280"/>
      <c r="C85" s="75"/>
      <c r="D85" s="75"/>
      <c r="E85" s="122" t="s">
        <v>29</v>
      </c>
      <c r="F85" s="242" t="s">
        <v>26</v>
      </c>
      <c r="G85" s="126">
        <f>100000+110000+80000</f>
        <v>290000</v>
      </c>
      <c r="H85" s="75" t="s">
        <v>28</v>
      </c>
      <c r="I85" s="75"/>
      <c r="J85" s="75"/>
    </row>
    <row r="86" spans="2:10" ht="15.75" thickBot="1" x14ac:dyDescent="0.3">
      <c r="B86" s="280"/>
      <c r="C86" s="75"/>
      <c r="D86" s="75"/>
      <c r="E86" s="122" t="s">
        <v>30</v>
      </c>
      <c r="F86" s="123"/>
      <c r="G86" s="127" t="e">
        <f>SUM(G82:G85)</f>
        <v>#REF!</v>
      </c>
      <c r="H86" s="160" t="s">
        <v>126</v>
      </c>
      <c r="I86" s="27"/>
      <c r="J86" s="75"/>
    </row>
    <row r="87" spans="2:10" ht="15.75" thickTop="1" x14ac:dyDescent="0.25">
      <c r="B87" s="280"/>
      <c r="C87" s="75"/>
      <c r="D87" s="75"/>
      <c r="E87" s="122"/>
      <c r="F87" s="123"/>
      <c r="G87" s="159" t="s">
        <v>263</v>
      </c>
      <c r="H87" s="27"/>
      <c r="I87" s="27"/>
      <c r="J87" s="75"/>
    </row>
    <row r="88" spans="2:10" ht="15.75" thickBot="1" x14ac:dyDescent="0.3">
      <c r="B88" s="286" t="s">
        <v>367</v>
      </c>
      <c r="C88" s="161" t="s">
        <v>321</v>
      </c>
      <c r="D88" s="149"/>
      <c r="E88" s="162"/>
      <c r="F88" s="243" t="s">
        <v>26</v>
      </c>
      <c r="G88" s="244">
        <f>1892500+950000+950000+1500000</f>
        <v>5292500</v>
      </c>
      <c r="H88" s="165" t="s">
        <v>126</v>
      </c>
      <c r="I88" s="149"/>
      <c r="J88" s="245">
        <f>SUM(G88:G89)</f>
        <v>12692500</v>
      </c>
    </row>
    <row r="89" spans="2:10" ht="16.5" thickTop="1" thickBot="1" x14ac:dyDescent="0.3">
      <c r="B89" s="281"/>
      <c r="C89" s="161" t="s">
        <v>322</v>
      </c>
      <c r="D89" s="162"/>
      <c r="E89" s="161"/>
      <c r="F89" s="243" t="s">
        <v>26</v>
      </c>
      <c r="G89" s="164">
        <f>1750000+2000000+1650000+2000000</f>
        <v>7400000</v>
      </c>
      <c r="H89" s="165" t="s">
        <v>126</v>
      </c>
      <c r="I89" s="149"/>
      <c r="J89" s="162"/>
    </row>
    <row r="90" spans="2:10" ht="15.75" thickTop="1" x14ac:dyDescent="0.25">
      <c r="B90" s="282"/>
      <c r="C90" s="27"/>
      <c r="D90" s="27"/>
      <c r="E90" s="27"/>
      <c r="F90" s="27"/>
      <c r="G90" s="403" t="s">
        <v>391</v>
      </c>
      <c r="H90" s="403"/>
      <c r="I90" s="403"/>
      <c r="J90" s="27"/>
    </row>
    <row r="91" spans="2:10" x14ac:dyDescent="0.25">
      <c r="B91" s="282"/>
      <c r="C91" s="27"/>
      <c r="D91" s="27"/>
      <c r="E91" s="27"/>
      <c r="F91" s="27"/>
      <c r="G91" s="166" t="e">
        <f>G71-G82</f>
        <v>#REF!</v>
      </c>
      <c r="H91" s="27"/>
      <c r="I91" s="27"/>
      <c r="J91" s="27"/>
    </row>
    <row r="92" spans="2:10" ht="15.75" thickBot="1" x14ac:dyDescent="0.3">
      <c r="B92" s="282"/>
      <c r="C92" s="27"/>
      <c r="D92" s="27"/>
      <c r="E92" s="27"/>
      <c r="F92" s="27"/>
      <c r="G92" s="27" t="s">
        <v>133</v>
      </c>
      <c r="H92" s="27"/>
      <c r="I92" s="27"/>
      <c r="J92" s="128" t="e">
        <f>G82+G85</f>
        <v>#REF!</v>
      </c>
    </row>
    <row r="93" spans="2:10" ht="15.75" thickTop="1" x14ac:dyDescent="0.25">
      <c r="B93" s="282"/>
      <c r="C93" s="27"/>
      <c r="D93" s="27"/>
      <c r="E93" s="27"/>
      <c r="F93" s="27"/>
      <c r="G93" s="27"/>
      <c r="H93" s="27"/>
      <c r="I93" s="27"/>
      <c r="J93" s="166"/>
    </row>
    <row r="94" spans="2:10" ht="15.75" thickBot="1" x14ac:dyDescent="0.3">
      <c r="B94" s="282"/>
      <c r="C94" s="27"/>
      <c r="D94" s="27"/>
      <c r="E94" s="27"/>
      <c r="F94" s="27"/>
      <c r="G94" s="27"/>
      <c r="H94" s="27"/>
      <c r="I94" s="27"/>
      <c r="J94" s="128" t="e">
        <f>G86+G88+G89</f>
        <v>#REF!</v>
      </c>
    </row>
    <row r="95" spans="2:10" ht="15.75" thickTop="1" x14ac:dyDescent="0.25">
      <c r="B95" s="282"/>
      <c r="C95" s="27"/>
      <c r="D95" s="27"/>
      <c r="E95" s="27"/>
      <c r="F95" s="27"/>
      <c r="G95" s="27"/>
      <c r="H95" s="27"/>
      <c r="I95" s="27"/>
      <c r="J95" s="27"/>
    </row>
    <row r="96" spans="2:10" x14ac:dyDescent="0.25">
      <c r="B96" s="283"/>
      <c r="C96" s="129"/>
      <c r="D96" s="129"/>
      <c r="E96" s="129"/>
      <c r="F96" s="129"/>
      <c r="G96" s="129"/>
      <c r="H96" s="129"/>
      <c r="I96" s="129"/>
      <c r="J96" s="129"/>
    </row>
    <row r="97" spans="2:10" x14ac:dyDescent="0.25">
      <c r="B97" s="282"/>
      <c r="C97" s="27"/>
      <c r="D97" s="27"/>
      <c r="E97" s="27"/>
      <c r="F97" s="27"/>
      <c r="G97" s="27"/>
      <c r="H97" s="27"/>
      <c r="I97" s="27"/>
      <c r="J97" s="75"/>
    </row>
    <row r="98" spans="2:10" x14ac:dyDescent="0.25">
      <c r="B98" s="406" t="s">
        <v>386</v>
      </c>
      <c r="C98" s="406"/>
      <c r="D98" s="406"/>
      <c r="E98" s="406"/>
      <c r="F98" s="406"/>
      <c r="G98" s="406"/>
      <c r="H98" s="406"/>
      <c r="I98" s="406"/>
      <c r="J98" s="75"/>
    </row>
    <row r="99" spans="2:10" ht="15.75" thickBot="1" x14ac:dyDescent="0.3">
      <c r="B99" s="406" t="s">
        <v>393</v>
      </c>
      <c r="C99" s="406"/>
      <c r="D99" s="406"/>
      <c r="E99" s="406"/>
      <c r="F99" s="406"/>
      <c r="G99" s="406"/>
      <c r="H99" s="406"/>
      <c r="I99" s="406"/>
      <c r="J99" s="78"/>
    </row>
    <row r="100" spans="2:10" x14ac:dyDescent="0.25">
      <c r="B100" s="420" t="s">
        <v>2</v>
      </c>
      <c r="C100" s="409" t="s">
        <v>3</v>
      </c>
      <c r="D100" s="411" t="s">
        <v>4</v>
      </c>
      <c r="E100" s="413" t="s">
        <v>5</v>
      </c>
      <c r="F100" s="414"/>
      <c r="G100" s="415"/>
      <c r="H100" s="413" t="s">
        <v>6</v>
      </c>
      <c r="I100" s="415"/>
      <c r="J100" s="416" t="s">
        <v>0</v>
      </c>
    </row>
    <row r="101" spans="2:10" ht="15.75" thickBot="1" x14ac:dyDescent="0.3">
      <c r="B101" s="421"/>
      <c r="C101" s="410"/>
      <c r="D101" s="412"/>
      <c r="E101" s="145" t="str">
        <f>E6</f>
        <v>PENJ. S/D TGL. 29</v>
      </c>
      <c r="F101" s="146" t="str">
        <f>F6</f>
        <v>PENJ. TGL. 30</v>
      </c>
      <c r="G101" s="130" t="s">
        <v>7</v>
      </c>
      <c r="H101" s="131" t="s">
        <v>8</v>
      </c>
      <c r="I101" s="130" t="s">
        <v>9</v>
      </c>
      <c r="J101" s="417"/>
    </row>
    <row r="102" spans="2:10" ht="15.75" thickTop="1" x14ac:dyDescent="0.25">
      <c r="B102" s="284"/>
      <c r="C102" s="133" t="s">
        <v>11</v>
      </c>
      <c r="D102" s="82"/>
      <c r="E102" s="42"/>
      <c r="F102" s="42"/>
      <c r="G102" s="41"/>
      <c r="H102" s="42"/>
      <c r="I102" s="42"/>
      <c r="J102" s="83"/>
    </row>
    <row r="103" spans="2:10" x14ac:dyDescent="0.25">
      <c r="B103" s="274" t="s">
        <v>12</v>
      </c>
      <c r="C103" s="44" t="s">
        <v>13</v>
      </c>
      <c r="D103" s="134">
        <v>13500000</v>
      </c>
      <c r="E103" s="45"/>
      <c r="F103" s="45"/>
      <c r="G103" s="59"/>
      <c r="H103" s="45"/>
      <c r="I103" s="45"/>
      <c r="J103" s="84"/>
    </row>
    <row r="104" spans="2:10" x14ac:dyDescent="0.25">
      <c r="B104" s="275"/>
      <c r="C104" s="47" t="s">
        <v>36</v>
      </c>
      <c r="D104" s="85">
        <v>0</v>
      </c>
      <c r="E104" s="85">
        <v>10950000</v>
      </c>
      <c r="F104" s="61">
        <f>20000+150000</f>
        <v>170000</v>
      </c>
      <c r="G104" s="61">
        <f>E104+F104</f>
        <v>11120000</v>
      </c>
      <c r="H104" s="85">
        <f>G104-D104</f>
        <v>11120000</v>
      </c>
      <c r="I104" s="86" t="e">
        <f>G104/D104%</f>
        <v>#DIV/0!</v>
      </c>
      <c r="J104" s="87"/>
    </row>
    <row r="105" spans="2:10" x14ac:dyDescent="0.25">
      <c r="B105" s="275"/>
      <c r="C105" s="47" t="s">
        <v>37</v>
      </c>
      <c r="D105" s="85">
        <v>0</v>
      </c>
      <c r="E105" s="85">
        <v>1768000</v>
      </c>
      <c r="F105" s="61">
        <f>85000+100000+55000+30000</f>
        <v>270000</v>
      </c>
      <c r="G105" s="61">
        <f t="shared" ref="G105:G121" si="10">E105+F105</f>
        <v>2038000</v>
      </c>
      <c r="H105" s="85">
        <f>G105-D105</f>
        <v>2038000</v>
      </c>
      <c r="I105" s="86" t="e">
        <f>G105/D105%</f>
        <v>#DIV/0!</v>
      </c>
      <c r="J105" s="87"/>
    </row>
    <row r="106" spans="2:10" x14ac:dyDescent="0.25">
      <c r="B106" s="275"/>
      <c r="C106" s="47" t="s">
        <v>52</v>
      </c>
      <c r="D106" s="85">
        <v>0</v>
      </c>
      <c r="E106" s="85">
        <v>0</v>
      </c>
      <c r="F106" s="61">
        <v>0</v>
      </c>
      <c r="G106" s="61">
        <f t="shared" si="10"/>
        <v>0</v>
      </c>
      <c r="H106" s="85"/>
      <c r="I106" s="86"/>
      <c r="J106" s="87"/>
    </row>
    <row r="107" spans="2:10" x14ac:dyDescent="0.25">
      <c r="B107" s="275"/>
      <c r="C107" s="47" t="s">
        <v>53</v>
      </c>
      <c r="D107" s="85">
        <v>0</v>
      </c>
      <c r="E107" s="85">
        <v>1606000</v>
      </c>
      <c r="F107" s="61">
        <v>0</v>
      </c>
      <c r="G107" s="61">
        <f t="shared" si="10"/>
        <v>1606000</v>
      </c>
      <c r="H107" s="85">
        <f t="shared" ref="H107:H121" si="11">G107-D107</f>
        <v>1606000</v>
      </c>
      <c r="I107" s="86" t="e">
        <f t="shared" ref="I107:I121" si="12">G107/D107%</f>
        <v>#DIV/0!</v>
      </c>
      <c r="J107" s="87"/>
    </row>
    <row r="108" spans="2:10" x14ac:dyDescent="0.25">
      <c r="B108" s="275"/>
      <c r="C108" s="47" t="s">
        <v>54</v>
      </c>
      <c r="D108" s="85"/>
      <c r="E108" s="85">
        <v>182000</v>
      </c>
      <c r="F108" s="61">
        <v>0</v>
      </c>
      <c r="G108" s="61">
        <f t="shared" si="10"/>
        <v>182000</v>
      </c>
      <c r="H108" s="85">
        <f t="shared" si="11"/>
        <v>182000</v>
      </c>
      <c r="I108" s="86" t="e">
        <f t="shared" si="12"/>
        <v>#DIV/0!</v>
      </c>
      <c r="J108" s="88"/>
    </row>
    <row r="109" spans="2:10" x14ac:dyDescent="0.25">
      <c r="B109" s="275"/>
      <c r="C109" s="47" t="s">
        <v>55</v>
      </c>
      <c r="D109" s="85">
        <v>0</v>
      </c>
      <c r="E109" s="85">
        <v>160000</v>
      </c>
      <c r="F109" s="61">
        <v>0</v>
      </c>
      <c r="G109" s="61">
        <f t="shared" si="10"/>
        <v>160000</v>
      </c>
      <c r="H109" s="85">
        <f t="shared" si="11"/>
        <v>160000</v>
      </c>
      <c r="I109" s="86" t="e">
        <f t="shared" si="12"/>
        <v>#DIV/0!</v>
      </c>
      <c r="J109" s="88"/>
    </row>
    <row r="110" spans="2:10" x14ac:dyDescent="0.25">
      <c r="B110" s="275"/>
      <c r="C110" s="47" t="s">
        <v>56</v>
      </c>
      <c r="D110" s="85">
        <v>0</v>
      </c>
      <c r="E110" s="85">
        <v>800000</v>
      </c>
      <c r="F110" s="61">
        <v>0</v>
      </c>
      <c r="G110" s="61">
        <f t="shared" si="10"/>
        <v>800000</v>
      </c>
      <c r="H110" s="85">
        <f t="shared" si="11"/>
        <v>800000</v>
      </c>
      <c r="I110" s="86" t="e">
        <f t="shared" si="12"/>
        <v>#DIV/0!</v>
      </c>
      <c r="J110" s="87"/>
    </row>
    <row r="111" spans="2:10" x14ac:dyDescent="0.25">
      <c r="B111" s="275"/>
      <c r="C111" s="47" t="s">
        <v>57</v>
      </c>
      <c r="D111" s="85">
        <v>0</v>
      </c>
      <c r="E111" s="85">
        <v>1295000</v>
      </c>
      <c r="F111" s="61">
        <v>0</v>
      </c>
      <c r="G111" s="61">
        <f t="shared" si="10"/>
        <v>1295000</v>
      </c>
      <c r="H111" s="85">
        <f t="shared" si="11"/>
        <v>1295000</v>
      </c>
      <c r="I111" s="86" t="e">
        <f t="shared" si="12"/>
        <v>#DIV/0!</v>
      </c>
      <c r="J111" s="87"/>
    </row>
    <row r="112" spans="2:10" x14ac:dyDescent="0.25">
      <c r="B112" s="275"/>
      <c r="C112" s="47" t="s">
        <v>58</v>
      </c>
      <c r="D112" s="85">
        <v>0</v>
      </c>
      <c r="E112" s="85">
        <v>1124000</v>
      </c>
      <c r="F112" s="61">
        <v>0</v>
      </c>
      <c r="G112" s="61">
        <f t="shared" si="10"/>
        <v>1124000</v>
      </c>
      <c r="H112" s="85">
        <f t="shared" si="11"/>
        <v>1124000</v>
      </c>
      <c r="I112" s="86" t="e">
        <f t="shared" si="12"/>
        <v>#DIV/0!</v>
      </c>
      <c r="J112" s="87"/>
    </row>
    <row r="113" spans="2:10" x14ac:dyDescent="0.25">
      <c r="B113" s="275"/>
      <c r="C113" s="47" t="s">
        <v>59</v>
      </c>
      <c r="D113" s="85">
        <v>0</v>
      </c>
      <c r="E113" s="85">
        <v>75000</v>
      </c>
      <c r="F113" s="61">
        <f>16000</f>
        <v>16000</v>
      </c>
      <c r="G113" s="61">
        <f t="shared" si="10"/>
        <v>91000</v>
      </c>
      <c r="H113" s="85">
        <f t="shared" si="11"/>
        <v>91000</v>
      </c>
      <c r="I113" s="86" t="e">
        <f t="shared" si="12"/>
        <v>#DIV/0!</v>
      </c>
      <c r="J113" s="87"/>
    </row>
    <row r="114" spans="2:10" x14ac:dyDescent="0.25">
      <c r="B114" s="275"/>
      <c r="C114" s="47" t="s">
        <v>60</v>
      </c>
      <c r="D114" s="85">
        <v>0</v>
      </c>
      <c r="E114" s="85">
        <v>220000</v>
      </c>
      <c r="F114" s="61">
        <v>0</v>
      </c>
      <c r="G114" s="61">
        <f t="shared" si="10"/>
        <v>220000</v>
      </c>
      <c r="H114" s="85">
        <f t="shared" si="11"/>
        <v>220000</v>
      </c>
      <c r="I114" s="86" t="e">
        <f t="shared" si="12"/>
        <v>#DIV/0!</v>
      </c>
      <c r="J114" s="87"/>
    </row>
    <row r="115" spans="2:10" x14ac:dyDescent="0.25">
      <c r="B115" s="275"/>
      <c r="C115" s="47" t="s">
        <v>61</v>
      </c>
      <c r="D115" s="85">
        <v>0</v>
      </c>
      <c r="E115" s="85">
        <v>100000</v>
      </c>
      <c r="F115" s="61">
        <v>0</v>
      </c>
      <c r="G115" s="61">
        <f t="shared" si="10"/>
        <v>100000</v>
      </c>
      <c r="H115" s="85">
        <f t="shared" si="11"/>
        <v>100000</v>
      </c>
      <c r="I115" s="86" t="e">
        <f t="shared" si="12"/>
        <v>#DIV/0!</v>
      </c>
      <c r="J115" s="87"/>
    </row>
    <row r="116" spans="2:10" x14ac:dyDescent="0.25">
      <c r="B116" s="275"/>
      <c r="C116" s="47" t="s">
        <v>324</v>
      </c>
      <c r="D116" s="85">
        <v>0</v>
      </c>
      <c r="E116" s="85">
        <v>0</v>
      </c>
      <c r="F116" s="61">
        <v>0</v>
      </c>
      <c r="G116" s="61">
        <f t="shared" si="10"/>
        <v>0</v>
      </c>
      <c r="H116" s="85">
        <f t="shared" si="11"/>
        <v>0</v>
      </c>
      <c r="I116" s="86" t="e">
        <f t="shared" si="12"/>
        <v>#DIV/0!</v>
      </c>
      <c r="J116" s="87"/>
    </row>
    <row r="117" spans="2:10" x14ac:dyDescent="0.25">
      <c r="B117" s="275"/>
      <c r="C117" s="47" t="s">
        <v>63</v>
      </c>
      <c r="D117" s="85">
        <v>0</v>
      </c>
      <c r="E117" s="85">
        <v>0</v>
      </c>
      <c r="F117" s="61">
        <v>0</v>
      </c>
      <c r="G117" s="61">
        <f t="shared" si="10"/>
        <v>0</v>
      </c>
      <c r="H117" s="85">
        <f t="shared" si="11"/>
        <v>0</v>
      </c>
      <c r="I117" s="86" t="e">
        <f t="shared" si="12"/>
        <v>#DIV/0!</v>
      </c>
      <c r="J117" s="87"/>
    </row>
    <row r="118" spans="2:10" x14ac:dyDescent="0.25">
      <c r="B118" s="275"/>
      <c r="C118" s="47" t="s">
        <v>64</v>
      </c>
      <c r="D118" s="85">
        <v>0</v>
      </c>
      <c r="E118" s="85">
        <v>0</v>
      </c>
      <c r="F118" s="61">
        <v>0</v>
      </c>
      <c r="G118" s="61">
        <f t="shared" si="10"/>
        <v>0</v>
      </c>
      <c r="H118" s="85">
        <f t="shared" si="11"/>
        <v>0</v>
      </c>
      <c r="I118" s="86" t="e">
        <f t="shared" si="12"/>
        <v>#DIV/0!</v>
      </c>
      <c r="J118" s="87"/>
    </row>
    <row r="119" spans="2:10" x14ac:dyDescent="0.25">
      <c r="B119" s="275"/>
      <c r="C119" s="47" t="s">
        <v>376</v>
      </c>
      <c r="D119" s="85">
        <v>0</v>
      </c>
      <c r="E119" s="85">
        <v>0</v>
      </c>
      <c r="F119" s="61">
        <v>0</v>
      </c>
      <c r="G119" s="61">
        <f t="shared" si="10"/>
        <v>0</v>
      </c>
      <c r="H119" s="85">
        <f t="shared" si="11"/>
        <v>0</v>
      </c>
      <c r="I119" s="86" t="e">
        <f t="shared" si="12"/>
        <v>#DIV/0!</v>
      </c>
      <c r="J119" s="87"/>
    </row>
    <row r="120" spans="2:10" x14ac:dyDescent="0.25">
      <c r="B120" s="275"/>
      <c r="C120" s="47" t="s">
        <v>373</v>
      </c>
      <c r="D120" s="85">
        <v>0</v>
      </c>
      <c r="E120" s="85">
        <v>0</v>
      </c>
      <c r="F120" s="61">
        <v>0</v>
      </c>
      <c r="G120" s="61">
        <f t="shared" si="10"/>
        <v>0</v>
      </c>
      <c r="H120" s="85">
        <f t="shared" si="11"/>
        <v>0</v>
      </c>
      <c r="I120" s="86" t="e">
        <f t="shared" si="12"/>
        <v>#DIV/0!</v>
      </c>
      <c r="J120" s="87"/>
    </row>
    <row r="121" spans="2:10" x14ac:dyDescent="0.25">
      <c r="B121" s="275"/>
      <c r="C121" s="47" t="s">
        <v>374</v>
      </c>
      <c r="D121" s="85">
        <v>0</v>
      </c>
      <c r="E121" s="85">
        <v>0</v>
      </c>
      <c r="F121" s="61">
        <v>0</v>
      </c>
      <c r="G121" s="61">
        <f t="shared" si="10"/>
        <v>0</v>
      </c>
      <c r="H121" s="85">
        <f t="shared" si="11"/>
        <v>0</v>
      </c>
      <c r="I121" s="86" t="e">
        <f t="shared" si="12"/>
        <v>#DIV/0!</v>
      </c>
      <c r="J121" s="87"/>
    </row>
    <row r="122" spans="2:10" x14ac:dyDescent="0.25">
      <c r="B122" s="275"/>
      <c r="C122" s="47"/>
      <c r="D122" s="47"/>
      <c r="E122" s="61"/>
      <c r="F122" s="61"/>
      <c r="G122" s="61"/>
      <c r="H122" s="85"/>
      <c r="I122" s="86"/>
      <c r="J122" s="87"/>
    </row>
    <row r="123" spans="2:10" x14ac:dyDescent="0.25">
      <c r="B123" s="275"/>
      <c r="C123" s="60" t="s">
        <v>14</v>
      </c>
      <c r="D123" s="135">
        <f>D103</f>
        <v>13500000</v>
      </c>
      <c r="E123" s="89">
        <f>SUM(E104:E121)</f>
        <v>18280000</v>
      </c>
      <c r="F123" s="89">
        <f>SUM(F104:F121)</f>
        <v>456000</v>
      </c>
      <c r="G123" s="89">
        <f>SUM(G104:G121)</f>
        <v>18736000</v>
      </c>
      <c r="H123" s="90">
        <f>SUM(H104:H117)</f>
        <v>18736000</v>
      </c>
      <c r="I123" s="91">
        <f>G123/D123%</f>
        <v>138.78518518518518</v>
      </c>
      <c r="J123" s="87"/>
    </row>
    <row r="124" spans="2:10" x14ac:dyDescent="0.25">
      <c r="B124" s="275"/>
      <c r="C124" s="47"/>
      <c r="D124" s="47"/>
      <c r="E124" s="61"/>
      <c r="F124" s="62"/>
      <c r="G124" s="61"/>
      <c r="H124" s="85"/>
      <c r="I124" s="85"/>
      <c r="J124" s="87"/>
    </row>
    <row r="125" spans="2:10" x14ac:dyDescent="0.25">
      <c r="B125" s="275" t="s">
        <v>15</v>
      </c>
      <c r="C125" s="60" t="s">
        <v>16</v>
      </c>
      <c r="D125" s="134">
        <v>4500000</v>
      </c>
      <c r="E125" s="61">
        <v>0</v>
      </c>
      <c r="F125" s="62"/>
      <c r="G125" s="61"/>
      <c r="H125" s="85"/>
      <c r="I125" s="85"/>
      <c r="J125" s="87"/>
    </row>
    <row r="126" spans="2:10" x14ac:dyDescent="0.25">
      <c r="B126" s="275"/>
      <c r="C126" s="47" t="s">
        <v>38</v>
      </c>
      <c r="D126" s="85">
        <v>0</v>
      </c>
      <c r="E126" s="61">
        <v>1000</v>
      </c>
      <c r="F126" s="61">
        <v>0</v>
      </c>
      <c r="G126" s="61">
        <f t="shared" ref="G126:G143" si="13">E126+F126</f>
        <v>1000</v>
      </c>
      <c r="H126" s="85">
        <f t="shared" ref="H126:H143" si="14">G126-D126</f>
        <v>1000</v>
      </c>
      <c r="I126" s="86" t="e">
        <f t="shared" ref="I126:I143" si="15">G126/D126%</f>
        <v>#DIV/0!</v>
      </c>
      <c r="J126" s="87"/>
    </row>
    <row r="127" spans="2:10" x14ac:dyDescent="0.25">
      <c r="B127" s="275"/>
      <c r="C127" s="47" t="s">
        <v>39</v>
      </c>
      <c r="D127" s="85">
        <v>0</v>
      </c>
      <c r="E127" s="61">
        <v>686000</v>
      </c>
      <c r="F127" s="61">
        <v>0</v>
      </c>
      <c r="G127" s="61">
        <f t="shared" si="13"/>
        <v>686000</v>
      </c>
      <c r="H127" s="85">
        <f t="shared" si="14"/>
        <v>686000</v>
      </c>
      <c r="I127" s="86" t="e">
        <f t="shared" si="15"/>
        <v>#DIV/0!</v>
      </c>
      <c r="J127" s="87"/>
    </row>
    <row r="128" spans="2:10" x14ac:dyDescent="0.25">
      <c r="B128" s="275"/>
      <c r="C128" s="47" t="s">
        <v>40</v>
      </c>
      <c r="D128" s="85">
        <v>0</v>
      </c>
      <c r="E128" s="61">
        <v>2121000</v>
      </c>
      <c r="F128" s="61">
        <v>0</v>
      </c>
      <c r="G128" s="61">
        <f t="shared" si="13"/>
        <v>2121000</v>
      </c>
      <c r="H128" s="85">
        <f t="shared" si="14"/>
        <v>2121000</v>
      </c>
      <c r="I128" s="86" t="e">
        <f t="shared" si="15"/>
        <v>#DIV/0!</v>
      </c>
      <c r="J128" s="87"/>
    </row>
    <row r="129" spans="2:10" x14ac:dyDescent="0.25">
      <c r="B129" s="275"/>
      <c r="C129" s="47" t="s">
        <v>41</v>
      </c>
      <c r="D129" s="85">
        <v>0</v>
      </c>
      <c r="E129" s="61">
        <v>188000</v>
      </c>
      <c r="F129" s="61">
        <v>0</v>
      </c>
      <c r="G129" s="61">
        <f t="shared" si="13"/>
        <v>188000</v>
      </c>
      <c r="H129" s="85">
        <f t="shared" si="14"/>
        <v>188000</v>
      </c>
      <c r="I129" s="86" t="e">
        <f t="shared" si="15"/>
        <v>#DIV/0!</v>
      </c>
      <c r="J129" s="87"/>
    </row>
    <row r="130" spans="2:10" x14ac:dyDescent="0.25">
      <c r="B130" s="275"/>
      <c r="C130" s="47" t="s">
        <v>50</v>
      </c>
      <c r="D130" s="85">
        <v>0</v>
      </c>
      <c r="E130" s="61">
        <v>0</v>
      </c>
      <c r="F130" s="61">
        <v>0</v>
      </c>
      <c r="G130" s="61">
        <f t="shared" si="13"/>
        <v>0</v>
      </c>
      <c r="H130" s="85">
        <f t="shared" si="14"/>
        <v>0</v>
      </c>
      <c r="I130" s="86" t="e">
        <f t="shared" si="15"/>
        <v>#DIV/0!</v>
      </c>
      <c r="J130" s="87"/>
    </row>
    <row r="131" spans="2:10" x14ac:dyDescent="0.25">
      <c r="B131" s="275"/>
      <c r="C131" s="47" t="s">
        <v>51</v>
      </c>
      <c r="D131" s="85">
        <v>0</v>
      </c>
      <c r="E131" s="61">
        <v>0</v>
      </c>
      <c r="F131" s="61">
        <v>0</v>
      </c>
      <c r="G131" s="61">
        <f t="shared" si="13"/>
        <v>0</v>
      </c>
      <c r="H131" s="85">
        <f t="shared" si="14"/>
        <v>0</v>
      </c>
      <c r="I131" s="86" t="e">
        <f t="shared" si="15"/>
        <v>#DIV/0!</v>
      </c>
      <c r="J131" s="87"/>
    </row>
    <row r="132" spans="2:10" x14ac:dyDescent="0.25">
      <c r="B132" s="275"/>
      <c r="C132" s="47" t="s">
        <v>49</v>
      </c>
      <c r="D132" s="85">
        <v>0</v>
      </c>
      <c r="E132" s="61">
        <v>0</v>
      </c>
      <c r="F132" s="61">
        <v>0</v>
      </c>
      <c r="G132" s="61">
        <f t="shared" si="13"/>
        <v>0</v>
      </c>
      <c r="H132" s="85">
        <f t="shared" si="14"/>
        <v>0</v>
      </c>
      <c r="I132" s="86" t="e">
        <f t="shared" si="15"/>
        <v>#DIV/0!</v>
      </c>
      <c r="J132" s="87"/>
    </row>
    <row r="133" spans="2:10" x14ac:dyDescent="0.25">
      <c r="B133" s="275"/>
      <c r="C133" s="47" t="s">
        <v>79</v>
      </c>
      <c r="D133" s="85">
        <v>0</v>
      </c>
      <c r="E133" s="61">
        <v>0</v>
      </c>
      <c r="F133" s="61">
        <v>0</v>
      </c>
      <c r="G133" s="61">
        <f t="shared" si="13"/>
        <v>0</v>
      </c>
      <c r="H133" s="85">
        <f t="shared" si="14"/>
        <v>0</v>
      </c>
      <c r="I133" s="86" t="e">
        <f t="shared" si="15"/>
        <v>#DIV/0!</v>
      </c>
      <c r="J133" s="87"/>
    </row>
    <row r="134" spans="2:10" x14ac:dyDescent="0.25">
      <c r="B134" s="275"/>
      <c r="C134" s="47" t="s">
        <v>375</v>
      </c>
      <c r="D134" s="85">
        <v>0</v>
      </c>
      <c r="E134" s="61">
        <v>0</v>
      </c>
      <c r="F134" s="61">
        <v>0</v>
      </c>
      <c r="G134" s="61">
        <f t="shared" si="13"/>
        <v>0</v>
      </c>
      <c r="H134" s="85">
        <f t="shared" si="14"/>
        <v>0</v>
      </c>
      <c r="I134" s="86" t="e">
        <f t="shared" si="15"/>
        <v>#DIV/0!</v>
      </c>
      <c r="J134" s="87"/>
    </row>
    <row r="135" spans="2:10" x14ac:dyDescent="0.25">
      <c r="B135" s="275"/>
      <c r="C135" s="47" t="s">
        <v>71</v>
      </c>
      <c r="D135" s="85">
        <v>0</v>
      </c>
      <c r="E135" s="61">
        <v>2434000</v>
      </c>
      <c r="F135" s="61">
        <f>50000</f>
        <v>50000</v>
      </c>
      <c r="G135" s="61">
        <f t="shared" si="13"/>
        <v>2484000</v>
      </c>
      <c r="H135" s="85">
        <f t="shared" si="14"/>
        <v>2484000</v>
      </c>
      <c r="I135" s="86" t="e">
        <f t="shared" si="15"/>
        <v>#DIV/0!</v>
      </c>
      <c r="J135" s="87"/>
    </row>
    <row r="136" spans="2:10" x14ac:dyDescent="0.25">
      <c r="B136" s="275"/>
      <c r="C136" s="47" t="s">
        <v>72</v>
      </c>
      <c r="D136" s="85">
        <v>0</v>
      </c>
      <c r="E136" s="61">
        <v>12000</v>
      </c>
      <c r="F136" s="61">
        <v>0</v>
      </c>
      <c r="G136" s="61">
        <f t="shared" si="13"/>
        <v>12000</v>
      </c>
      <c r="H136" s="85">
        <f t="shared" si="14"/>
        <v>12000</v>
      </c>
      <c r="I136" s="86" t="e">
        <f t="shared" si="15"/>
        <v>#DIV/0!</v>
      </c>
      <c r="J136" s="87"/>
    </row>
    <row r="137" spans="2:10" x14ac:dyDescent="0.25">
      <c r="B137" s="275"/>
      <c r="C137" s="47" t="s">
        <v>70</v>
      </c>
      <c r="D137" s="85">
        <v>0</v>
      </c>
      <c r="E137" s="61">
        <v>0</v>
      </c>
      <c r="F137" s="61">
        <v>0</v>
      </c>
      <c r="G137" s="61">
        <f>E137+F137</f>
        <v>0</v>
      </c>
      <c r="H137" s="85">
        <f t="shared" si="14"/>
        <v>0</v>
      </c>
      <c r="I137" s="86" t="e">
        <f t="shared" si="15"/>
        <v>#DIV/0!</v>
      </c>
      <c r="J137" s="87"/>
    </row>
    <row r="138" spans="2:10" x14ac:dyDescent="0.25">
      <c r="B138" s="275"/>
      <c r="C138" s="47" t="s">
        <v>73</v>
      </c>
      <c r="D138" s="85">
        <v>0</v>
      </c>
      <c r="E138" s="61">
        <v>0</v>
      </c>
      <c r="F138" s="61">
        <v>0</v>
      </c>
      <c r="G138" s="61">
        <f t="shared" si="13"/>
        <v>0</v>
      </c>
      <c r="H138" s="85">
        <f t="shared" si="14"/>
        <v>0</v>
      </c>
      <c r="I138" s="86" t="e">
        <f t="shared" si="15"/>
        <v>#DIV/0!</v>
      </c>
      <c r="J138" s="87"/>
    </row>
    <row r="139" spans="2:10" x14ac:dyDescent="0.25">
      <c r="B139" s="275"/>
      <c r="C139" s="47" t="s">
        <v>74</v>
      </c>
      <c r="D139" s="85">
        <v>0</v>
      </c>
      <c r="E139" s="61">
        <v>0</v>
      </c>
      <c r="F139" s="61">
        <v>0</v>
      </c>
      <c r="G139" s="61">
        <f t="shared" si="13"/>
        <v>0</v>
      </c>
      <c r="H139" s="85">
        <f t="shared" si="14"/>
        <v>0</v>
      </c>
      <c r="I139" s="86" t="e">
        <f t="shared" si="15"/>
        <v>#DIV/0!</v>
      </c>
      <c r="J139" s="87"/>
    </row>
    <row r="140" spans="2:10" x14ac:dyDescent="0.25">
      <c r="B140" s="275"/>
      <c r="C140" s="47" t="s">
        <v>75</v>
      </c>
      <c r="D140" s="85">
        <v>0</v>
      </c>
      <c r="E140" s="61">
        <v>124000</v>
      </c>
      <c r="F140" s="61">
        <v>0</v>
      </c>
      <c r="G140" s="61">
        <f t="shared" si="13"/>
        <v>124000</v>
      </c>
      <c r="H140" s="85">
        <f t="shared" si="14"/>
        <v>124000</v>
      </c>
      <c r="I140" s="86" t="e">
        <f t="shared" si="15"/>
        <v>#DIV/0!</v>
      </c>
      <c r="J140" s="87"/>
    </row>
    <row r="141" spans="2:10" x14ac:dyDescent="0.25">
      <c r="B141" s="275"/>
      <c r="C141" s="47" t="s">
        <v>76</v>
      </c>
      <c r="D141" s="85">
        <v>0</v>
      </c>
      <c r="E141" s="61">
        <v>0</v>
      </c>
      <c r="F141" s="61">
        <v>0</v>
      </c>
      <c r="G141" s="61">
        <f t="shared" si="13"/>
        <v>0</v>
      </c>
      <c r="H141" s="85">
        <f t="shared" si="14"/>
        <v>0</v>
      </c>
      <c r="I141" s="86" t="e">
        <f t="shared" si="15"/>
        <v>#DIV/0!</v>
      </c>
      <c r="J141" s="87"/>
    </row>
    <row r="142" spans="2:10" x14ac:dyDescent="0.25">
      <c r="B142" s="275"/>
      <c r="C142" s="47" t="s">
        <v>77</v>
      </c>
      <c r="D142" s="85">
        <v>0</v>
      </c>
      <c r="E142" s="85">
        <v>0</v>
      </c>
      <c r="F142" s="61">
        <v>0</v>
      </c>
      <c r="G142" s="61">
        <f t="shared" si="13"/>
        <v>0</v>
      </c>
      <c r="H142" s="85">
        <f t="shared" si="14"/>
        <v>0</v>
      </c>
      <c r="I142" s="86" t="e">
        <f t="shared" si="15"/>
        <v>#DIV/0!</v>
      </c>
      <c r="J142" s="87"/>
    </row>
    <row r="143" spans="2:10" x14ac:dyDescent="0.25">
      <c r="B143" s="275"/>
      <c r="C143" s="47" t="s">
        <v>323</v>
      </c>
      <c r="D143" s="85">
        <v>0</v>
      </c>
      <c r="E143" s="85">
        <v>140000</v>
      </c>
      <c r="F143" s="61">
        <v>0</v>
      </c>
      <c r="G143" s="61">
        <f t="shared" si="13"/>
        <v>140000</v>
      </c>
      <c r="H143" s="85">
        <f t="shared" si="14"/>
        <v>140000</v>
      </c>
      <c r="I143" s="86" t="e">
        <f t="shared" si="15"/>
        <v>#DIV/0!</v>
      </c>
      <c r="J143" s="87"/>
    </row>
    <row r="144" spans="2:10" x14ac:dyDescent="0.25">
      <c r="B144" s="275"/>
      <c r="C144" s="47"/>
      <c r="D144" s="85"/>
      <c r="E144" s="61"/>
      <c r="F144" s="61"/>
      <c r="G144" s="61"/>
      <c r="H144" s="85"/>
      <c r="I144" s="85"/>
      <c r="J144" s="87"/>
    </row>
    <row r="145" spans="2:10" x14ac:dyDescent="0.25">
      <c r="B145" s="275"/>
      <c r="C145" s="60" t="s">
        <v>17</v>
      </c>
      <c r="D145" s="136">
        <f>D125</f>
        <v>4500000</v>
      </c>
      <c r="E145" s="89">
        <f>SUM(E126:E143)</f>
        <v>5706000</v>
      </c>
      <c r="F145" s="89">
        <f>SUM(F126:F143)</f>
        <v>50000</v>
      </c>
      <c r="G145" s="89">
        <f>SUM(G126:G143)</f>
        <v>5756000</v>
      </c>
      <c r="H145" s="90">
        <f>SUM(H126:H143)</f>
        <v>5756000</v>
      </c>
      <c r="I145" s="91">
        <f>G145/D145%</f>
        <v>127.91111111111111</v>
      </c>
      <c r="J145" s="87"/>
    </row>
    <row r="146" spans="2:10" x14ac:dyDescent="0.25">
      <c r="B146" s="275"/>
      <c r="C146" s="47"/>
      <c r="D146" s="47"/>
      <c r="E146" s="61"/>
      <c r="F146" s="62"/>
      <c r="G146" s="61"/>
      <c r="H146" s="85"/>
      <c r="I146" s="85"/>
      <c r="J146" s="87"/>
    </row>
    <row r="147" spans="2:10" x14ac:dyDescent="0.25">
      <c r="B147" s="275" t="s">
        <v>18</v>
      </c>
      <c r="C147" s="60" t="s">
        <v>19</v>
      </c>
      <c r="D147" s="134"/>
      <c r="E147" s="61"/>
      <c r="F147" s="62"/>
      <c r="G147" s="61"/>
      <c r="H147" s="85"/>
      <c r="I147" s="85"/>
      <c r="J147" s="87"/>
    </row>
    <row r="148" spans="2:10" x14ac:dyDescent="0.25">
      <c r="B148" s="275"/>
      <c r="C148" s="47" t="s">
        <v>42</v>
      </c>
      <c r="D148" s="85">
        <v>0</v>
      </c>
      <c r="E148" s="85">
        <v>0</v>
      </c>
      <c r="F148" s="61">
        <v>0</v>
      </c>
      <c r="G148" s="61">
        <f>E148+F148</f>
        <v>0</v>
      </c>
      <c r="H148" s="85">
        <f t="shared" ref="H148:H161" si="16">G148-D148</f>
        <v>0</v>
      </c>
      <c r="I148" s="86" t="e">
        <f t="shared" ref="I148:I161" si="17">G148/D148%</f>
        <v>#DIV/0!</v>
      </c>
      <c r="J148" s="87"/>
    </row>
    <row r="149" spans="2:10" x14ac:dyDescent="0.25">
      <c r="B149" s="275"/>
      <c r="C149" s="47" t="s">
        <v>43</v>
      </c>
      <c r="D149" s="85">
        <v>0</v>
      </c>
      <c r="E149" s="85">
        <v>0</v>
      </c>
      <c r="F149" s="61">
        <v>0</v>
      </c>
      <c r="G149" s="61">
        <f t="shared" ref="G149:G161" si="18">E149+F149</f>
        <v>0</v>
      </c>
      <c r="H149" s="85">
        <f t="shared" si="16"/>
        <v>0</v>
      </c>
      <c r="I149" s="86" t="e">
        <f t="shared" si="17"/>
        <v>#DIV/0!</v>
      </c>
      <c r="J149" s="87"/>
    </row>
    <row r="150" spans="2:10" x14ac:dyDescent="0.25">
      <c r="B150" s="275"/>
      <c r="C150" s="47" t="s">
        <v>44</v>
      </c>
      <c r="D150" s="85">
        <v>0</v>
      </c>
      <c r="E150" s="85">
        <v>0</v>
      </c>
      <c r="F150" s="61">
        <v>0</v>
      </c>
      <c r="G150" s="61">
        <f t="shared" si="18"/>
        <v>0</v>
      </c>
      <c r="H150" s="85">
        <f t="shared" si="16"/>
        <v>0</v>
      </c>
      <c r="I150" s="86" t="e">
        <f t="shared" si="17"/>
        <v>#DIV/0!</v>
      </c>
      <c r="J150" s="87"/>
    </row>
    <row r="151" spans="2:10" x14ac:dyDescent="0.25">
      <c r="B151" s="275"/>
      <c r="C151" s="47" t="s">
        <v>45</v>
      </c>
      <c r="D151" s="85">
        <v>0</v>
      </c>
      <c r="E151" s="85">
        <v>0</v>
      </c>
      <c r="F151" s="61">
        <v>0</v>
      </c>
      <c r="G151" s="61">
        <f t="shared" si="18"/>
        <v>0</v>
      </c>
      <c r="H151" s="85">
        <f t="shared" si="16"/>
        <v>0</v>
      </c>
      <c r="I151" s="86" t="e">
        <f t="shared" si="17"/>
        <v>#DIV/0!</v>
      </c>
      <c r="J151" s="87"/>
    </row>
    <row r="152" spans="2:10" x14ac:dyDescent="0.25">
      <c r="B152" s="275"/>
      <c r="C152" s="47" t="s">
        <v>46</v>
      </c>
      <c r="D152" s="85">
        <v>0</v>
      </c>
      <c r="E152" s="85">
        <v>0</v>
      </c>
      <c r="F152" s="92">
        <v>0</v>
      </c>
      <c r="G152" s="61">
        <f t="shared" si="18"/>
        <v>0</v>
      </c>
      <c r="H152" s="85">
        <f t="shared" si="16"/>
        <v>0</v>
      </c>
      <c r="I152" s="86" t="e">
        <f t="shared" si="17"/>
        <v>#DIV/0!</v>
      </c>
      <c r="J152" s="87"/>
    </row>
    <row r="153" spans="2:10" x14ac:dyDescent="0.25">
      <c r="B153" s="275"/>
      <c r="C153" s="47" t="s">
        <v>88</v>
      </c>
      <c r="D153" s="85">
        <v>0</v>
      </c>
      <c r="E153" s="85">
        <v>0</v>
      </c>
      <c r="F153" s="61">
        <v>0</v>
      </c>
      <c r="G153" s="61">
        <f t="shared" si="18"/>
        <v>0</v>
      </c>
      <c r="H153" s="85">
        <f t="shared" si="16"/>
        <v>0</v>
      </c>
      <c r="I153" s="86" t="e">
        <f t="shared" si="17"/>
        <v>#DIV/0!</v>
      </c>
      <c r="J153" s="87"/>
    </row>
    <row r="154" spans="2:10" x14ac:dyDescent="0.25">
      <c r="B154" s="275"/>
      <c r="C154" s="47" t="s">
        <v>80</v>
      </c>
      <c r="D154" s="85">
        <v>0</v>
      </c>
      <c r="E154" s="85">
        <v>0</v>
      </c>
      <c r="F154" s="61">
        <v>0</v>
      </c>
      <c r="G154" s="61">
        <f t="shared" si="18"/>
        <v>0</v>
      </c>
      <c r="H154" s="85">
        <f t="shared" si="16"/>
        <v>0</v>
      </c>
      <c r="I154" s="86" t="e">
        <f t="shared" si="17"/>
        <v>#DIV/0!</v>
      </c>
      <c r="J154" s="87"/>
    </row>
    <row r="155" spans="2:10" x14ac:dyDescent="0.25">
      <c r="B155" s="275"/>
      <c r="C155" s="47" t="s">
        <v>86</v>
      </c>
      <c r="D155" s="85">
        <v>0</v>
      </c>
      <c r="E155" s="85">
        <v>0</v>
      </c>
      <c r="F155" s="61">
        <v>0</v>
      </c>
      <c r="G155" s="61">
        <f t="shared" si="18"/>
        <v>0</v>
      </c>
      <c r="H155" s="85">
        <f t="shared" si="16"/>
        <v>0</v>
      </c>
      <c r="I155" s="86" t="e">
        <f t="shared" si="17"/>
        <v>#DIV/0!</v>
      </c>
      <c r="J155" s="87"/>
    </row>
    <row r="156" spans="2:10" x14ac:dyDescent="0.25">
      <c r="B156" s="275"/>
      <c r="C156" s="47" t="s">
        <v>87</v>
      </c>
      <c r="D156" s="85">
        <v>0</v>
      </c>
      <c r="E156" s="85">
        <v>0</v>
      </c>
      <c r="F156" s="61">
        <v>0</v>
      </c>
      <c r="G156" s="61">
        <f t="shared" si="18"/>
        <v>0</v>
      </c>
      <c r="H156" s="85">
        <f t="shared" si="16"/>
        <v>0</v>
      </c>
      <c r="I156" s="86" t="e">
        <f t="shared" si="17"/>
        <v>#DIV/0!</v>
      </c>
      <c r="J156" s="87"/>
    </row>
    <row r="157" spans="2:10" x14ac:dyDescent="0.25">
      <c r="B157" s="275"/>
      <c r="C157" s="47" t="s">
        <v>81</v>
      </c>
      <c r="D157" s="85">
        <v>0</v>
      </c>
      <c r="E157" s="85">
        <v>0</v>
      </c>
      <c r="F157" s="61">
        <v>0</v>
      </c>
      <c r="G157" s="61">
        <f t="shared" si="18"/>
        <v>0</v>
      </c>
      <c r="H157" s="85">
        <f t="shared" si="16"/>
        <v>0</v>
      </c>
      <c r="I157" s="86" t="e">
        <f t="shared" si="17"/>
        <v>#DIV/0!</v>
      </c>
      <c r="J157" s="87"/>
    </row>
    <row r="158" spans="2:10" x14ac:dyDescent="0.25">
      <c r="B158" s="275"/>
      <c r="C158" s="47" t="s">
        <v>82</v>
      </c>
      <c r="D158" s="85">
        <v>0</v>
      </c>
      <c r="E158" s="85">
        <v>2000</v>
      </c>
      <c r="F158" s="61">
        <v>0</v>
      </c>
      <c r="G158" s="61">
        <f t="shared" si="18"/>
        <v>2000</v>
      </c>
      <c r="H158" s="85">
        <f t="shared" si="16"/>
        <v>2000</v>
      </c>
      <c r="I158" s="86" t="e">
        <f t="shared" si="17"/>
        <v>#DIV/0!</v>
      </c>
      <c r="J158" s="87"/>
    </row>
    <row r="159" spans="2:10" x14ac:dyDescent="0.25">
      <c r="B159" s="275"/>
      <c r="C159" s="47" t="s">
        <v>83</v>
      </c>
      <c r="D159" s="85">
        <v>0</v>
      </c>
      <c r="E159" s="85">
        <v>0</v>
      </c>
      <c r="F159" s="61">
        <v>0</v>
      </c>
      <c r="G159" s="61">
        <f t="shared" si="18"/>
        <v>0</v>
      </c>
      <c r="H159" s="85">
        <f t="shared" si="16"/>
        <v>0</v>
      </c>
      <c r="I159" s="86" t="e">
        <f t="shared" si="17"/>
        <v>#DIV/0!</v>
      </c>
      <c r="J159" s="87"/>
    </row>
    <row r="160" spans="2:10" x14ac:dyDescent="0.25">
      <c r="B160" s="275"/>
      <c r="C160" s="47" t="s">
        <v>84</v>
      </c>
      <c r="D160" s="85">
        <v>0</v>
      </c>
      <c r="E160" s="85">
        <v>0</v>
      </c>
      <c r="F160" s="61">
        <v>0</v>
      </c>
      <c r="G160" s="61">
        <f t="shared" si="18"/>
        <v>0</v>
      </c>
      <c r="H160" s="85">
        <f t="shared" si="16"/>
        <v>0</v>
      </c>
      <c r="I160" s="86" t="e">
        <f t="shared" si="17"/>
        <v>#DIV/0!</v>
      </c>
      <c r="J160" s="87"/>
    </row>
    <row r="161" spans="2:10" x14ac:dyDescent="0.25">
      <c r="B161" s="275"/>
      <c r="C161" s="47" t="s">
        <v>85</v>
      </c>
      <c r="D161" s="85">
        <v>0</v>
      </c>
      <c r="E161" s="85">
        <v>0</v>
      </c>
      <c r="F161" s="61">
        <v>0</v>
      </c>
      <c r="G161" s="61">
        <f t="shared" si="18"/>
        <v>0</v>
      </c>
      <c r="H161" s="85">
        <f t="shared" si="16"/>
        <v>0</v>
      </c>
      <c r="I161" s="86" t="e">
        <f t="shared" si="17"/>
        <v>#DIV/0!</v>
      </c>
      <c r="J161" s="87"/>
    </row>
    <row r="162" spans="2:10" x14ac:dyDescent="0.25">
      <c r="B162" s="275"/>
      <c r="C162" s="47"/>
      <c r="D162" s="85"/>
      <c r="E162" s="61"/>
      <c r="F162" s="61"/>
      <c r="G162" s="61"/>
      <c r="H162" s="85"/>
      <c r="I162" s="85"/>
      <c r="J162" s="87"/>
    </row>
    <row r="163" spans="2:10" x14ac:dyDescent="0.25">
      <c r="B163" s="275"/>
      <c r="C163" s="60" t="s">
        <v>20</v>
      </c>
      <c r="D163" s="136">
        <f>D147</f>
        <v>0</v>
      </c>
      <c r="E163" s="89">
        <f>SUM(E148:E161)</f>
        <v>2000</v>
      </c>
      <c r="F163" s="89">
        <f>SUM(F148:F161)</f>
        <v>0</v>
      </c>
      <c r="G163" s="89">
        <f>SUM(G148:G161)</f>
        <v>2000</v>
      </c>
      <c r="H163" s="90">
        <f>SUM(H148:H157)</f>
        <v>0</v>
      </c>
      <c r="I163" s="91" t="e">
        <f>G163/D163%</f>
        <v>#DIV/0!</v>
      </c>
      <c r="J163" s="87"/>
    </row>
    <row r="164" spans="2:10" x14ac:dyDescent="0.25">
      <c r="B164" s="275"/>
      <c r="C164" s="47"/>
      <c r="D164" s="47"/>
      <c r="E164" s="61"/>
      <c r="F164" s="62"/>
      <c r="G164" s="61"/>
      <c r="H164" s="85"/>
      <c r="I164" s="85"/>
      <c r="J164" s="87"/>
    </row>
    <row r="165" spans="2:10" ht="15.75" thickBot="1" x14ac:dyDescent="0.3">
      <c r="B165" s="279"/>
      <c r="C165" s="115" t="s">
        <v>21</v>
      </c>
      <c r="D165" s="137">
        <f>D123+D145+D163</f>
        <v>18000000</v>
      </c>
      <c r="E165" s="138">
        <f>E123+E145+E163</f>
        <v>23988000</v>
      </c>
      <c r="F165" s="139">
        <f>F123+F145+F163</f>
        <v>506000</v>
      </c>
      <c r="G165" s="138">
        <f>G123+G145+G163</f>
        <v>24494000</v>
      </c>
      <c r="H165" s="140">
        <f>H123+H145+H163</f>
        <v>24492000</v>
      </c>
      <c r="I165" s="141">
        <f>G165/D165%</f>
        <v>136.07777777777778</v>
      </c>
      <c r="J165" s="142"/>
    </row>
    <row r="166" spans="2:10" x14ac:dyDescent="0.25">
      <c r="B166" s="280"/>
      <c r="C166" s="75"/>
      <c r="D166" s="75"/>
      <c r="E166" s="75"/>
      <c r="F166" s="75"/>
      <c r="G166" s="76"/>
      <c r="H166" s="75"/>
      <c r="I166" s="75"/>
      <c r="J166" s="75"/>
    </row>
    <row r="167" spans="2:10" x14ac:dyDescent="0.25">
      <c r="B167" s="280"/>
      <c r="C167" s="75"/>
      <c r="D167" s="75"/>
      <c r="E167" s="75"/>
      <c r="F167" s="75"/>
      <c r="G167" s="76"/>
      <c r="H167" s="75"/>
      <c r="I167" s="75"/>
      <c r="J167" s="75"/>
    </row>
    <row r="168" spans="2:10" x14ac:dyDescent="0.25">
      <c r="B168" s="280"/>
      <c r="C168" s="75"/>
      <c r="D168" s="75"/>
      <c r="E168" s="122" t="s">
        <v>25</v>
      </c>
      <c r="F168" s="123" t="s">
        <v>26</v>
      </c>
      <c r="G168" s="124" t="e">
        <f>#REF!</f>
        <v>#REF!</v>
      </c>
      <c r="H168" s="75"/>
      <c r="I168" s="75"/>
      <c r="J168" s="75"/>
    </row>
    <row r="169" spans="2:10" ht="19.5" x14ac:dyDescent="0.55000000000000004">
      <c r="B169" s="280"/>
      <c r="C169" s="75"/>
      <c r="D169" s="75"/>
      <c r="E169" s="122" t="s">
        <v>29</v>
      </c>
      <c r="F169" s="123" t="s">
        <v>26</v>
      </c>
      <c r="G169" s="126">
        <v>0</v>
      </c>
      <c r="H169" s="75" t="s">
        <v>28</v>
      </c>
      <c r="I169" s="75"/>
      <c r="J169" s="75"/>
    </row>
    <row r="170" spans="2:10" ht="15.75" thickBot="1" x14ac:dyDescent="0.3">
      <c r="B170" s="280"/>
      <c r="C170" s="75"/>
      <c r="D170" s="75"/>
      <c r="E170" s="122" t="s">
        <v>30</v>
      </c>
      <c r="F170" s="123"/>
      <c r="G170" s="127" t="e">
        <f>SUM(G168:G169)</f>
        <v>#REF!</v>
      </c>
      <c r="H170" s="160" t="s">
        <v>126</v>
      </c>
      <c r="I170" s="27"/>
      <c r="J170" s="75"/>
    </row>
    <row r="171" spans="2:10" ht="15.75" thickTop="1" x14ac:dyDescent="0.25">
      <c r="B171" s="282"/>
      <c r="C171" s="27"/>
      <c r="D171" s="27"/>
      <c r="E171" s="27"/>
      <c r="F171" s="27"/>
      <c r="G171" s="403" t="str">
        <f>G90</f>
        <v>Jalang'E, 02 Desember 2019</v>
      </c>
      <c r="H171" s="403"/>
      <c r="I171" s="403"/>
      <c r="J171" s="27"/>
    </row>
    <row r="172" spans="2:10" x14ac:dyDescent="0.25">
      <c r="B172" s="285"/>
    </row>
    <row r="173" spans="2:10" x14ac:dyDescent="0.25">
      <c r="B173" s="285"/>
      <c r="G173" s="166" t="e">
        <f>G165-G168</f>
        <v>#REF!</v>
      </c>
    </row>
    <row r="174" spans="2:10" x14ac:dyDescent="0.25">
      <c r="B174" s="285"/>
    </row>
  </sheetData>
  <mergeCells count="19">
    <mergeCell ref="G171:I171"/>
    <mergeCell ref="J5:J6"/>
    <mergeCell ref="G90:I90"/>
    <mergeCell ref="B98:I98"/>
    <mergeCell ref="B99:I99"/>
    <mergeCell ref="B100:B101"/>
    <mergeCell ref="C100:C101"/>
    <mergeCell ref="D100:D101"/>
    <mergeCell ref="E100:G100"/>
    <mergeCell ref="H100:I100"/>
    <mergeCell ref="J100:J101"/>
    <mergeCell ref="B2:I2"/>
    <mergeCell ref="B3:I3"/>
    <mergeCell ref="B4:I4"/>
    <mergeCell ref="B5:B6"/>
    <mergeCell ref="C5:C6"/>
    <mergeCell ref="D5:D6"/>
    <mergeCell ref="E5:G5"/>
    <mergeCell ref="H5:I5"/>
  </mergeCells>
  <pageMargins left="0.87" right="0.12" top="0.23" bottom="0.13" header="0.2" footer="0.12"/>
  <pageSetup paperSize="9" scale="63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K52"/>
  <sheetViews>
    <sheetView topLeftCell="A38" workbookViewId="0">
      <pane ySplit="1" topLeftCell="A39" activePane="bottomLeft" state="frozen"/>
      <selection activeCell="A38" sqref="A38"/>
      <selection pane="bottomLeft" activeCell="E47" sqref="E47"/>
    </sheetView>
  </sheetViews>
  <sheetFormatPr defaultRowHeight="15" x14ac:dyDescent="0.25"/>
  <cols>
    <col min="3" max="3" width="11.7109375" customWidth="1"/>
    <col min="4" max="4" width="3.42578125" customWidth="1"/>
    <col min="5" max="5" width="18.140625" style="2" customWidth="1"/>
    <col min="6" max="6" width="5.28515625" style="5" customWidth="1"/>
    <col min="7" max="7" width="17.5703125" customWidth="1"/>
  </cols>
  <sheetData>
    <row r="1" spans="1:11" x14ac:dyDescent="0.25">
      <c r="A1" s="7"/>
      <c r="B1" s="7"/>
      <c r="C1" s="7"/>
      <c r="D1" s="7"/>
      <c r="E1" s="24"/>
      <c r="F1" s="25"/>
      <c r="G1" s="7"/>
      <c r="H1" s="7"/>
      <c r="I1" s="7"/>
      <c r="J1" s="7"/>
    </row>
    <row r="3" spans="1:11" ht="16.5" thickBot="1" x14ac:dyDescent="0.3">
      <c r="G3" s="422" t="s">
        <v>137</v>
      </c>
      <c r="H3" s="422"/>
      <c r="I3" s="422"/>
    </row>
    <row r="4" spans="1:11" x14ac:dyDescent="0.25">
      <c r="B4" s="22"/>
      <c r="C4" s="8"/>
      <c r="D4" s="8"/>
      <c r="E4" s="9"/>
      <c r="F4" s="10"/>
      <c r="G4" s="8"/>
      <c r="H4" s="8"/>
      <c r="I4" s="11"/>
    </row>
    <row r="5" spans="1:11" x14ac:dyDescent="0.25">
      <c r="B5" s="12"/>
      <c r="C5" s="23" t="s">
        <v>31</v>
      </c>
      <c r="I5" s="13"/>
    </row>
    <row r="6" spans="1:11" x14ac:dyDescent="0.25">
      <c r="B6" s="12"/>
      <c r="I6" s="13"/>
    </row>
    <row r="7" spans="1:11" ht="15.75" thickBot="1" x14ac:dyDescent="0.3">
      <c r="B7" s="12"/>
      <c r="C7" s="16" t="s">
        <v>32</v>
      </c>
      <c r="D7" s="14" t="s">
        <v>26</v>
      </c>
      <c r="E7" s="15">
        <v>0</v>
      </c>
      <c r="F7" s="5" t="s">
        <v>35</v>
      </c>
      <c r="G7" s="4">
        <f>E7</f>
        <v>0</v>
      </c>
      <c r="H7" t="s">
        <v>35</v>
      </c>
      <c r="I7" s="13"/>
    </row>
    <row r="8" spans="1:11" ht="15.75" thickTop="1" x14ac:dyDescent="0.25">
      <c r="B8" s="12"/>
      <c r="C8" s="16"/>
      <c r="D8" s="16"/>
      <c r="E8" s="15"/>
      <c r="I8" s="13"/>
    </row>
    <row r="9" spans="1:11" x14ac:dyDescent="0.25">
      <c r="B9" s="12"/>
      <c r="C9" s="16" t="s">
        <v>33</v>
      </c>
      <c r="D9" s="14" t="s">
        <v>26</v>
      </c>
      <c r="E9" s="15">
        <f>22000+142500</f>
        <v>164500</v>
      </c>
      <c r="F9" s="5" t="s">
        <v>35</v>
      </c>
      <c r="I9" s="13"/>
    </row>
    <row r="10" spans="1:11" x14ac:dyDescent="0.25">
      <c r="B10" s="12"/>
      <c r="C10" s="16"/>
      <c r="D10" s="16"/>
      <c r="E10" s="1"/>
      <c r="I10" s="13"/>
    </row>
    <row r="11" spans="1:11" x14ac:dyDescent="0.25">
      <c r="B11" s="12"/>
      <c r="C11" s="16" t="s">
        <v>34</v>
      </c>
      <c r="D11" s="14" t="s">
        <v>26</v>
      </c>
      <c r="E11" s="15">
        <f>95000+10000+60000+200000+65000+160000</f>
        <v>590000</v>
      </c>
      <c r="F11" s="5" t="s">
        <v>35</v>
      </c>
      <c r="I11" s="13"/>
      <c r="K11" t="s">
        <v>143</v>
      </c>
    </row>
    <row r="12" spans="1:11" x14ac:dyDescent="0.25">
      <c r="B12" s="12"/>
      <c r="C12" s="16"/>
      <c r="D12" s="16"/>
      <c r="E12" s="15"/>
      <c r="I12" s="13"/>
    </row>
    <row r="13" spans="1:11" ht="15.75" thickBot="1" x14ac:dyDescent="0.3">
      <c r="B13" s="12"/>
      <c r="C13" s="16" t="s">
        <v>48</v>
      </c>
      <c r="D13" s="14" t="s">
        <v>26</v>
      </c>
      <c r="E13" s="6">
        <f>180000+62500</f>
        <v>242500</v>
      </c>
      <c r="F13" s="5" t="s">
        <v>35</v>
      </c>
      <c r="I13" s="13"/>
    </row>
    <row r="14" spans="1:11" ht="15.75" thickBot="1" x14ac:dyDescent="0.3">
      <c r="B14" s="12"/>
      <c r="G14" s="4">
        <f>E9+E11+E13</f>
        <v>997000</v>
      </c>
      <c r="H14" t="s">
        <v>35</v>
      </c>
      <c r="I14" s="13"/>
    </row>
    <row r="15" spans="1:11" ht="16.5" thickTop="1" thickBot="1" x14ac:dyDescent="0.3">
      <c r="B15" s="17"/>
      <c r="C15" s="18"/>
      <c r="D15" s="18"/>
      <c r="E15" s="19"/>
      <c r="F15" s="20"/>
      <c r="G15" s="18"/>
      <c r="H15" s="18"/>
      <c r="I15" s="21"/>
    </row>
    <row r="19" spans="1:10" x14ac:dyDescent="0.25">
      <c r="A19" s="7"/>
      <c r="B19" s="7"/>
      <c r="C19" s="7"/>
      <c r="D19" s="7"/>
      <c r="E19" s="24"/>
      <c r="F19" s="25"/>
      <c r="G19" s="7"/>
      <c r="H19" s="7"/>
      <c r="I19" s="7"/>
      <c r="J19" s="7"/>
    </row>
    <row r="21" spans="1:10" ht="16.5" thickBot="1" x14ac:dyDescent="0.3">
      <c r="G21" s="422" t="s">
        <v>252</v>
      </c>
      <c r="H21" s="422"/>
      <c r="I21" s="422"/>
    </row>
    <row r="22" spans="1:10" x14ac:dyDescent="0.25">
      <c r="B22" s="22"/>
      <c r="C22" s="8"/>
      <c r="D22" s="8"/>
      <c r="E22" s="9"/>
      <c r="F22" s="10"/>
      <c r="G22" s="8"/>
      <c r="H22" s="8"/>
      <c r="I22" s="11"/>
    </row>
    <row r="23" spans="1:10" x14ac:dyDescent="0.25">
      <c r="B23" s="12"/>
      <c r="C23" s="23" t="s">
        <v>31</v>
      </c>
      <c r="I23" s="13"/>
    </row>
    <row r="24" spans="1:10" x14ac:dyDescent="0.25">
      <c r="B24" s="12"/>
      <c r="I24" s="13"/>
    </row>
    <row r="25" spans="1:10" ht="15.75" thickBot="1" x14ac:dyDescent="0.3">
      <c r="B25" s="12"/>
      <c r="C25" s="16" t="s">
        <v>32</v>
      </c>
      <c r="D25" s="14" t="s">
        <v>26</v>
      </c>
      <c r="E25" s="15">
        <f>35000+4000</f>
        <v>39000</v>
      </c>
      <c r="F25" s="5" t="s">
        <v>35</v>
      </c>
      <c r="G25" s="4">
        <f>E25</f>
        <v>39000</v>
      </c>
      <c r="H25" t="s">
        <v>35</v>
      </c>
      <c r="I25" s="13"/>
    </row>
    <row r="26" spans="1:10" ht="15.75" thickTop="1" x14ac:dyDescent="0.25">
      <c r="B26" s="12"/>
      <c r="C26" s="16"/>
      <c r="D26" s="16"/>
      <c r="E26" s="15"/>
      <c r="I26" s="13"/>
    </row>
    <row r="27" spans="1:10" x14ac:dyDescent="0.25">
      <c r="B27" s="12"/>
      <c r="C27" s="16" t="s">
        <v>33</v>
      </c>
      <c r="D27" s="14" t="s">
        <v>26</v>
      </c>
      <c r="E27" s="15">
        <f>475000+176000+430000+218500</f>
        <v>1299500</v>
      </c>
      <c r="F27" s="5" t="s">
        <v>35</v>
      </c>
      <c r="I27" s="13"/>
    </row>
    <row r="28" spans="1:10" x14ac:dyDescent="0.25">
      <c r="B28" s="12"/>
      <c r="C28" s="16"/>
      <c r="D28" s="16"/>
      <c r="E28" s="1"/>
      <c r="I28" s="13"/>
    </row>
    <row r="29" spans="1:10" x14ac:dyDescent="0.25">
      <c r="B29" s="12"/>
      <c r="C29" s="16" t="s">
        <v>34</v>
      </c>
      <c r="D29" s="14" t="s">
        <v>26</v>
      </c>
      <c r="E29" s="15">
        <f>180000+140000+200000</f>
        <v>520000</v>
      </c>
      <c r="F29" s="5" t="s">
        <v>35</v>
      </c>
      <c r="I29" s="13"/>
    </row>
    <row r="30" spans="1:10" x14ac:dyDescent="0.25">
      <c r="B30" s="12"/>
      <c r="C30" s="16"/>
      <c r="D30" s="16"/>
      <c r="E30" s="15"/>
      <c r="I30" s="13"/>
    </row>
    <row r="31" spans="1:10" ht="15.75" thickBot="1" x14ac:dyDescent="0.3">
      <c r="B31" s="12"/>
      <c r="C31" s="16" t="s">
        <v>48</v>
      </c>
      <c r="D31" s="14" t="s">
        <v>26</v>
      </c>
      <c r="E31" s="6">
        <f>31500+100000</f>
        <v>131500</v>
      </c>
      <c r="F31" s="5" t="s">
        <v>35</v>
      </c>
      <c r="I31" s="13"/>
    </row>
    <row r="32" spans="1:10" ht="15.75" thickBot="1" x14ac:dyDescent="0.3">
      <c r="B32" s="12"/>
      <c r="G32" s="4">
        <f>E27+E29+E31</f>
        <v>1951000</v>
      </c>
      <c r="H32" t="s">
        <v>35</v>
      </c>
      <c r="I32" s="13"/>
    </row>
    <row r="33" spans="1:10" ht="16.5" thickTop="1" thickBot="1" x14ac:dyDescent="0.3">
      <c r="B33" s="17"/>
      <c r="C33" s="18"/>
      <c r="D33" s="18"/>
      <c r="E33" s="19"/>
      <c r="F33" s="20"/>
      <c r="G33" s="18"/>
      <c r="H33" s="18"/>
      <c r="I33" s="21"/>
    </row>
    <row r="38" spans="1:10" x14ac:dyDescent="0.25">
      <c r="A38" s="7"/>
      <c r="B38" s="7"/>
      <c r="C38" s="7"/>
      <c r="D38" s="7"/>
      <c r="E38" s="24"/>
      <c r="F38" s="25"/>
      <c r="G38" s="7"/>
      <c r="H38" s="7"/>
      <c r="I38" s="7"/>
      <c r="J38" s="7"/>
    </row>
    <row r="40" spans="1:10" ht="16.5" thickBot="1" x14ac:dyDescent="0.3">
      <c r="G40" s="422" t="s">
        <v>314</v>
      </c>
      <c r="H40" s="422"/>
      <c r="I40" s="422"/>
    </row>
    <row r="41" spans="1:10" x14ac:dyDescent="0.25">
      <c r="B41" s="22"/>
      <c r="C41" s="8"/>
      <c r="D41" s="8"/>
      <c r="E41" s="9"/>
      <c r="F41" s="10"/>
      <c r="G41" s="8"/>
      <c r="H41" s="8"/>
      <c r="I41" s="11"/>
    </row>
    <row r="42" spans="1:10" x14ac:dyDescent="0.25">
      <c r="B42" s="12"/>
      <c r="C42" s="23" t="s">
        <v>31</v>
      </c>
      <c r="I42" s="13"/>
    </row>
    <row r="43" spans="1:10" x14ac:dyDescent="0.25">
      <c r="B43" s="12"/>
      <c r="I43" s="13"/>
    </row>
    <row r="44" spans="1:10" ht="15.75" thickBot="1" x14ac:dyDescent="0.3">
      <c r="B44" s="12"/>
      <c r="C44" s="16" t="s">
        <v>32</v>
      </c>
      <c r="D44" s="14" t="s">
        <v>26</v>
      </c>
      <c r="E44" s="15">
        <v>0</v>
      </c>
      <c r="F44" s="5" t="s">
        <v>35</v>
      </c>
      <c r="G44" s="4">
        <f>E44</f>
        <v>0</v>
      </c>
      <c r="H44" t="s">
        <v>35</v>
      </c>
      <c r="I44" s="13"/>
    </row>
    <row r="45" spans="1:10" ht="15.75" thickTop="1" x14ac:dyDescent="0.25">
      <c r="B45" s="12"/>
      <c r="C45" s="16"/>
      <c r="D45" s="16"/>
      <c r="E45" s="15"/>
      <c r="I45" s="13"/>
    </row>
    <row r="46" spans="1:10" x14ac:dyDescent="0.25">
      <c r="B46" s="12"/>
      <c r="C46" s="16" t="s">
        <v>33</v>
      </c>
      <c r="D46" s="14" t="s">
        <v>26</v>
      </c>
      <c r="E46" s="15">
        <f>61720+150000</f>
        <v>211720</v>
      </c>
      <c r="F46" s="5" t="s">
        <v>35</v>
      </c>
      <c r="I46" s="13"/>
    </row>
    <row r="47" spans="1:10" x14ac:dyDescent="0.25">
      <c r="B47" s="12"/>
      <c r="C47" s="16"/>
      <c r="D47" s="16"/>
      <c r="E47" s="1"/>
      <c r="I47" s="13"/>
    </row>
    <row r="48" spans="1:10" x14ac:dyDescent="0.25">
      <c r="B48" s="12"/>
      <c r="C48" s="16" t="s">
        <v>34</v>
      </c>
      <c r="D48" s="14" t="s">
        <v>26</v>
      </c>
      <c r="E48" s="15">
        <f>45000+52000+270000+275000</f>
        <v>642000</v>
      </c>
      <c r="F48" s="5" t="s">
        <v>35</v>
      </c>
      <c r="I48" s="13"/>
    </row>
    <row r="49" spans="2:9" x14ac:dyDescent="0.25">
      <c r="B49" s="12"/>
      <c r="C49" s="16"/>
      <c r="D49" s="16"/>
      <c r="E49" s="15"/>
      <c r="I49" s="13"/>
    </row>
    <row r="50" spans="2:9" ht="15.75" thickBot="1" x14ac:dyDescent="0.3">
      <c r="B50" s="12"/>
      <c r="C50" s="16" t="s">
        <v>48</v>
      </c>
      <c r="D50" s="14" t="s">
        <v>26</v>
      </c>
      <c r="E50" s="6">
        <f>50000+112500</f>
        <v>162500</v>
      </c>
      <c r="F50" s="5" t="s">
        <v>35</v>
      </c>
      <c r="I50" s="13"/>
    </row>
    <row r="51" spans="2:9" ht="15.75" thickBot="1" x14ac:dyDescent="0.3">
      <c r="B51" s="12"/>
      <c r="G51" s="4">
        <f>E46+E48+E50</f>
        <v>1016220</v>
      </c>
      <c r="H51" t="s">
        <v>35</v>
      </c>
      <c r="I51" s="13"/>
    </row>
    <row r="52" spans="2:9" ht="16.5" thickTop="1" thickBot="1" x14ac:dyDescent="0.3">
      <c r="B52" s="17"/>
      <c r="C52" s="18"/>
      <c r="D52" s="18"/>
      <c r="E52" s="19"/>
      <c r="F52" s="20"/>
      <c r="G52" s="18"/>
      <c r="H52" s="18"/>
      <c r="I52" s="21"/>
    </row>
  </sheetData>
  <mergeCells count="3">
    <mergeCell ref="G3:I3"/>
    <mergeCell ref="G21:I21"/>
    <mergeCell ref="G40:I40"/>
  </mergeCells>
  <pageMargins left="0.7" right="0.7" top="0.75" bottom="0.75" header="0.3" footer="0.3"/>
  <pageSetup paperSize="256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B1:T74"/>
  <sheetViews>
    <sheetView topLeftCell="E1" zoomScale="80" zoomScaleNormal="80" workbookViewId="0">
      <pane ySplit="5" topLeftCell="A6" activePane="bottomLeft" state="frozen"/>
      <selection pane="bottomLeft" activeCell="S9" sqref="S9"/>
    </sheetView>
  </sheetViews>
  <sheetFormatPr defaultRowHeight="15" x14ac:dyDescent="0.25"/>
  <cols>
    <col min="1" max="1" width="6.42578125" customWidth="1"/>
    <col min="2" max="2" width="4.85546875" customWidth="1"/>
    <col min="3" max="3" width="29" customWidth="1"/>
    <col min="4" max="5" width="15.7109375" customWidth="1"/>
    <col min="6" max="9" width="15.7109375" style="2" customWidth="1"/>
    <col min="10" max="17" width="14" style="2" customWidth="1"/>
    <col min="18" max="18" width="13.85546875" customWidth="1"/>
    <col min="19" max="19" width="15.28515625" customWidth="1"/>
  </cols>
  <sheetData>
    <row r="1" spans="2:19" ht="15.75" x14ac:dyDescent="0.25">
      <c r="B1" s="423" t="s">
        <v>90</v>
      </c>
      <c r="C1" s="423"/>
      <c r="D1" s="423"/>
      <c r="E1" s="423"/>
      <c r="F1" s="423"/>
      <c r="G1" s="423"/>
      <c r="H1" s="423"/>
      <c r="I1" s="423"/>
      <c r="J1" s="423"/>
      <c r="K1" s="423"/>
      <c r="L1" s="423"/>
      <c r="M1" s="423"/>
      <c r="N1" s="423"/>
      <c r="O1" s="423"/>
      <c r="P1" s="423"/>
      <c r="Q1" s="423"/>
      <c r="R1" s="423"/>
      <c r="S1" s="423"/>
    </row>
    <row r="2" spans="2:19" x14ac:dyDescent="0.25">
      <c r="B2" s="392" t="s">
        <v>382</v>
      </c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  <c r="P2" s="392"/>
      <c r="Q2" s="392"/>
      <c r="R2" s="392"/>
      <c r="S2" s="392"/>
    </row>
    <row r="3" spans="2:19" ht="15.75" thickBot="1" x14ac:dyDescent="0.3">
      <c r="B3" s="393" t="s">
        <v>394</v>
      </c>
      <c r="C3" s="393"/>
      <c r="D3" s="393"/>
      <c r="E3" s="393"/>
      <c r="F3" s="393"/>
      <c r="G3" s="393"/>
      <c r="H3" s="393"/>
      <c r="I3" s="393"/>
      <c r="J3" s="393"/>
      <c r="K3" s="393"/>
      <c r="L3" s="393"/>
      <c r="M3" s="393"/>
      <c r="N3" s="393"/>
      <c r="O3" s="393"/>
      <c r="P3" s="393"/>
      <c r="Q3" s="393"/>
      <c r="R3" s="393"/>
      <c r="S3" s="393"/>
    </row>
    <row r="4" spans="2:19" ht="15.75" thickBot="1" x14ac:dyDescent="0.3">
      <c r="B4" s="427" t="s">
        <v>2</v>
      </c>
      <c r="C4" s="429" t="s">
        <v>3</v>
      </c>
      <c r="D4" s="431" t="s">
        <v>5</v>
      </c>
      <c r="E4" s="432"/>
      <c r="F4" s="432"/>
      <c r="G4" s="432"/>
      <c r="H4" s="432"/>
      <c r="I4" s="432"/>
      <c r="J4" s="432"/>
      <c r="K4" s="432"/>
      <c r="L4" s="432"/>
      <c r="M4" s="432"/>
      <c r="N4" s="432"/>
      <c r="O4" s="432"/>
      <c r="P4" s="432"/>
      <c r="Q4" s="432"/>
      <c r="R4" s="432"/>
      <c r="S4" s="433"/>
    </row>
    <row r="5" spans="2:19" ht="16.5" thickTop="1" thickBot="1" x14ac:dyDescent="0.3">
      <c r="B5" s="428"/>
      <c r="C5" s="430"/>
      <c r="D5" s="39" t="s">
        <v>89</v>
      </c>
      <c r="E5" s="39" t="s">
        <v>138</v>
      </c>
      <c r="F5" s="167" t="s">
        <v>136</v>
      </c>
      <c r="G5" s="167" t="s">
        <v>335</v>
      </c>
      <c r="H5" s="167" t="s">
        <v>313</v>
      </c>
      <c r="I5" s="167" t="s">
        <v>342</v>
      </c>
      <c r="J5" s="167" t="s">
        <v>348</v>
      </c>
      <c r="K5" s="167" t="s">
        <v>352</v>
      </c>
      <c r="L5" s="167" t="s">
        <v>360</v>
      </c>
      <c r="M5" s="167" t="s">
        <v>364</v>
      </c>
      <c r="N5" s="167" t="s">
        <v>378</v>
      </c>
      <c r="O5" s="167" t="s">
        <v>384</v>
      </c>
      <c r="P5" s="167" t="s">
        <v>390</v>
      </c>
      <c r="Q5" s="167" t="s">
        <v>395</v>
      </c>
      <c r="R5" s="256" t="s">
        <v>337</v>
      </c>
      <c r="S5" s="263" t="s">
        <v>336</v>
      </c>
    </row>
    <row r="6" spans="2:19" x14ac:dyDescent="0.25">
      <c r="B6" s="40"/>
      <c r="C6" s="41" t="s">
        <v>10</v>
      </c>
      <c r="D6" s="42"/>
      <c r="E6" s="42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257"/>
      <c r="S6" s="264"/>
    </row>
    <row r="7" spans="2:19" x14ac:dyDescent="0.25">
      <c r="B7" s="43" t="s">
        <v>12</v>
      </c>
      <c r="C7" s="44" t="s">
        <v>13</v>
      </c>
      <c r="D7" s="45"/>
      <c r="E7" s="45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258"/>
      <c r="S7" s="265"/>
    </row>
    <row r="8" spans="2:19" x14ac:dyDescent="0.25">
      <c r="B8" s="46"/>
      <c r="C8" s="47" t="s">
        <v>36</v>
      </c>
      <c r="D8" s="48">
        <f>115096/12</f>
        <v>9591.3333333333339</v>
      </c>
      <c r="E8" s="48">
        <f>86221/12</f>
        <v>7185.083333333333</v>
      </c>
      <c r="F8" s="152">
        <v>6053</v>
      </c>
      <c r="G8" s="152">
        <v>5030</v>
      </c>
      <c r="H8" s="152">
        <v>6284</v>
      </c>
      <c r="I8" s="152">
        <v>4909</v>
      </c>
      <c r="J8" s="152">
        <v>4655</v>
      </c>
      <c r="K8" s="152">
        <v>4123</v>
      </c>
      <c r="L8" s="152">
        <v>3878</v>
      </c>
      <c r="M8" s="152">
        <v>3420</v>
      </c>
      <c r="N8" s="152">
        <v>6916</v>
      </c>
      <c r="O8" s="152">
        <v>12720</v>
      </c>
      <c r="P8" s="152">
        <v>13148</v>
      </c>
      <c r="Q8" s="152">
        <v>9692</v>
      </c>
      <c r="R8" s="259">
        <f>SUM(F8:Q8)</f>
        <v>80828</v>
      </c>
      <c r="S8" s="49">
        <f>R8/12</f>
        <v>6735.666666666667</v>
      </c>
    </row>
    <row r="9" spans="2:19" x14ac:dyDescent="0.25">
      <c r="B9" s="46"/>
      <c r="C9" s="47" t="s">
        <v>37</v>
      </c>
      <c r="D9" s="48">
        <f>140830/12</f>
        <v>11735.833333333334</v>
      </c>
      <c r="E9" s="48">
        <f>84255/12</f>
        <v>7021.25</v>
      </c>
      <c r="F9" s="152">
        <v>5820</v>
      </c>
      <c r="G9" s="152">
        <v>7139</v>
      </c>
      <c r="H9" s="152">
        <v>5342</v>
      </c>
      <c r="I9" s="152">
        <v>6105</v>
      </c>
      <c r="J9" s="152">
        <v>6799</v>
      </c>
      <c r="K9" s="152">
        <v>6288</v>
      </c>
      <c r="L9" s="152">
        <v>4450</v>
      </c>
      <c r="M9" s="152">
        <v>3397</v>
      </c>
      <c r="N9" s="152">
        <v>5740</v>
      </c>
      <c r="O9" s="152">
        <v>10317</v>
      </c>
      <c r="P9" s="152">
        <v>11235</v>
      </c>
      <c r="Q9" s="152">
        <v>10938</v>
      </c>
      <c r="R9" s="259">
        <f t="shared" ref="R9:R26" si="0">SUM(F9:Q9)</f>
        <v>83570</v>
      </c>
      <c r="S9" s="49">
        <f t="shared" ref="S9:S26" si="1">R9/12</f>
        <v>6964.166666666667</v>
      </c>
    </row>
    <row r="10" spans="2:19" x14ac:dyDescent="0.25">
      <c r="B10" s="46"/>
      <c r="C10" s="47" t="s">
        <v>52</v>
      </c>
      <c r="D10" s="48">
        <v>0</v>
      </c>
      <c r="E10" s="48">
        <f>1235/12</f>
        <v>102.91666666666667</v>
      </c>
      <c r="F10" s="152">
        <v>72</v>
      </c>
      <c r="G10" s="152">
        <v>130</v>
      </c>
      <c r="H10" s="152">
        <v>0</v>
      </c>
      <c r="I10" s="152">
        <v>0</v>
      </c>
      <c r="J10" s="152">
        <v>450</v>
      </c>
      <c r="K10" s="152">
        <v>325</v>
      </c>
      <c r="L10" s="152">
        <v>220</v>
      </c>
      <c r="M10" s="152">
        <v>235</v>
      </c>
      <c r="N10" s="152">
        <v>185</v>
      </c>
      <c r="O10" s="152">
        <v>499</v>
      </c>
      <c r="P10" s="152">
        <v>826</v>
      </c>
      <c r="Q10" s="152">
        <v>588</v>
      </c>
      <c r="R10" s="259">
        <f t="shared" si="0"/>
        <v>3530</v>
      </c>
      <c r="S10" s="49">
        <f t="shared" si="1"/>
        <v>294.16666666666669</v>
      </c>
    </row>
    <row r="11" spans="2:19" x14ac:dyDescent="0.25">
      <c r="B11" s="46"/>
      <c r="C11" s="47" t="s">
        <v>53</v>
      </c>
      <c r="D11" s="48">
        <f>206023/12</f>
        <v>17168.583333333332</v>
      </c>
      <c r="E11" s="48">
        <f>154874/12</f>
        <v>12906.166666666666</v>
      </c>
      <c r="F11" s="152">
        <v>14829</v>
      </c>
      <c r="G11" s="152">
        <v>13064</v>
      </c>
      <c r="H11" s="152">
        <v>14605</v>
      </c>
      <c r="I11" s="152">
        <v>12033</v>
      </c>
      <c r="J11" s="152">
        <v>18600</v>
      </c>
      <c r="K11" s="152">
        <v>11780</v>
      </c>
      <c r="L11" s="152">
        <v>14431</v>
      </c>
      <c r="M11" s="152">
        <v>12366</v>
      </c>
      <c r="N11" s="152">
        <v>13760</v>
      </c>
      <c r="O11" s="152">
        <v>21734</v>
      </c>
      <c r="P11" s="152">
        <v>17683</v>
      </c>
      <c r="Q11" s="152">
        <v>21759</v>
      </c>
      <c r="R11" s="259">
        <f t="shared" si="0"/>
        <v>186644</v>
      </c>
      <c r="S11" s="49">
        <f t="shared" si="1"/>
        <v>15553.666666666666</v>
      </c>
    </row>
    <row r="12" spans="2:19" x14ac:dyDescent="0.25">
      <c r="B12" s="46"/>
      <c r="C12" s="47" t="s">
        <v>54</v>
      </c>
      <c r="D12" s="48">
        <f>29253/12</f>
        <v>2437.75</v>
      </c>
      <c r="E12" s="48">
        <f>62621/12</f>
        <v>5218.416666666667</v>
      </c>
      <c r="F12" s="152">
        <v>8592</v>
      </c>
      <c r="G12" s="152">
        <v>5696</v>
      </c>
      <c r="H12" s="152">
        <v>7722</v>
      </c>
      <c r="I12" s="152">
        <v>4698</v>
      </c>
      <c r="J12" s="152">
        <v>7077</v>
      </c>
      <c r="K12" s="152">
        <v>6981</v>
      </c>
      <c r="L12" s="152">
        <v>8550</v>
      </c>
      <c r="M12" s="152">
        <v>10544</v>
      </c>
      <c r="N12" s="152">
        <v>11294</v>
      </c>
      <c r="O12" s="152">
        <v>8576</v>
      </c>
      <c r="P12" s="152">
        <v>10293</v>
      </c>
      <c r="Q12" s="152">
        <v>7875</v>
      </c>
      <c r="R12" s="259">
        <f t="shared" si="0"/>
        <v>97898</v>
      </c>
      <c r="S12" s="49">
        <f t="shared" si="1"/>
        <v>8158.166666666667</v>
      </c>
    </row>
    <row r="13" spans="2:19" x14ac:dyDescent="0.25">
      <c r="B13" s="46"/>
      <c r="C13" s="47" t="s">
        <v>55</v>
      </c>
      <c r="D13" s="48">
        <v>0</v>
      </c>
      <c r="E13" s="48">
        <f>39723/12</f>
        <v>3310.25</v>
      </c>
      <c r="F13" s="152">
        <v>4354</v>
      </c>
      <c r="G13" s="152">
        <v>5461</v>
      </c>
      <c r="H13" s="152">
        <v>5688</v>
      </c>
      <c r="I13" s="152">
        <v>4920</v>
      </c>
      <c r="J13" s="152">
        <v>4508</v>
      </c>
      <c r="K13" s="152">
        <v>1580</v>
      </c>
      <c r="L13" s="152">
        <v>4656</v>
      </c>
      <c r="M13" s="152">
        <v>4045</v>
      </c>
      <c r="N13" s="152">
        <v>5634</v>
      </c>
      <c r="O13" s="152">
        <v>7115</v>
      </c>
      <c r="P13" s="152">
        <v>7273</v>
      </c>
      <c r="Q13" s="152">
        <v>8092</v>
      </c>
      <c r="R13" s="259">
        <f t="shared" si="0"/>
        <v>63326</v>
      </c>
      <c r="S13" s="49">
        <f t="shared" si="1"/>
        <v>5277.166666666667</v>
      </c>
    </row>
    <row r="14" spans="2:19" x14ac:dyDescent="0.25">
      <c r="B14" s="46"/>
      <c r="C14" s="47" t="s">
        <v>56</v>
      </c>
      <c r="D14" s="48">
        <f>74833/12</f>
        <v>6236.083333333333</v>
      </c>
      <c r="E14" s="48">
        <f>84914/12</f>
        <v>7076.166666666667</v>
      </c>
      <c r="F14" s="152">
        <v>8216</v>
      </c>
      <c r="G14" s="152">
        <v>7947</v>
      </c>
      <c r="H14" s="152">
        <v>7258</v>
      </c>
      <c r="I14" s="152">
        <v>6825</v>
      </c>
      <c r="J14" s="152">
        <v>8556</v>
      </c>
      <c r="K14" s="152">
        <v>3285</v>
      </c>
      <c r="L14" s="152">
        <v>7194</v>
      </c>
      <c r="M14" s="152">
        <v>10128</v>
      </c>
      <c r="N14" s="152">
        <v>9232</v>
      </c>
      <c r="O14" s="152">
        <v>7765</v>
      </c>
      <c r="P14" s="152">
        <v>8960</v>
      </c>
      <c r="Q14" s="152">
        <v>8486</v>
      </c>
      <c r="R14" s="259">
        <f t="shared" si="0"/>
        <v>93852</v>
      </c>
      <c r="S14" s="49">
        <f t="shared" si="1"/>
        <v>7821</v>
      </c>
    </row>
    <row r="15" spans="2:19" x14ac:dyDescent="0.25">
      <c r="B15" s="46"/>
      <c r="C15" s="47" t="s">
        <v>57</v>
      </c>
      <c r="D15" s="48">
        <f>405472/12</f>
        <v>33789.333333333336</v>
      </c>
      <c r="E15" s="48">
        <f>556642/12</f>
        <v>46386.833333333336</v>
      </c>
      <c r="F15" s="152">
        <v>20637</v>
      </c>
      <c r="G15" s="152">
        <v>15260</v>
      </c>
      <c r="H15" s="152">
        <v>16022</v>
      </c>
      <c r="I15" s="152">
        <v>11257</v>
      </c>
      <c r="J15" s="152">
        <v>17750</v>
      </c>
      <c r="K15" s="152">
        <v>14562</v>
      </c>
      <c r="L15" s="152">
        <v>12440</v>
      </c>
      <c r="M15" s="152">
        <v>11489</v>
      </c>
      <c r="N15" s="152">
        <v>20615</v>
      </c>
      <c r="O15" s="152">
        <v>16289</v>
      </c>
      <c r="P15" s="152">
        <v>11056</v>
      </c>
      <c r="Q15" s="152">
        <v>17628</v>
      </c>
      <c r="R15" s="259">
        <f t="shared" si="0"/>
        <v>185005</v>
      </c>
      <c r="S15" s="49">
        <f t="shared" si="1"/>
        <v>15417.083333333334</v>
      </c>
    </row>
    <row r="16" spans="2:19" x14ac:dyDescent="0.25">
      <c r="B16" s="46"/>
      <c r="C16" s="47" t="s">
        <v>58</v>
      </c>
      <c r="D16" s="48">
        <f>26928/12/2</f>
        <v>1122</v>
      </c>
      <c r="E16" s="48">
        <f>12678/12</f>
        <v>1056.5</v>
      </c>
      <c r="F16" s="152">
        <v>669</v>
      </c>
      <c r="G16" s="152">
        <v>1116</v>
      </c>
      <c r="H16" s="152">
        <v>2192</v>
      </c>
      <c r="I16" s="152">
        <v>1208</v>
      </c>
      <c r="J16" s="152">
        <v>812</v>
      </c>
      <c r="K16" s="152">
        <v>771</v>
      </c>
      <c r="L16" s="152">
        <v>507</v>
      </c>
      <c r="M16" s="152">
        <v>428</v>
      </c>
      <c r="N16" s="152">
        <v>954</v>
      </c>
      <c r="O16" s="152">
        <v>399</v>
      </c>
      <c r="P16" s="152">
        <v>638</v>
      </c>
      <c r="Q16" s="152">
        <v>1419</v>
      </c>
      <c r="R16" s="259">
        <f t="shared" si="0"/>
        <v>11113</v>
      </c>
      <c r="S16" s="49">
        <f t="shared" si="1"/>
        <v>926.08333333333337</v>
      </c>
    </row>
    <row r="17" spans="2:19" x14ac:dyDescent="0.25">
      <c r="B17" s="46"/>
      <c r="C17" s="47" t="s">
        <v>59</v>
      </c>
      <c r="D17" s="48">
        <f>26928/12/2</f>
        <v>1122</v>
      </c>
      <c r="E17" s="48">
        <f>27056/12</f>
        <v>2254.6666666666665</v>
      </c>
      <c r="F17" s="152">
        <v>2035</v>
      </c>
      <c r="G17" s="152">
        <v>3100</v>
      </c>
      <c r="H17" s="152">
        <v>1824</v>
      </c>
      <c r="I17" s="152">
        <v>1150</v>
      </c>
      <c r="J17" s="152">
        <v>1040</v>
      </c>
      <c r="K17" s="152">
        <v>1245</v>
      </c>
      <c r="L17" s="152">
        <v>3874</v>
      </c>
      <c r="M17" s="152">
        <v>1749</v>
      </c>
      <c r="N17" s="152">
        <v>2330</v>
      </c>
      <c r="O17" s="152">
        <v>2295</v>
      </c>
      <c r="P17" s="152">
        <v>2058</v>
      </c>
      <c r="Q17" s="152">
        <v>1970</v>
      </c>
      <c r="R17" s="259">
        <f t="shared" si="0"/>
        <v>24670</v>
      </c>
      <c r="S17" s="49">
        <f t="shared" si="1"/>
        <v>2055.8333333333335</v>
      </c>
    </row>
    <row r="18" spans="2:19" x14ac:dyDescent="0.25">
      <c r="B18" s="46"/>
      <c r="C18" s="47" t="s">
        <v>60</v>
      </c>
      <c r="D18" s="48">
        <f>325731/12</f>
        <v>27144.25</v>
      </c>
      <c r="E18" s="48">
        <f>236056/12</f>
        <v>19671.333333333332</v>
      </c>
      <c r="F18" s="152">
        <v>25540</v>
      </c>
      <c r="G18" s="152">
        <v>26271</v>
      </c>
      <c r="H18" s="152">
        <v>27960</v>
      </c>
      <c r="I18" s="152">
        <v>22185</v>
      </c>
      <c r="J18" s="152">
        <v>25645</v>
      </c>
      <c r="K18" s="152">
        <v>17962</v>
      </c>
      <c r="L18" s="152">
        <v>24647</v>
      </c>
      <c r="M18" s="152">
        <v>20560</v>
      </c>
      <c r="N18" s="152">
        <v>23273</v>
      </c>
      <c r="O18" s="152">
        <v>30418</v>
      </c>
      <c r="P18" s="152">
        <v>20656</v>
      </c>
      <c r="Q18" s="152">
        <v>24569</v>
      </c>
      <c r="R18" s="259">
        <f t="shared" si="0"/>
        <v>289686</v>
      </c>
      <c r="S18" s="49">
        <f t="shared" si="1"/>
        <v>24140.5</v>
      </c>
    </row>
    <row r="19" spans="2:19" x14ac:dyDescent="0.25">
      <c r="B19" s="46"/>
      <c r="C19" s="47" t="s">
        <v>61</v>
      </c>
      <c r="D19" s="48">
        <f>524526/12</f>
        <v>43710.5</v>
      </c>
      <c r="E19" s="48">
        <f>515280/12</f>
        <v>42940</v>
      </c>
      <c r="F19" s="152">
        <v>43462</v>
      </c>
      <c r="G19" s="152">
        <v>37401</v>
      </c>
      <c r="H19" s="152">
        <v>33043</v>
      </c>
      <c r="I19" s="152">
        <v>18838</v>
      </c>
      <c r="J19" s="152">
        <v>18995</v>
      </c>
      <c r="K19" s="152">
        <v>10956</v>
      </c>
      <c r="L19" s="152">
        <v>12760</v>
      </c>
      <c r="M19" s="152">
        <v>14159</v>
      </c>
      <c r="N19" s="152">
        <v>19094</v>
      </c>
      <c r="O19" s="152">
        <v>24994</v>
      </c>
      <c r="P19" s="152">
        <v>20834</v>
      </c>
      <c r="Q19" s="152">
        <v>34590</v>
      </c>
      <c r="R19" s="259">
        <f t="shared" si="0"/>
        <v>289126</v>
      </c>
      <c r="S19" s="49">
        <f t="shared" si="1"/>
        <v>24093.833333333332</v>
      </c>
    </row>
    <row r="20" spans="2:19" x14ac:dyDescent="0.25">
      <c r="B20" s="46"/>
      <c r="C20" s="47" t="s">
        <v>62</v>
      </c>
      <c r="D20" s="48">
        <v>0</v>
      </c>
      <c r="E20" s="48">
        <f>1600/12</f>
        <v>133.33333333333334</v>
      </c>
      <c r="F20" s="152">
        <v>0</v>
      </c>
      <c r="G20" s="152">
        <v>7260</v>
      </c>
      <c r="H20" s="152">
        <v>5810</v>
      </c>
      <c r="I20" s="152">
        <v>16062</v>
      </c>
      <c r="J20" s="152">
        <v>10180</v>
      </c>
      <c r="K20" s="152">
        <v>9225</v>
      </c>
      <c r="L20" s="152">
        <v>7201</v>
      </c>
      <c r="M20" s="152">
        <v>8780</v>
      </c>
      <c r="N20" s="152">
        <v>2310</v>
      </c>
      <c r="O20" s="152">
        <v>22670</v>
      </c>
      <c r="P20" s="152">
        <v>8852</v>
      </c>
      <c r="Q20" s="152">
        <v>14970</v>
      </c>
      <c r="R20" s="259">
        <f t="shared" si="0"/>
        <v>113320</v>
      </c>
      <c r="S20" s="49">
        <f t="shared" si="1"/>
        <v>9443.3333333333339</v>
      </c>
    </row>
    <row r="21" spans="2:19" x14ac:dyDescent="0.25">
      <c r="B21" s="46"/>
      <c r="C21" s="47" t="s">
        <v>63</v>
      </c>
      <c r="D21" s="48">
        <v>0</v>
      </c>
      <c r="E21" s="48">
        <f>1335/12</f>
        <v>111.25</v>
      </c>
      <c r="F21" s="152">
        <v>0</v>
      </c>
      <c r="G21" s="152">
        <v>0</v>
      </c>
      <c r="H21" s="152">
        <v>0</v>
      </c>
      <c r="I21" s="152">
        <v>0</v>
      </c>
      <c r="J21" s="152">
        <v>0</v>
      </c>
      <c r="K21" s="152">
        <v>0</v>
      </c>
      <c r="L21" s="152">
        <v>700</v>
      </c>
      <c r="M21" s="152">
        <v>600</v>
      </c>
      <c r="N21" s="152">
        <v>301</v>
      </c>
      <c r="O21" s="152">
        <v>770</v>
      </c>
      <c r="P21" s="152">
        <v>300</v>
      </c>
      <c r="Q21" s="152">
        <v>1050</v>
      </c>
      <c r="R21" s="259">
        <f t="shared" si="0"/>
        <v>3721</v>
      </c>
      <c r="S21" s="49">
        <f t="shared" si="1"/>
        <v>310.08333333333331</v>
      </c>
    </row>
    <row r="22" spans="2:19" x14ac:dyDescent="0.25">
      <c r="B22" s="46"/>
      <c r="C22" s="47" t="s">
        <v>64</v>
      </c>
      <c r="D22" s="48">
        <v>0</v>
      </c>
      <c r="E22" s="48">
        <f>44865/12</f>
        <v>3738.75</v>
      </c>
      <c r="F22" s="152">
        <v>2371</v>
      </c>
      <c r="G22" s="152">
        <v>2343</v>
      </c>
      <c r="H22" s="152">
        <v>3200</v>
      </c>
      <c r="I22" s="152">
        <v>0</v>
      </c>
      <c r="J22" s="152">
        <v>0</v>
      </c>
      <c r="K22" s="152">
        <v>100</v>
      </c>
      <c r="L22" s="152">
        <v>1300</v>
      </c>
      <c r="M22" s="152">
        <v>0</v>
      </c>
      <c r="N22" s="152">
        <v>0</v>
      </c>
      <c r="O22" s="152">
        <v>0</v>
      </c>
      <c r="P22" s="152">
        <v>0</v>
      </c>
      <c r="Q22" s="152">
        <v>0</v>
      </c>
      <c r="R22" s="259">
        <f t="shared" si="0"/>
        <v>9314</v>
      </c>
      <c r="S22" s="49">
        <f t="shared" si="1"/>
        <v>776.16666666666663</v>
      </c>
    </row>
    <row r="23" spans="2:19" x14ac:dyDescent="0.25">
      <c r="B23" s="46"/>
      <c r="C23" s="47" t="s">
        <v>65</v>
      </c>
      <c r="D23" s="48">
        <f>91123/12</f>
        <v>7593.583333333333</v>
      </c>
      <c r="E23" s="48">
        <f>44756/12</f>
        <v>3729.6666666666665</v>
      </c>
      <c r="F23" s="152">
        <v>1960</v>
      </c>
      <c r="G23" s="152">
        <v>3955</v>
      </c>
      <c r="H23" s="152">
        <v>3635</v>
      </c>
      <c r="I23" s="152">
        <v>1020</v>
      </c>
      <c r="J23" s="152">
        <v>195</v>
      </c>
      <c r="K23" s="152">
        <v>850</v>
      </c>
      <c r="L23" s="152">
        <v>0</v>
      </c>
      <c r="M23" s="152">
        <v>114</v>
      </c>
      <c r="N23" s="152">
        <v>0</v>
      </c>
      <c r="O23" s="152">
        <v>900</v>
      </c>
      <c r="P23" s="152">
        <v>0</v>
      </c>
      <c r="Q23" s="152">
        <v>0</v>
      </c>
      <c r="R23" s="259">
        <f t="shared" si="0"/>
        <v>12629</v>
      </c>
      <c r="S23" s="49">
        <f t="shared" si="1"/>
        <v>1052.4166666666667</v>
      </c>
    </row>
    <row r="24" spans="2:19" x14ac:dyDescent="0.25">
      <c r="B24" s="46"/>
      <c r="C24" s="47" t="s">
        <v>66</v>
      </c>
      <c r="D24" s="48">
        <v>0</v>
      </c>
      <c r="E24" s="48">
        <f>49511/12</f>
        <v>4125.916666666667</v>
      </c>
      <c r="F24" s="152">
        <v>15367</v>
      </c>
      <c r="G24" s="152">
        <v>20039</v>
      </c>
      <c r="H24" s="152">
        <v>17335</v>
      </c>
      <c r="I24" s="152">
        <v>16350</v>
      </c>
      <c r="J24" s="152">
        <v>23862</v>
      </c>
      <c r="K24" s="152">
        <v>20855</v>
      </c>
      <c r="L24" s="152">
        <v>28478</v>
      </c>
      <c r="M24" s="152">
        <v>31389</v>
      </c>
      <c r="N24" s="152">
        <v>27270</v>
      </c>
      <c r="O24" s="152">
        <v>30212</v>
      </c>
      <c r="P24" s="152">
        <v>43783</v>
      </c>
      <c r="Q24" s="152">
        <v>46378</v>
      </c>
      <c r="R24" s="259">
        <f t="shared" si="0"/>
        <v>321318</v>
      </c>
      <c r="S24" s="49">
        <f t="shared" si="1"/>
        <v>26776.5</v>
      </c>
    </row>
    <row r="25" spans="2:19" x14ac:dyDescent="0.25">
      <c r="B25" s="46"/>
      <c r="C25" s="47" t="s">
        <v>67</v>
      </c>
      <c r="D25" s="48">
        <v>0</v>
      </c>
      <c r="E25" s="48">
        <f>9791/12</f>
        <v>815.91666666666663</v>
      </c>
      <c r="F25" s="152">
        <v>845</v>
      </c>
      <c r="G25" s="152">
        <v>775</v>
      </c>
      <c r="H25" s="152">
        <v>520</v>
      </c>
      <c r="I25" s="152">
        <v>1850</v>
      </c>
      <c r="J25" s="152">
        <v>730</v>
      </c>
      <c r="K25" s="152">
        <v>800</v>
      </c>
      <c r="L25" s="152">
        <v>1350</v>
      </c>
      <c r="M25" s="152">
        <v>380</v>
      </c>
      <c r="N25" s="152">
        <v>1410</v>
      </c>
      <c r="O25" s="152">
        <v>1517</v>
      </c>
      <c r="P25" s="152">
        <v>1925</v>
      </c>
      <c r="Q25" s="152">
        <v>2670</v>
      </c>
      <c r="R25" s="259">
        <f t="shared" si="0"/>
        <v>14772</v>
      </c>
      <c r="S25" s="49">
        <f t="shared" si="1"/>
        <v>1231</v>
      </c>
    </row>
    <row r="26" spans="2:19" x14ac:dyDescent="0.25">
      <c r="B26" s="46"/>
      <c r="C26" s="47" t="s">
        <v>68</v>
      </c>
      <c r="D26" s="48">
        <v>0</v>
      </c>
      <c r="E26" s="48">
        <f>1630/12</f>
        <v>135.83333333333334</v>
      </c>
      <c r="F26" s="152">
        <v>0</v>
      </c>
      <c r="G26" s="152">
        <v>150</v>
      </c>
      <c r="H26" s="152">
        <v>300</v>
      </c>
      <c r="I26" s="152">
        <v>0</v>
      </c>
      <c r="J26" s="152">
        <v>0</v>
      </c>
      <c r="K26" s="152">
        <v>0</v>
      </c>
      <c r="L26" s="152">
        <v>0</v>
      </c>
      <c r="M26" s="152">
        <v>0</v>
      </c>
      <c r="N26" s="152">
        <v>0</v>
      </c>
      <c r="O26" s="152">
        <v>2190</v>
      </c>
      <c r="P26" s="152">
        <v>0</v>
      </c>
      <c r="Q26" s="152">
        <v>1000</v>
      </c>
      <c r="R26" s="259">
        <f t="shared" si="0"/>
        <v>3640</v>
      </c>
      <c r="S26" s="49">
        <f t="shared" si="1"/>
        <v>303.33333333333331</v>
      </c>
    </row>
    <row r="27" spans="2:19" x14ac:dyDescent="0.25">
      <c r="B27" s="46"/>
      <c r="C27" s="47" t="s">
        <v>69</v>
      </c>
      <c r="D27" s="48">
        <f>151828/12</f>
        <v>12652.333333333334</v>
      </c>
      <c r="E27" s="48">
        <f>178199/12</f>
        <v>14849.916666666666</v>
      </c>
      <c r="F27" s="152">
        <v>16062</v>
      </c>
      <c r="G27" s="152">
        <v>14309</v>
      </c>
      <c r="H27" s="152">
        <v>6408</v>
      </c>
      <c r="I27" s="152">
        <v>11760</v>
      </c>
      <c r="J27" s="152">
        <v>20320</v>
      </c>
      <c r="K27" s="152">
        <v>8384</v>
      </c>
      <c r="L27" s="152">
        <v>10540</v>
      </c>
      <c r="M27" s="152">
        <v>15656</v>
      </c>
      <c r="N27" s="152">
        <v>12718</v>
      </c>
      <c r="O27" s="152">
        <v>18957</v>
      </c>
      <c r="P27" s="152">
        <v>25713</v>
      </c>
      <c r="Q27" s="152">
        <v>20740</v>
      </c>
      <c r="R27" s="259">
        <f>SUM(F27:Q27)</f>
        <v>181567</v>
      </c>
      <c r="S27" s="49">
        <f>R27/12</f>
        <v>15130.583333333334</v>
      </c>
    </row>
    <row r="28" spans="2:19" ht="15.75" thickBot="1" x14ac:dyDescent="0.3">
      <c r="B28" s="50"/>
      <c r="C28" s="51"/>
      <c r="D28" s="52"/>
      <c r="E28" s="52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53"/>
    </row>
    <row r="29" spans="2:19" ht="16.5" thickTop="1" thickBot="1" x14ac:dyDescent="0.3">
      <c r="B29" s="54"/>
      <c r="C29" s="55" t="s">
        <v>14</v>
      </c>
      <c r="D29" s="56">
        <f t="shared" ref="D29:Q29" si="2">SUM(D8:D27)</f>
        <v>174303.58333333337</v>
      </c>
      <c r="E29" s="56">
        <f t="shared" si="2"/>
        <v>182770.16666666663</v>
      </c>
      <c r="F29" s="56">
        <f t="shared" si="2"/>
        <v>176884</v>
      </c>
      <c r="G29" s="56">
        <f t="shared" si="2"/>
        <v>176446</v>
      </c>
      <c r="H29" s="56">
        <f t="shared" si="2"/>
        <v>165148</v>
      </c>
      <c r="I29" s="56">
        <f t="shared" si="2"/>
        <v>141170</v>
      </c>
      <c r="J29" s="56">
        <f t="shared" si="2"/>
        <v>170174</v>
      </c>
      <c r="K29" s="56">
        <f t="shared" si="2"/>
        <v>120072</v>
      </c>
      <c r="L29" s="56">
        <f t="shared" si="2"/>
        <v>147176</v>
      </c>
      <c r="M29" s="56">
        <f t="shared" si="2"/>
        <v>149439</v>
      </c>
      <c r="N29" s="56">
        <f t="shared" si="2"/>
        <v>163036</v>
      </c>
      <c r="O29" s="56">
        <f t="shared" si="2"/>
        <v>220337</v>
      </c>
      <c r="P29" s="56">
        <f t="shared" si="2"/>
        <v>205233</v>
      </c>
      <c r="Q29" s="56">
        <f t="shared" si="2"/>
        <v>234414</v>
      </c>
      <c r="R29" s="251">
        <f>SUM(R8:R27)</f>
        <v>2069529</v>
      </c>
      <c r="S29" s="57">
        <f>SUM(S8:S27)</f>
        <v>172460.75</v>
      </c>
    </row>
    <row r="30" spans="2:19" ht="15.75" thickTop="1" x14ac:dyDescent="0.25">
      <c r="B30" s="43"/>
      <c r="C30" s="45"/>
      <c r="D30" s="58"/>
      <c r="E30" s="58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260"/>
      <c r="S30" s="68"/>
    </row>
    <row r="31" spans="2:19" x14ac:dyDescent="0.25">
      <c r="B31" s="46" t="s">
        <v>15</v>
      </c>
      <c r="C31" s="60" t="s">
        <v>16</v>
      </c>
      <c r="D31" s="61"/>
      <c r="E31" s="61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259"/>
      <c r="S31" s="49"/>
    </row>
    <row r="32" spans="2:19" x14ac:dyDescent="0.25">
      <c r="B32" s="46"/>
      <c r="C32" s="47" t="s">
        <v>38</v>
      </c>
      <c r="D32" s="48">
        <f>8768/12</f>
        <v>730.66666666666663</v>
      </c>
      <c r="E32" s="48">
        <f>5103/12</f>
        <v>425.25</v>
      </c>
      <c r="F32" s="152">
        <v>335</v>
      </c>
      <c r="G32" s="152">
        <v>815</v>
      </c>
      <c r="H32" s="152">
        <v>607</v>
      </c>
      <c r="I32" s="152">
        <v>745</v>
      </c>
      <c r="J32" s="152">
        <v>405</v>
      </c>
      <c r="K32" s="152">
        <v>390</v>
      </c>
      <c r="L32" s="152">
        <v>265</v>
      </c>
      <c r="M32" s="152">
        <v>165</v>
      </c>
      <c r="N32" s="152">
        <v>365</v>
      </c>
      <c r="O32" s="152">
        <v>984</v>
      </c>
      <c r="P32" s="152">
        <v>356</v>
      </c>
      <c r="Q32" s="152">
        <v>557</v>
      </c>
      <c r="R32" s="259">
        <f>SUM(F32:Q32)</f>
        <v>5989</v>
      </c>
      <c r="S32" s="49">
        <f t="shared" ref="S32:S49" si="3">R32/12</f>
        <v>499.08333333333331</v>
      </c>
    </row>
    <row r="33" spans="2:19" x14ac:dyDescent="0.25">
      <c r="B33" s="46"/>
      <c r="C33" s="47" t="s">
        <v>39</v>
      </c>
      <c r="D33" s="48">
        <f>214331/12</f>
        <v>17860.916666666668</v>
      </c>
      <c r="E33" s="48">
        <f>204672/12</f>
        <v>17056</v>
      </c>
      <c r="F33" s="152">
        <v>17556</v>
      </c>
      <c r="G33" s="152">
        <v>19114</v>
      </c>
      <c r="H33" s="152">
        <v>19487</v>
      </c>
      <c r="I33" s="152">
        <v>15801</v>
      </c>
      <c r="J33" s="152">
        <v>15755</v>
      </c>
      <c r="K33" s="152">
        <v>10182</v>
      </c>
      <c r="L33" s="152">
        <v>7214</v>
      </c>
      <c r="M33" s="152">
        <v>7561</v>
      </c>
      <c r="N33" s="152">
        <v>24930</v>
      </c>
      <c r="O33" s="152">
        <v>26763</v>
      </c>
      <c r="P33" s="152">
        <v>20850</v>
      </c>
      <c r="Q33" s="152">
        <v>18546</v>
      </c>
      <c r="R33" s="259">
        <f t="shared" ref="R33:R48" si="4">SUM(F33:Q33)</f>
        <v>203759</v>
      </c>
      <c r="S33" s="49">
        <f t="shared" si="3"/>
        <v>16979.916666666668</v>
      </c>
    </row>
    <row r="34" spans="2:19" x14ac:dyDescent="0.25">
      <c r="B34" s="46"/>
      <c r="C34" s="47" t="s">
        <v>40</v>
      </c>
      <c r="D34" s="48">
        <f>92571/12</f>
        <v>7714.25</v>
      </c>
      <c r="E34" s="48">
        <f>96139/12</f>
        <v>8011.583333333333</v>
      </c>
      <c r="F34" s="152">
        <v>5993</v>
      </c>
      <c r="G34" s="152">
        <v>10152</v>
      </c>
      <c r="H34" s="152">
        <v>10167</v>
      </c>
      <c r="I34" s="152">
        <v>4484</v>
      </c>
      <c r="J34" s="152">
        <v>6148</v>
      </c>
      <c r="K34" s="152">
        <v>5934</v>
      </c>
      <c r="L34" s="152">
        <v>7137</v>
      </c>
      <c r="M34" s="152">
        <v>5911</v>
      </c>
      <c r="N34" s="152">
        <v>6192</v>
      </c>
      <c r="O34" s="152">
        <v>8255</v>
      </c>
      <c r="P34" s="152">
        <v>7182</v>
      </c>
      <c r="Q34" s="152">
        <v>15630</v>
      </c>
      <c r="R34" s="259">
        <f t="shared" si="4"/>
        <v>93185</v>
      </c>
      <c r="S34" s="49">
        <f t="shared" si="3"/>
        <v>7765.416666666667</v>
      </c>
    </row>
    <row r="35" spans="2:19" x14ac:dyDescent="0.25">
      <c r="B35" s="46"/>
      <c r="C35" s="47" t="s">
        <v>41</v>
      </c>
      <c r="D35" s="48">
        <f>28067/12</f>
        <v>2338.9166666666665</v>
      </c>
      <c r="E35" s="48">
        <f>25265/12</f>
        <v>2105.4166666666665</v>
      </c>
      <c r="F35" s="152">
        <v>625</v>
      </c>
      <c r="G35" s="152">
        <v>1849</v>
      </c>
      <c r="H35" s="152">
        <v>3302</v>
      </c>
      <c r="I35" s="152">
        <v>2695</v>
      </c>
      <c r="J35" s="152">
        <v>3039</v>
      </c>
      <c r="K35" s="152">
        <v>3757</v>
      </c>
      <c r="L35" s="152">
        <v>4272</v>
      </c>
      <c r="M35" s="152">
        <v>2546</v>
      </c>
      <c r="N35" s="152">
        <v>5179</v>
      </c>
      <c r="O35" s="152">
        <v>3434</v>
      </c>
      <c r="P35" s="152">
        <v>3092</v>
      </c>
      <c r="Q35" s="152">
        <v>2840</v>
      </c>
      <c r="R35" s="259">
        <f t="shared" si="4"/>
        <v>36630</v>
      </c>
      <c r="S35" s="49">
        <f t="shared" si="3"/>
        <v>3052.5</v>
      </c>
    </row>
    <row r="36" spans="2:19" x14ac:dyDescent="0.25">
      <c r="B36" s="46"/>
      <c r="C36" s="47" t="s">
        <v>50</v>
      </c>
      <c r="D36" s="48">
        <f>345/12</f>
        <v>28.75</v>
      </c>
      <c r="E36" s="48">
        <v>0</v>
      </c>
      <c r="F36" s="152">
        <v>0</v>
      </c>
      <c r="G36" s="152">
        <v>0</v>
      </c>
      <c r="H36" s="152">
        <v>0</v>
      </c>
      <c r="I36" s="152">
        <v>0</v>
      </c>
      <c r="J36" s="152">
        <v>0</v>
      </c>
      <c r="K36" s="152">
        <v>0</v>
      </c>
      <c r="L36" s="152">
        <v>0</v>
      </c>
      <c r="M36" s="152">
        <v>0</v>
      </c>
      <c r="N36" s="152">
        <v>0</v>
      </c>
      <c r="O36" s="152">
        <v>0</v>
      </c>
      <c r="P36" s="152">
        <v>4</v>
      </c>
      <c r="Q36" s="152">
        <v>5</v>
      </c>
      <c r="R36" s="259">
        <f t="shared" si="4"/>
        <v>9</v>
      </c>
      <c r="S36" s="49">
        <f t="shared" si="3"/>
        <v>0.75</v>
      </c>
    </row>
    <row r="37" spans="2:19" x14ac:dyDescent="0.25">
      <c r="B37" s="46"/>
      <c r="C37" s="47" t="s">
        <v>51</v>
      </c>
      <c r="D37" s="48">
        <f>48020/12</f>
        <v>4001.6666666666665</v>
      </c>
      <c r="E37" s="48">
        <f>33915/12</f>
        <v>2826.25</v>
      </c>
      <c r="F37" s="152">
        <v>0</v>
      </c>
      <c r="G37" s="152">
        <v>0</v>
      </c>
      <c r="H37" s="152">
        <v>7750</v>
      </c>
      <c r="I37" s="152">
        <v>5950</v>
      </c>
      <c r="J37" s="152">
        <v>0</v>
      </c>
      <c r="K37" s="152">
        <v>0</v>
      </c>
      <c r="L37" s="152">
        <v>0</v>
      </c>
      <c r="M37" s="152">
        <v>600</v>
      </c>
      <c r="N37" s="152">
        <v>1000</v>
      </c>
      <c r="O37" s="152">
        <v>0</v>
      </c>
      <c r="P37" s="152">
        <v>335</v>
      </c>
      <c r="Q37" s="152">
        <v>0</v>
      </c>
      <c r="R37" s="259">
        <f t="shared" si="4"/>
        <v>15635</v>
      </c>
      <c r="S37" s="49">
        <f t="shared" si="3"/>
        <v>1302.9166666666667</v>
      </c>
    </row>
    <row r="38" spans="2:19" x14ac:dyDescent="0.25">
      <c r="B38" s="46"/>
      <c r="C38" s="47" t="s">
        <v>49</v>
      </c>
      <c r="D38" s="48">
        <f>18700/12</f>
        <v>1558.3333333333333</v>
      </c>
      <c r="E38" s="48">
        <f>9390/12</f>
        <v>782.5</v>
      </c>
      <c r="F38" s="152">
        <v>100</v>
      </c>
      <c r="G38" s="152">
        <v>100</v>
      </c>
      <c r="H38" s="152">
        <v>0</v>
      </c>
      <c r="I38" s="152">
        <v>220</v>
      </c>
      <c r="J38" s="152">
        <v>0</v>
      </c>
      <c r="K38" s="152">
        <v>0</v>
      </c>
      <c r="L38" s="152">
        <v>210</v>
      </c>
      <c r="M38" s="152">
        <v>0</v>
      </c>
      <c r="N38" s="152">
        <v>0</v>
      </c>
      <c r="O38" s="152">
        <v>0</v>
      </c>
      <c r="P38" s="152">
        <v>0</v>
      </c>
      <c r="Q38" s="152">
        <v>1500</v>
      </c>
      <c r="R38" s="259">
        <f t="shared" si="4"/>
        <v>2130</v>
      </c>
      <c r="S38" s="49">
        <f t="shared" si="3"/>
        <v>177.5</v>
      </c>
    </row>
    <row r="39" spans="2:19" x14ac:dyDescent="0.25">
      <c r="B39" s="46"/>
      <c r="C39" s="47" t="s">
        <v>79</v>
      </c>
      <c r="D39" s="48">
        <f>9985/12</f>
        <v>832.08333333333337</v>
      </c>
      <c r="E39" s="48">
        <f>36272/12</f>
        <v>3022.6666666666665</v>
      </c>
      <c r="F39" s="152">
        <v>2620</v>
      </c>
      <c r="G39" s="152">
        <v>1255</v>
      </c>
      <c r="H39" s="152">
        <v>1020</v>
      </c>
      <c r="I39" s="152">
        <v>490</v>
      </c>
      <c r="J39" s="152">
        <v>0</v>
      </c>
      <c r="K39" s="152">
        <v>250</v>
      </c>
      <c r="L39" s="152">
        <v>3779</v>
      </c>
      <c r="M39" s="152">
        <v>1230</v>
      </c>
      <c r="N39" s="152">
        <v>3130</v>
      </c>
      <c r="O39" s="152">
        <v>3895</v>
      </c>
      <c r="P39" s="152">
        <v>3945</v>
      </c>
      <c r="Q39" s="152">
        <v>4520</v>
      </c>
      <c r="R39" s="259">
        <f t="shared" si="4"/>
        <v>26134</v>
      </c>
      <c r="S39" s="49">
        <f t="shared" si="3"/>
        <v>2177.8333333333335</v>
      </c>
    </row>
    <row r="40" spans="2:19" x14ac:dyDescent="0.25">
      <c r="B40" s="46"/>
      <c r="C40" s="47" t="s">
        <v>71</v>
      </c>
      <c r="D40" s="48">
        <f>20898/12</f>
        <v>1741.5</v>
      </c>
      <c r="E40" s="48">
        <f>32501/12</f>
        <v>2708.4166666666665</v>
      </c>
      <c r="F40" s="152">
        <v>3125</v>
      </c>
      <c r="G40" s="152">
        <v>3885</v>
      </c>
      <c r="H40" s="152">
        <v>5999</v>
      </c>
      <c r="I40" s="152">
        <v>4642</v>
      </c>
      <c r="J40" s="152">
        <v>4380</v>
      </c>
      <c r="K40" s="152">
        <v>1715</v>
      </c>
      <c r="L40" s="152">
        <v>7889</v>
      </c>
      <c r="M40" s="152">
        <v>4299</v>
      </c>
      <c r="N40" s="152">
        <v>5525</v>
      </c>
      <c r="O40" s="152">
        <v>8237</v>
      </c>
      <c r="P40" s="152">
        <v>8103</v>
      </c>
      <c r="Q40" s="152">
        <v>8438</v>
      </c>
      <c r="R40" s="259">
        <f t="shared" si="4"/>
        <v>66237</v>
      </c>
      <c r="S40" s="49">
        <f t="shared" si="3"/>
        <v>5519.75</v>
      </c>
    </row>
    <row r="41" spans="2:19" x14ac:dyDescent="0.25">
      <c r="B41" s="46"/>
      <c r="C41" s="47" t="s">
        <v>72</v>
      </c>
      <c r="D41" s="48">
        <f>16365/12/2</f>
        <v>681.875</v>
      </c>
      <c r="E41" s="48">
        <f>29405/12</f>
        <v>2450.4166666666665</v>
      </c>
      <c r="F41" s="152">
        <v>4025</v>
      </c>
      <c r="G41" s="152">
        <v>3820</v>
      </c>
      <c r="H41" s="152">
        <v>6550</v>
      </c>
      <c r="I41" s="152">
        <v>5523</v>
      </c>
      <c r="J41" s="152">
        <v>7340</v>
      </c>
      <c r="K41" s="152">
        <v>7129</v>
      </c>
      <c r="L41" s="152">
        <v>11194</v>
      </c>
      <c r="M41" s="152">
        <v>11281</v>
      </c>
      <c r="N41" s="152">
        <v>13585</v>
      </c>
      <c r="O41" s="152">
        <v>17210</v>
      </c>
      <c r="P41" s="152">
        <v>13815</v>
      </c>
      <c r="Q41" s="152">
        <v>17620</v>
      </c>
      <c r="R41" s="259">
        <f t="shared" si="4"/>
        <v>119092</v>
      </c>
      <c r="S41" s="49">
        <f>R41/12</f>
        <v>9924.3333333333339</v>
      </c>
    </row>
    <row r="42" spans="2:19" x14ac:dyDescent="0.25">
      <c r="B42" s="46"/>
      <c r="C42" s="47" t="s">
        <v>70</v>
      </c>
      <c r="D42" s="48">
        <f>16365/12/2</f>
        <v>681.875</v>
      </c>
      <c r="E42" s="48">
        <f>8656/12</f>
        <v>721.33333333333337</v>
      </c>
      <c r="F42" s="152">
        <v>295</v>
      </c>
      <c r="G42" s="152">
        <v>0</v>
      </c>
      <c r="H42" s="152">
        <v>0</v>
      </c>
      <c r="I42" s="152">
        <v>0</v>
      </c>
      <c r="J42" s="152">
        <v>107</v>
      </c>
      <c r="K42" s="152">
        <v>0</v>
      </c>
      <c r="L42" s="152">
        <v>1060</v>
      </c>
      <c r="M42" s="152">
        <v>1422</v>
      </c>
      <c r="N42" s="152">
        <v>190</v>
      </c>
      <c r="O42" s="152">
        <v>0</v>
      </c>
      <c r="P42" s="152">
        <v>140</v>
      </c>
      <c r="Q42" s="152">
        <v>150</v>
      </c>
      <c r="R42" s="259">
        <f t="shared" si="4"/>
        <v>3364</v>
      </c>
      <c r="S42" s="49">
        <f t="shared" si="3"/>
        <v>280.33333333333331</v>
      </c>
    </row>
    <row r="43" spans="2:19" x14ac:dyDescent="0.25">
      <c r="B43" s="46"/>
      <c r="C43" s="47" t="s">
        <v>73</v>
      </c>
      <c r="D43" s="48">
        <v>0</v>
      </c>
      <c r="E43" s="48">
        <f>26196/12</f>
        <v>2183</v>
      </c>
      <c r="F43" s="152">
        <v>712</v>
      </c>
      <c r="G43" s="152">
        <v>635</v>
      </c>
      <c r="H43" s="152">
        <v>2075</v>
      </c>
      <c r="I43" s="152">
        <v>0</v>
      </c>
      <c r="J43" s="152">
        <v>650</v>
      </c>
      <c r="K43" s="152">
        <v>0</v>
      </c>
      <c r="L43" s="152">
        <v>0</v>
      </c>
      <c r="M43" s="152">
        <v>0</v>
      </c>
      <c r="N43" s="152">
        <v>0</v>
      </c>
      <c r="O43" s="152">
        <v>0</v>
      </c>
      <c r="P43" s="152">
        <v>0</v>
      </c>
      <c r="Q43" s="152">
        <v>0</v>
      </c>
      <c r="R43" s="259">
        <f t="shared" si="4"/>
        <v>4072</v>
      </c>
      <c r="S43" s="49">
        <f t="shared" si="3"/>
        <v>339.33333333333331</v>
      </c>
    </row>
    <row r="44" spans="2:19" x14ac:dyDescent="0.25">
      <c r="B44" s="46"/>
      <c r="C44" s="47" t="s">
        <v>74</v>
      </c>
      <c r="D44" s="48">
        <v>0</v>
      </c>
      <c r="E44" s="48">
        <v>0</v>
      </c>
      <c r="F44" s="152">
        <v>0</v>
      </c>
      <c r="G44" s="152">
        <v>0</v>
      </c>
      <c r="H44" s="152">
        <v>0</v>
      </c>
      <c r="I44" s="152">
        <v>0</v>
      </c>
      <c r="J44" s="152">
        <v>0</v>
      </c>
      <c r="K44" s="152">
        <v>0</v>
      </c>
      <c r="L44" s="152">
        <v>0</v>
      </c>
      <c r="M44" s="152">
        <v>0</v>
      </c>
      <c r="N44" s="152">
        <v>0</v>
      </c>
      <c r="O44" s="152">
        <v>0</v>
      </c>
      <c r="P44" s="152">
        <v>0</v>
      </c>
      <c r="Q44" s="152">
        <v>0</v>
      </c>
      <c r="R44" s="259">
        <f t="shared" si="4"/>
        <v>0</v>
      </c>
      <c r="S44" s="49">
        <f t="shared" si="3"/>
        <v>0</v>
      </c>
    </row>
    <row r="45" spans="2:19" x14ac:dyDescent="0.25">
      <c r="B45" s="46"/>
      <c r="C45" s="47" t="s">
        <v>75</v>
      </c>
      <c r="D45" s="48">
        <v>0</v>
      </c>
      <c r="E45" s="48">
        <f>13500/12</f>
        <v>1125</v>
      </c>
      <c r="F45" s="152">
        <v>1800</v>
      </c>
      <c r="G45" s="152">
        <v>4430</v>
      </c>
      <c r="H45" s="152">
        <v>8623</v>
      </c>
      <c r="I45" s="152">
        <v>13499</v>
      </c>
      <c r="J45" s="152">
        <v>12053</v>
      </c>
      <c r="K45" s="152">
        <v>6620</v>
      </c>
      <c r="L45" s="152">
        <v>12540</v>
      </c>
      <c r="M45" s="152">
        <v>9895</v>
      </c>
      <c r="N45" s="152">
        <v>16914</v>
      </c>
      <c r="O45" s="152">
        <v>21110</v>
      </c>
      <c r="P45" s="152">
        <v>21757</v>
      </c>
      <c r="Q45" s="152">
        <v>29165</v>
      </c>
      <c r="R45" s="259">
        <f t="shared" si="4"/>
        <v>158406</v>
      </c>
      <c r="S45" s="49">
        <f t="shared" si="3"/>
        <v>13200.5</v>
      </c>
    </row>
    <row r="46" spans="2:19" x14ac:dyDescent="0.25">
      <c r="B46" s="46"/>
      <c r="C46" s="47" t="s">
        <v>76</v>
      </c>
      <c r="D46" s="48">
        <v>0</v>
      </c>
      <c r="E46" s="48">
        <v>0</v>
      </c>
      <c r="F46" s="152">
        <v>0</v>
      </c>
      <c r="G46" s="152">
        <v>0</v>
      </c>
      <c r="H46" s="152">
        <v>0</v>
      </c>
      <c r="I46" s="152">
        <v>0</v>
      </c>
      <c r="J46" s="152">
        <v>0</v>
      </c>
      <c r="K46" s="152">
        <v>0</v>
      </c>
      <c r="L46" s="152">
        <v>0</v>
      </c>
      <c r="M46" s="152">
        <v>0</v>
      </c>
      <c r="N46" s="152">
        <v>0</v>
      </c>
      <c r="O46" s="152">
        <v>0</v>
      </c>
      <c r="P46" s="152">
        <v>0</v>
      </c>
      <c r="Q46" s="152">
        <v>0</v>
      </c>
      <c r="R46" s="259">
        <f t="shared" si="4"/>
        <v>0</v>
      </c>
      <c r="S46" s="49">
        <f t="shared" si="3"/>
        <v>0</v>
      </c>
    </row>
    <row r="47" spans="2:19" x14ac:dyDescent="0.25">
      <c r="B47" s="46"/>
      <c r="C47" s="47" t="s">
        <v>77</v>
      </c>
      <c r="D47" s="48">
        <v>0</v>
      </c>
      <c r="E47" s="48">
        <v>0</v>
      </c>
      <c r="F47" s="152">
        <v>0</v>
      </c>
      <c r="G47" s="152">
        <v>0</v>
      </c>
      <c r="H47" s="152">
        <v>0</v>
      </c>
      <c r="I47" s="152">
        <v>0</v>
      </c>
      <c r="J47" s="152">
        <v>0</v>
      </c>
      <c r="K47" s="152">
        <v>0</v>
      </c>
      <c r="L47" s="152">
        <v>0</v>
      </c>
      <c r="M47" s="152">
        <v>0</v>
      </c>
      <c r="N47" s="152">
        <v>0</v>
      </c>
      <c r="O47" s="152">
        <v>0</v>
      </c>
      <c r="P47" s="152">
        <v>0</v>
      </c>
      <c r="Q47" s="152">
        <v>0</v>
      </c>
      <c r="R47" s="259">
        <f t="shared" si="4"/>
        <v>0</v>
      </c>
      <c r="S47" s="49">
        <f t="shared" si="3"/>
        <v>0</v>
      </c>
    </row>
    <row r="48" spans="2:19" x14ac:dyDescent="0.25">
      <c r="B48" s="46"/>
      <c r="C48" s="47" t="s">
        <v>78</v>
      </c>
      <c r="D48" s="48">
        <f>137739/12</f>
        <v>11478.25</v>
      </c>
      <c r="E48" s="48">
        <f>148702/12</f>
        <v>12391.833333333334</v>
      </c>
      <c r="F48" s="152">
        <v>10244</v>
      </c>
      <c r="G48" s="152">
        <v>7993</v>
      </c>
      <c r="H48" s="152">
        <v>9555</v>
      </c>
      <c r="I48" s="152">
        <v>8433</v>
      </c>
      <c r="J48" s="152">
        <v>19242</v>
      </c>
      <c r="K48" s="152">
        <v>4930</v>
      </c>
      <c r="L48" s="152">
        <v>9620</v>
      </c>
      <c r="M48" s="152">
        <v>2700</v>
      </c>
      <c r="N48" s="152">
        <v>4015</v>
      </c>
      <c r="O48" s="152">
        <v>3525</v>
      </c>
      <c r="P48" s="152">
        <v>7355</v>
      </c>
      <c r="Q48" s="152">
        <v>8425</v>
      </c>
      <c r="R48" s="259">
        <f t="shared" si="4"/>
        <v>96037</v>
      </c>
      <c r="S48" s="49">
        <f t="shared" si="3"/>
        <v>8003.083333333333</v>
      </c>
    </row>
    <row r="49" spans="2:20" x14ac:dyDescent="0.25">
      <c r="B49" s="46"/>
      <c r="C49" s="47" t="s">
        <v>326</v>
      </c>
      <c r="D49" s="48">
        <v>0</v>
      </c>
      <c r="E49" s="48">
        <v>0</v>
      </c>
      <c r="F49" s="152">
        <v>0</v>
      </c>
      <c r="G49" s="152">
        <v>0</v>
      </c>
      <c r="H49" s="152">
        <v>1710</v>
      </c>
      <c r="I49" s="152">
        <v>286</v>
      </c>
      <c r="J49" s="152">
        <v>0</v>
      </c>
      <c r="K49" s="152">
        <v>0</v>
      </c>
      <c r="L49" s="152">
        <v>0</v>
      </c>
      <c r="M49" s="152">
        <v>0</v>
      </c>
      <c r="N49" s="152">
        <v>0</v>
      </c>
      <c r="O49" s="152">
        <v>0</v>
      </c>
      <c r="P49" s="152">
        <v>0</v>
      </c>
      <c r="Q49" s="152">
        <v>0</v>
      </c>
      <c r="R49" s="259">
        <f>SUM(F49:Q49)</f>
        <v>1996</v>
      </c>
      <c r="S49" s="49">
        <f t="shared" si="3"/>
        <v>166.33333333333334</v>
      </c>
    </row>
    <row r="50" spans="2:20" ht="15.75" thickBot="1" x14ac:dyDescent="0.3">
      <c r="B50" s="50"/>
      <c r="C50" s="63"/>
      <c r="D50" s="64"/>
      <c r="E50" s="64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52"/>
      <c r="S50" s="253"/>
    </row>
    <row r="51" spans="2:20" ht="16.5" thickTop="1" thickBot="1" x14ac:dyDescent="0.3">
      <c r="B51" s="65"/>
      <c r="C51" s="66" t="s">
        <v>17</v>
      </c>
      <c r="D51" s="56">
        <f t="shared" ref="D51:S51" si="5">SUM(D32:D49)</f>
        <v>49649.083333333343</v>
      </c>
      <c r="E51" s="56">
        <f t="shared" si="5"/>
        <v>55809.666666666664</v>
      </c>
      <c r="F51" s="56">
        <f t="shared" si="5"/>
        <v>47430</v>
      </c>
      <c r="G51" s="56">
        <f t="shared" si="5"/>
        <v>54048</v>
      </c>
      <c r="H51" s="56">
        <f t="shared" si="5"/>
        <v>76845</v>
      </c>
      <c r="I51" s="56">
        <f t="shared" si="5"/>
        <v>62768</v>
      </c>
      <c r="J51" s="56">
        <f t="shared" si="5"/>
        <v>69119</v>
      </c>
      <c r="K51" s="56">
        <f t="shared" ref="K51:R51" si="6">SUM(K32:K49)</f>
        <v>40907</v>
      </c>
      <c r="L51" s="56">
        <f t="shared" si="6"/>
        <v>65180</v>
      </c>
      <c r="M51" s="56">
        <f t="shared" si="6"/>
        <v>47610</v>
      </c>
      <c r="N51" s="56">
        <f t="shared" si="6"/>
        <v>81025</v>
      </c>
      <c r="O51" s="56">
        <f t="shared" si="6"/>
        <v>93413</v>
      </c>
      <c r="P51" s="56">
        <f t="shared" si="6"/>
        <v>86934</v>
      </c>
      <c r="Q51" s="56">
        <f t="shared" si="6"/>
        <v>107396</v>
      </c>
      <c r="R51" s="252">
        <f t="shared" si="6"/>
        <v>832675</v>
      </c>
      <c r="S51" s="267">
        <f t="shared" si="5"/>
        <v>69389.583333333343</v>
      </c>
      <c r="T51" s="12"/>
    </row>
    <row r="52" spans="2:20" ht="15.75" thickTop="1" x14ac:dyDescent="0.25">
      <c r="B52" s="67"/>
      <c r="C52" s="45"/>
      <c r="D52" s="58"/>
      <c r="E52" s="58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261"/>
      <c r="S52" s="68"/>
    </row>
    <row r="53" spans="2:20" x14ac:dyDescent="0.25">
      <c r="B53" s="46" t="s">
        <v>18</v>
      </c>
      <c r="C53" s="60" t="s">
        <v>19</v>
      </c>
      <c r="D53" s="61"/>
      <c r="E53" s="61"/>
      <c r="F53" s="155"/>
      <c r="G53" s="155"/>
      <c r="H53" s="155"/>
      <c r="I53" s="155"/>
      <c r="J53" s="155"/>
      <c r="K53" s="155"/>
      <c r="L53" s="155"/>
      <c r="M53" s="155"/>
      <c r="N53" s="155"/>
      <c r="O53" s="155"/>
      <c r="P53" s="155"/>
      <c r="Q53" s="155"/>
      <c r="R53" s="259"/>
      <c r="S53" s="49"/>
    </row>
    <row r="54" spans="2:20" x14ac:dyDescent="0.25">
      <c r="B54" s="46"/>
      <c r="C54" s="47" t="s">
        <v>42</v>
      </c>
      <c r="D54" s="48">
        <f>4425/12</f>
        <v>368.75</v>
      </c>
      <c r="E54" s="48">
        <f>8042/12</f>
        <v>670.16666666666663</v>
      </c>
      <c r="F54" s="152">
        <v>170</v>
      </c>
      <c r="G54" s="152">
        <v>505</v>
      </c>
      <c r="H54" s="152">
        <v>283</v>
      </c>
      <c r="I54" s="152">
        <v>431</v>
      </c>
      <c r="J54" s="152">
        <v>4936</v>
      </c>
      <c r="K54" s="152">
        <v>2098</v>
      </c>
      <c r="L54" s="152">
        <v>645</v>
      </c>
      <c r="M54" s="152">
        <v>257</v>
      </c>
      <c r="N54" s="152">
        <v>4525</v>
      </c>
      <c r="O54" s="152">
        <v>373</v>
      </c>
      <c r="P54" s="152">
        <v>464</v>
      </c>
      <c r="Q54" s="152">
        <v>651</v>
      </c>
      <c r="R54" s="259">
        <f>SUM(F54:Q54)</f>
        <v>15338</v>
      </c>
      <c r="S54" s="49">
        <f t="shared" ref="S54:S66" si="7">R54/12</f>
        <v>1278.1666666666667</v>
      </c>
    </row>
    <row r="55" spans="2:20" x14ac:dyDescent="0.25">
      <c r="B55" s="46"/>
      <c r="C55" s="47" t="s">
        <v>43</v>
      </c>
      <c r="D55" s="48">
        <f>88565/12</f>
        <v>7380.416666666667</v>
      </c>
      <c r="E55" s="48">
        <f>136902/12</f>
        <v>11408.5</v>
      </c>
      <c r="F55" s="152">
        <v>27025</v>
      </c>
      <c r="G55" s="152">
        <v>38604</v>
      </c>
      <c r="H55" s="152">
        <v>21408</v>
      </c>
      <c r="I55" s="152">
        <v>14602</v>
      </c>
      <c r="J55" s="152">
        <v>20119</v>
      </c>
      <c r="K55" s="152">
        <v>11019</v>
      </c>
      <c r="L55" s="152">
        <v>21859</v>
      </c>
      <c r="M55" s="152">
        <v>15966</v>
      </c>
      <c r="N55" s="152">
        <v>20062</v>
      </c>
      <c r="O55" s="152">
        <v>18589</v>
      </c>
      <c r="P55" s="152">
        <v>17276</v>
      </c>
      <c r="Q55" s="152">
        <v>17158</v>
      </c>
      <c r="R55" s="259">
        <f t="shared" ref="R55:R67" si="8">SUM(F55:Q55)</f>
        <v>243687</v>
      </c>
      <c r="S55" s="49">
        <f t="shared" si="7"/>
        <v>20307.25</v>
      </c>
    </row>
    <row r="56" spans="2:20" x14ac:dyDescent="0.25">
      <c r="B56" s="46"/>
      <c r="C56" s="47" t="s">
        <v>44</v>
      </c>
      <c r="D56" s="48">
        <f>12825/12</f>
        <v>1068.75</v>
      </c>
      <c r="E56" s="48">
        <f>6347/12</f>
        <v>528.91666666666663</v>
      </c>
      <c r="F56" s="152">
        <v>1500</v>
      </c>
      <c r="G56" s="152">
        <v>1850</v>
      </c>
      <c r="H56" s="152">
        <v>1735</v>
      </c>
      <c r="I56" s="152">
        <v>500</v>
      </c>
      <c r="J56" s="152">
        <v>1200</v>
      </c>
      <c r="K56" s="152">
        <v>1000</v>
      </c>
      <c r="L56" s="152">
        <v>400</v>
      </c>
      <c r="M56" s="152">
        <v>57</v>
      </c>
      <c r="N56" s="152">
        <v>650</v>
      </c>
      <c r="O56" s="152">
        <v>30</v>
      </c>
      <c r="P56" s="152">
        <v>1500</v>
      </c>
      <c r="Q56" s="152">
        <v>0</v>
      </c>
      <c r="R56" s="259">
        <f t="shared" si="8"/>
        <v>10422</v>
      </c>
      <c r="S56" s="49">
        <f t="shared" si="7"/>
        <v>868.5</v>
      </c>
    </row>
    <row r="57" spans="2:20" x14ac:dyDescent="0.25">
      <c r="B57" s="46"/>
      <c r="C57" s="47" t="s">
        <v>45</v>
      </c>
      <c r="D57" s="48">
        <v>0</v>
      </c>
      <c r="E57" s="48">
        <v>0</v>
      </c>
      <c r="F57" s="152">
        <v>0</v>
      </c>
      <c r="G57" s="152">
        <v>0</v>
      </c>
      <c r="H57" s="152">
        <v>0</v>
      </c>
      <c r="I57" s="152">
        <v>0</v>
      </c>
      <c r="J57" s="152">
        <v>0</v>
      </c>
      <c r="K57" s="152">
        <v>0</v>
      </c>
      <c r="L57" s="152">
        <v>0</v>
      </c>
      <c r="M57" s="152">
        <v>0</v>
      </c>
      <c r="N57" s="152">
        <v>0</v>
      </c>
      <c r="O57" s="152">
        <v>0</v>
      </c>
      <c r="P57" s="152">
        <v>0</v>
      </c>
      <c r="Q57" s="152">
        <v>0</v>
      </c>
      <c r="R57" s="259">
        <f t="shared" si="8"/>
        <v>0</v>
      </c>
      <c r="S57" s="49">
        <f t="shared" si="7"/>
        <v>0</v>
      </c>
    </row>
    <row r="58" spans="2:20" x14ac:dyDescent="0.25">
      <c r="B58" s="46"/>
      <c r="C58" s="47" t="s">
        <v>46</v>
      </c>
      <c r="D58" s="48">
        <f>13530/12</f>
        <v>1127.5</v>
      </c>
      <c r="E58" s="48">
        <v>0</v>
      </c>
      <c r="F58" s="152">
        <v>0</v>
      </c>
      <c r="G58" s="152">
        <v>0</v>
      </c>
      <c r="H58" s="152">
        <v>0</v>
      </c>
      <c r="I58" s="152">
        <v>0</v>
      </c>
      <c r="J58" s="152">
        <v>0</v>
      </c>
      <c r="K58" s="152">
        <v>0</v>
      </c>
      <c r="L58" s="152">
        <v>0</v>
      </c>
      <c r="M58" s="152">
        <v>0</v>
      </c>
      <c r="N58" s="152">
        <v>0</v>
      </c>
      <c r="O58" s="152">
        <v>0</v>
      </c>
      <c r="P58" s="152">
        <v>0</v>
      </c>
      <c r="Q58" s="152">
        <v>0</v>
      </c>
      <c r="R58" s="259">
        <f t="shared" si="8"/>
        <v>0</v>
      </c>
      <c r="S58" s="49">
        <f t="shared" si="7"/>
        <v>0</v>
      </c>
    </row>
    <row r="59" spans="2:20" x14ac:dyDescent="0.25">
      <c r="B59" s="46"/>
      <c r="C59" s="47" t="s">
        <v>88</v>
      </c>
      <c r="D59" s="48">
        <f>26470/12</f>
        <v>2205.8333333333335</v>
      </c>
      <c r="E59" s="48">
        <f>2074/12</f>
        <v>172.83333333333334</v>
      </c>
      <c r="F59" s="152">
        <v>3450</v>
      </c>
      <c r="G59" s="152">
        <v>8019</v>
      </c>
      <c r="H59" s="152">
        <v>0</v>
      </c>
      <c r="I59" s="152">
        <v>0</v>
      </c>
      <c r="J59" s="152">
        <v>1960</v>
      </c>
      <c r="K59" s="152">
        <v>0</v>
      </c>
      <c r="L59" s="152">
        <v>0</v>
      </c>
      <c r="M59" s="152">
        <v>2091</v>
      </c>
      <c r="N59" s="152">
        <v>0</v>
      </c>
      <c r="O59" s="152">
        <v>0</v>
      </c>
      <c r="P59" s="152">
        <v>3075</v>
      </c>
      <c r="Q59" s="152">
        <v>0</v>
      </c>
      <c r="R59" s="259">
        <f t="shared" si="8"/>
        <v>18595</v>
      </c>
      <c r="S59" s="49">
        <f t="shared" si="7"/>
        <v>1549.5833333333333</v>
      </c>
    </row>
    <row r="60" spans="2:20" x14ac:dyDescent="0.25">
      <c r="B60" s="46"/>
      <c r="C60" s="47" t="s">
        <v>80</v>
      </c>
      <c r="D60" s="48">
        <v>0</v>
      </c>
      <c r="E60" s="48">
        <f>12690/12</f>
        <v>1057.5</v>
      </c>
      <c r="F60" s="152">
        <v>0</v>
      </c>
      <c r="G60" s="152">
        <v>2700</v>
      </c>
      <c r="H60" s="152">
        <v>600</v>
      </c>
      <c r="I60" s="152">
        <v>0</v>
      </c>
      <c r="J60" s="152">
        <v>0</v>
      </c>
      <c r="K60" s="152">
        <v>0</v>
      </c>
      <c r="L60" s="152">
        <v>0</v>
      </c>
      <c r="M60" s="152">
        <v>0</v>
      </c>
      <c r="N60" s="152">
        <v>0</v>
      </c>
      <c r="O60" s="152">
        <v>0</v>
      </c>
      <c r="P60" s="152">
        <v>0</v>
      </c>
      <c r="Q60" s="152">
        <v>0</v>
      </c>
      <c r="R60" s="259">
        <f t="shared" si="8"/>
        <v>3300</v>
      </c>
      <c r="S60" s="49">
        <f t="shared" si="7"/>
        <v>275</v>
      </c>
    </row>
    <row r="61" spans="2:20" x14ac:dyDescent="0.25">
      <c r="B61" s="46"/>
      <c r="C61" s="47" t="s">
        <v>86</v>
      </c>
      <c r="D61" s="48">
        <f>2780/12</f>
        <v>231.66666666666666</v>
      </c>
      <c r="E61" s="48">
        <f>550/12</f>
        <v>45.833333333333336</v>
      </c>
      <c r="F61" s="152">
        <v>0</v>
      </c>
      <c r="G61" s="152">
        <v>0</v>
      </c>
      <c r="H61" s="152">
        <v>350</v>
      </c>
      <c r="I61" s="152">
        <v>0</v>
      </c>
      <c r="J61" s="152">
        <v>10</v>
      </c>
      <c r="K61" s="152">
        <v>0</v>
      </c>
      <c r="L61" s="152">
        <v>0</v>
      </c>
      <c r="M61" s="152">
        <v>0</v>
      </c>
      <c r="N61" s="152">
        <v>0</v>
      </c>
      <c r="O61" s="152">
        <v>0</v>
      </c>
      <c r="P61" s="152">
        <v>0</v>
      </c>
      <c r="Q61" s="152">
        <v>0</v>
      </c>
      <c r="R61" s="259">
        <f t="shared" si="8"/>
        <v>360</v>
      </c>
      <c r="S61" s="49">
        <f t="shared" si="7"/>
        <v>30</v>
      </c>
    </row>
    <row r="62" spans="2:20" x14ac:dyDescent="0.25">
      <c r="B62" s="46"/>
      <c r="C62" s="47" t="s">
        <v>87</v>
      </c>
      <c r="D62" s="48">
        <f>4790+4270/12</f>
        <v>5145.833333333333</v>
      </c>
      <c r="E62" s="48">
        <f>2600/12</f>
        <v>216.66666666666666</v>
      </c>
      <c r="F62" s="152">
        <v>0</v>
      </c>
      <c r="G62" s="152">
        <v>0</v>
      </c>
      <c r="H62" s="152">
        <v>200</v>
      </c>
      <c r="I62" s="152">
        <v>0</v>
      </c>
      <c r="J62" s="152">
        <v>0</v>
      </c>
      <c r="K62" s="152">
        <v>0</v>
      </c>
      <c r="L62" s="152">
        <v>270</v>
      </c>
      <c r="M62" s="152">
        <v>0</v>
      </c>
      <c r="N62" s="152">
        <v>0</v>
      </c>
      <c r="O62" s="152">
        <v>190</v>
      </c>
      <c r="P62" s="152">
        <v>280</v>
      </c>
      <c r="Q62" s="152">
        <v>0</v>
      </c>
      <c r="R62" s="259">
        <f t="shared" si="8"/>
        <v>940</v>
      </c>
      <c r="S62" s="49">
        <f t="shared" si="7"/>
        <v>78.333333333333329</v>
      </c>
    </row>
    <row r="63" spans="2:20" x14ac:dyDescent="0.25">
      <c r="B63" s="46"/>
      <c r="C63" s="47" t="s">
        <v>81</v>
      </c>
      <c r="D63" s="48">
        <f>34025/12</f>
        <v>2835.4166666666665</v>
      </c>
      <c r="E63" s="48">
        <f>1893/12</f>
        <v>157.75</v>
      </c>
      <c r="F63" s="152">
        <v>1325</v>
      </c>
      <c r="G63" s="152">
        <v>0</v>
      </c>
      <c r="H63" s="152">
        <v>0</v>
      </c>
      <c r="I63" s="152">
        <v>0</v>
      </c>
      <c r="J63" s="152">
        <v>325</v>
      </c>
      <c r="K63" s="152">
        <v>0</v>
      </c>
      <c r="L63" s="152">
        <v>0</v>
      </c>
      <c r="M63" s="152">
        <v>0</v>
      </c>
      <c r="N63" s="152">
        <v>0</v>
      </c>
      <c r="O63" s="152">
        <v>0</v>
      </c>
      <c r="P63" s="152">
        <v>0</v>
      </c>
      <c r="Q63" s="152">
        <v>0</v>
      </c>
      <c r="R63" s="259">
        <f t="shared" si="8"/>
        <v>1650</v>
      </c>
      <c r="S63" s="49">
        <f>R63/12</f>
        <v>137.5</v>
      </c>
    </row>
    <row r="64" spans="2:20" x14ac:dyDescent="0.25">
      <c r="B64" s="46"/>
      <c r="C64" s="47" t="s">
        <v>82</v>
      </c>
      <c r="D64" s="48">
        <v>0</v>
      </c>
      <c r="E64" s="48">
        <f>350/12</f>
        <v>29.166666666666668</v>
      </c>
      <c r="F64" s="152">
        <v>0</v>
      </c>
      <c r="G64" s="152">
        <v>250</v>
      </c>
      <c r="H64" s="152">
        <v>157</v>
      </c>
      <c r="I64" s="152">
        <v>90</v>
      </c>
      <c r="J64" s="152">
        <v>0</v>
      </c>
      <c r="K64" s="152">
        <v>0</v>
      </c>
      <c r="L64" s="152">
        <v>100</v>
      </c>
      <c r="M64" s="152">
        <v>0</v>
      </c>
      <c r="N64" s="152">
        <v>0</v>
      </c>
      <c r="O64" s="152">
        <v>0</v>
      </c>
      <c r="P64" s="152">
        <v>98</v>
      </c>
      <c r="Q64" s="152">
        <v>0</v>
      </c>
      <c r="R64" s="259">
        <f t="shared" si="8"/>
        <v>695</v>
      </c>
      <c r="S64" s="49">
        <f t="shared" si="7"/>
        <v>57.916666666666664</v>
      </c>
    </row>
    <row r="65" spans="2:20" x14ac:dyDescent="0.25">
      <c r="B65" s="46"/>
      <c r="C65" s="47" t="s">
        <v>83</v>
      </c>
      <c r="D65" s="48">
        <f>1110/12</f>
        <v>92.5</v>
      </c>
      <c r="E65" s="48">
        <v>0</v>
      </c>
      <c r="F65" s="152">
        <v>0</v>
      </c>
      <c r="G65" s="152">
        <v>0</v>
      </c>
      <c r="H65" s="152">
        <v>0</v>
      </c>
      <c r="I65" s="152">
        <v>0</v>
      </c>
      <c r="J65" s="152">
        <v>0</v>
      </c>
      <c r="K65" s="152">
        <v>0</v>
      </c>
      <c r="L65" s="152"/>
      <c r="M65" s="152">
        <v>0</v>
      </c>
      <c r="N65" s="152">
        <v>0</v>
      </c>
      <c r="O65" s="152">
        <v>0</v>
      </c>
      <c r="P65" s="152">
        <v>0</v>
      </c>
      <c r="Q65" s="152">
        <v>0</v>
      </c>
      <c r="R65" s="259">
        <f t="shared" si="8"/>
        <v>0</v>
      </c>
      <c r="S65" s="49">
        <f t="shared" si="7"/>
        <v>0</v>
      </c>
    </row>
    <row r="66" spans="2:20" x14ac:dyDescent="0.25">
      <c r="B66" s="46"/>
      <c r="C66" s="47" t="s">
        <v>84</v>
      </c>
      <c r="D66" s="48">
        <f>8420/12</f>
        <v>701.66666666666663</v>
      </c>
      <c r="E66" s="48">
        <f>4025/12</f>
        <v>335.41666666666669</v>
      </c>
      <c r="F66" s="152">
        <v>700</v>
      </c>
      <c r="G66" s="152">
        <v>685</v>
      </c>
      <c r="H66" s="152">
        <v>0</v>
      </c>
      <c r="I66" s="152">
        <v>1510</v>
      </c>
      <c r="J66" s="152">
        <v>0</v>
      </c>
      <c r="K66" s="152">
        <v>300</v>
      </c>
      <c r="L66" s="152">
        <v>1235</v>
      </c>
      <c r="M66" s="152">
        <v>900</v>
      </c>
      <c r="N66" s="152">
        <v>695</v>
      </c>
      <c r="O66" s="152">
        <v>1179</v>
      </c>
      <c r="P66" s="152">
        <v>300</v>
      </c>
      <c r="Q66" s="152">
        <v>606</v>
      </c>
      <c r="R66" s="259">
        <f t="shared" si="8"/>
        <v>8110</v>
      </c>
      <c r="S66" s="49">
        <f t="shared" si="7"/>
        <v>675.83333333333337</v>
      </c>
    </row>
    <row r="67" spans="2:20" x14ac:dyDescent="0.25">
      <c r="B67" s="46"/>
      <c r="C67" s="47" t="s">
        <v>85</v>
      </c>
      <c r="D67" s="48">
        <v>0</v>
      </c>
      <c r="E67" s="48">
        <v>0</v>
      </c>
      <c r="F67" s="152">
        <v>0</v>
      </c>
      <c r="G67" s="152">
        <v>0</v>
      </c>
      <c r="H67" s="152">
        <v>0</v>
      </c>
      <c r="I67" s="152">
        <v>0</v>
      </c>
      <c r="J67" s="152">
        <v>0</v>
      </c>
      <c r="K67" s="152">
        <v>1890</v>
      </c>
      <c r="L67" s="152"/>
      <c r="M67" s="152">
        <v>0</v>
      </c>
      <c r="N67" s="152">
        <v>0</v>
      </c>
      <c r="O67" s="152">
        <v>600</v>
      </c>
      <c r="P67" s="152">
        <v>0</v>
      </c>
      <c r="Q67" s="152">
        <v>5036</v>
      </c>
      <c r="R67" s="259">
        <f t="shared" si="8"/>
        <v>7526</v>
      </c>
      <c r="S67" s="49">
        <f>R67/12</f>
        <v>627.16666666666663</v>
      </c>
    </row>
    <row r="68" spans="2:20" ht="15.75" thickBot="1" x14ac:dyDescent="0.3">
      <c r="B68" s="69"/>
      <c r="C68" s="63"/>
      <c r="D68" s="64"/>
      <c r="E68" s="64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49"/>
    </row>
    <row r="69" spans="2:20" ht="16.5" thickTop="1" thickBot="1" x14ac:dyDescent="0.3">
      <c r="B69" s="70"/>
      <c r="C69" s="66" t="s">
        <v>20</v>
      </c>
      <c r="D69" s="56">
        <f>SUM(D54:D67)</f>
        <v>21158.333333333336</v>
      </c>
      <c r="E69" s="56">
        <f t="shared" ref="E69" si="9">SUM(E54:E67)</f>
        <v>14622.749999999998</v>
      </c>
      <c r="F69" s="56">
        <f t="shared" ref="F69:Q69" si="10">SUM(F54:F68)</f>
        <v>34170</v>
      </c>
      <c r="G69" s="56">
        <f t="shared" si="10"/>
        <v>52613</v>
      </c>
      <c r="H69" s="251">
        <f t="shared" si="10"/>
        <v>24733</v>
      </c>
      <c r="I69" s="251">
        <f t="shared" si="10"/>
        <v>17133</v>
      </c>
      <c r="J69" s="251">
        <f t="shared" si="10"/>
        <v>28550</v>
      </c>
      <c r="K69" s="251">
        <f t="shared" si="10"/>
        <v>16307</v>
      </c>
      <c r="L69" s="251">
        <f t="shared" si="10"/>
        <v>24509</v>
      </c>
      <c r="M69" s="251">
        <f t="shared" si="10"/>
        <v>19271</v>
      </c>
      <c r="N69" s="251">
        <f t="shared" si="10"/>
        <v>25932</v>
      </c>
      <c r="O69" s="251">
        <f t="shared" si="10"/>
        <v>20961</v>
      </c>
      <c r="P69" s="251">
        <f t="shared" si="10"/>
        <v>22993</v>
      </c>
      <c r="Q69" s="251">
        <f t="shared" si="10"/>
        <v>23451</v>
      </c>
      <c r="R69" s="56">
        <f>SUM(R54:R67)</f>
        <v>310623</v>
      </c>
      <c r="S69" s="251">
        <f>SUM(S54:S67)</f>
        <v>25885.25</v>
      </c>
      <c r="T69" s="12"/>
    </row>
    <row r="70" spans="2:20" ht="16.5" thickTop="1" thickBot="1" x14ac:dyDescent="0.3">
      <c r="B70" s="71"/>
      <c r="C70" s="72"/>
      <c r="D70" s="73"/>
      <c r="E70" s="73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266"/>
      <c r="S70" s="254"/>
    </row>
    <row r="71" spans="2:20" ht="15.75" thickBot="1" x14ac:dyDescent="0.3">
      <c r="B71" s="425" t="s">
        <v>250</v>
      </c>
      <c r="C71" s="426"/>
      <c r="D71" s="74">
        <f>D29+D51+D69</f>
        <v>245111.00000000006</v>
      </c>
      <c r="E71" s="74">
        <f t="shared" ref="E71:K71" si="11">E29+E51+E69</f>
        <v>253202.58333333328</v>
      </c>
      <c r="F71" s="74">
        <f t="shared" si="11"/>
        <v>258484</v>
      </c>
      <c r="G71" s="74">
        <f t="shared" si="11"/>
        <v>283107</v>
      </c>
      <c r="H71" s="74">
        <f t="shared" si="11"/>
        <v>266726</v>
      </c>
      <c r="I71" s="74">
        <f t="shared" si="11"/>
        <v>221071</v>
      </c>
      <c r="J71" s="74">
        <f>J29+J51+J69</f>
        <v>267843</v>
      </c>
      <c r="K71" s="74">
        <f t="shared" si="11"/>
        <v>177286</v>
      </c>
      <c r="L71" s="74">
        <f t="shared" ref="L71:N71" si="12">L29+L51+L69</f>
        <v>236865</v>
      </c>
      <c r="M71" s="74">
        <f t="shared" si="12"/>
        <v>216320</v>
      </c>
      <c r="N71" s="74">
        <f t="shared" si="12"/>
        <v>269993</v>
      </c>
      <c r="O71" s="74">
        <f>O29+O51+O69</f>
        <v>334711</v>
      </c>
      <c r="P71" s="74">
        <f>P29+P51+P69</f>
        <v>315160</v>
      </c>
      <c r="Q71" s="74">
        <f>Q29+Q51+Q69</f>
        <v>365261</v>
      </c>
      <c r="R71" s="262">
        <f>R29+R51+R69</f>
        <v>3212827</v>
      </c>
      <c r="S71" s="262">
        <f>S29+S51+S69</f>
        <v>267735.58333333337</v>
      </c>
      <c r="T71" s="12"/>
    </row>
    <row r="72" spans="2:20" x14ac:dyDescent="0.25">
      <c r="B72" s="75"/>
      <c r="C72" s="75"/>
      <c r="D72" s="75"/>
      <c r="E72" s="75"/>
      <c r="F72" s="158"/>
      <c r="G72" s="158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76"/>
      <c r="S72" s="255"/>
    </row>
    <row r="73" spans="2:20" x14ac:dyDescent="0.25">
      <c r="B73" s="75"/>
      <c r="C73" s="75"/>
      <c r="D73" s="75"/>
      <c r="F73" s="268"/>
      <c r="G73" s="268"/>
      <c r="H73" s="268"/>
      <c r="I73" s="268"/>
      <c r="J73" s="268"/>
      <c r="K73" s="268"/>
      <c r="L73" s="268"/>
      <c r="M73" s="434" t="s">
        <v>391</v>
      </c>
      <c r="N73" s="434"/>
      <c r="O73" s="434"/>
      <c r="P73" s="434"/>
      <c r="Q73" s="434"/>
      <c r="R73" s="434"/>
      <c r="S73" s="434"/>
    </row>
    <row r="74" spans="2:20" x14ac:dyDescent="0.25">
      <c r="B74" s="27"/>
      <c r="C74" s="27"/>
      <c r="D74" s="27"/>
      <c r="E74" s="27"/>
      <c r="F74" s="424"/>
      <c r="G74" s="424"/>
      <c r="H74" s="424"/>
      <c r="I74" s="424"/>
      <c r="J74" s="424"/>
      <c r="K74" s="424"/>
      <c r="L74" s="424"/>
      <c r="M74" s="424"/>
      <c r="N74" s="424"/>
      <c r="O74" s="424"/>
      <c r="P74" s="424"/>
      <c r="Q74" s="424"/>
      <c r="R74" s="424"/>
      <c r="S74" s="242"/>
    </row>
  </sheetData>
  <mergeCells count="9">
    <mergeCell ref="B1:S1"/>
    <mergeCell ref="B2:S2"/>
    <mergeCell ref="B3:S3"/>
    <mergeCell ref="F74:R74"/>
    <mergeCell ref="B71:C71"/>
    <mergeCell ref="B4:B5"/>
    <mergeCell ref="C4:C5"/>
    <mergeCell ref="D4:S4"/>
    <mergeCell ref="M73:S73"/>
  </mergeCells>
  <pageMargins left="0.19" right="0.12" top="0.23" bottom="0.11" header="0.2" footer="0.11"/>
  <pageSetup paperSize="9" scale="53"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L368"/>
  <sheetViews>
    <sheetView topLeftCell="A281" zoomScale="90" zoomScaleNormal="90" workbookViewId="0">
      <selection activeCell="E281" sqref="E281"/>
    </sheetView>
  </sheetViews>
  <sheetFormatPr defaultRowHeight="15" x14ac:dyDescent="0.25"/>
  <cols>
    <col min="2" max="2" width="5.28515625" style="14" customWidth="1"/>
    <col min="3" max="3" width="39.28515625" customWidth="1"/>
    <col min="4" max="4" width="23.7109375" style="2" customWidth="1"/>
    <col min="5" max="5" width="27.5703125" style="2" customWidth="1"/>
    <col min="6" max="6" width="15.28515625" style="193" customWidth="1"/>
    <col min="8" max="8" width="16.140625" customWidth="1"/>
    <col min="9" max="9" width="4.42578125" style="3" customWidth="1"/>
  </cols>
  <sheetData>
    <row r="1" spans="2:11" ht="18" x14ac:dyDescent="0.25">
      <c r="B1" s="435" t="s">
        <v>178</v>
      </c>
      <c r="C1" s="435"/>
      <c r="D1" s="435"/>
      <c r="E1" s="435"/>
      <c r="F1" s="435"/>
    </row>
    <row r="2" spans="2:11" ht="18.75" thickBot="1" x14ac:dyDescent="0.3">
      <c r="B2" s="436" t="s">
        <v>135</v>
      </c>
      <c r="C2" s="436"/>
      <c r="D2" s="436"/>
      <c r="E2" s="436"/>
      <c r="F2" s="436"/>
    </row>
    <row r="3" spans="2:11" ht="10.5" customHeight="1" thickTop="1" thickBot="1" x14ac:dyDescent="0.3">
      <c r="B3" s="37"/>
      <c r="C3" s="27"/>
      <c r="D3" s="28"/>
      <c r="E3" s="28"/>
      <c r="F3" s="191"/>
    </row>
    <row r="4" spans="2:11" ht="20.25" customHeight="1" thickBot="1" x14ac:dyDescent="0.3">
      <c r="B4" s="183" t="s">
        <v>91</v>
      </c>
      <c r="C4" s="184" t="s">
        <v>3</v>
      </c>
      <c r="D4" s="185" t="s">
        <v>149</v>
      </c>
      <c r="E4" s="185" t="s">
        <v>150</v>
      </c>
      <c r="F4" s="186" t="s">
        <v>9</v>
      </c>
    </row>
    <row r="5" spans="2:11" ht="11.25" customHeight="1" thickTop="1" x14ac:dyDescent="0.25">
      <c r="B5" s="29"/>
      <c r="C5" s="30"/>
      <c r="D5" s="31"/>
      <c r="E5" s="31"/>
      <c r="F5" s="192"/>
      <c r="H5" s="206"/>
      <c r="I5" s="165"/>
      <c r="J5" s="165"/>
      <c r="K5" s="165"/>
    </row>
    <row r="6" spans="2:11" x14ac:dyDescent="0.25">
      <c r="B6" s="32" t="s">
        <v>94</v>
      </c>
      <c r="C6" s="33" t="s">
        <v>157</v>
      </c>
      <c r="D6" s="34"/>
      <c r="E6" s="34"/>
      <c r="F6" s="188"/>
      <c r="I6" s="37"/>
      <c r="J6" s="38"/>
      <c r="K6" s="27"/>
    </row>
    <row r="7" spans="2:11" x14ac:dyDescent="0.25">
      <c r="B7" s="32"/>
      <c r="C7" s="36" t="s">
        <v>36</v>
      </c>
      <c r="D7" s="34">
        <v>0</v>
      </c>
      <c r="E7" s="34">
        <v>0</v>
      </c>
      <c r="F7" s="188" t="e">
        <f>E7/D7%</f>
        <v>#DIV/0!</v>
      </c>
      <c r="I7" s="26"/>
      <c r="J7" s="27"/>
      <c r="K7" s="27"/>
    </row>
    <row r="8" spans="2:11" x14ac:dyDescent="0.25">
      <c r="B8" s="32"/>
      <c r="C8" s="187" t="s">
        <v>162</v>
      </c>
      <c r="D8" s="189">
        <f>SUM(D7)</f>
        <v>0</v>
      </c>
      <c r="E8" s="194">
        <f>SUM(E7)</f>
        <v>0</v>
      </c>
      <c r="F8" s="190"/>
      <c r="I8" s="26"/>
      <c r="J8" s="27"/>
      <c r="K8" s="27"/>
    </row>
    <row r="9" spans="2:11" x14ac:dyDescent="0.25">
      <c r="B9" s="32" t="s">
        <v>96</v>
      </c>
      <c r="C9" s="33" t="s">
        <v>158</v>
      </c>
      <c r="D9" s="34"/>
      <c r="E9" s="34"/>
      <c r="F9" s="188"/>
      <c r="I9" s="26"/>
      <c r="J9" s="27"/>
      <c r="K9" s="27"/>
    </row>
    <row r="10" spans="2:11" x14ac:dyDescent="0.25">
      <c r="B10" s="32"/>
      <c r="C10" s="36" t="s">
        <v>151</v>
      </c>
      <c r="D10" s="34">
        <v>0</v>
      </c>
      <c r="E10" s="34">
        <v>0</v>
      </c>
      <c r="F10" s="188" t="e">
        <f>E10/D10%</f>
        <v>#DIV/0!</v>
      </c>
      <c r="I10" s="26"/>
      <c r="J10" s="27"/>
      <c r="K10" s="27"/>
    </row>
    <row r="11" spans="2:11" x14ac:dyDescent="0.25">
      <c r="B11" s="32"/>
      <c r="C11" s="187" t="s">
        <v>194</v>
      </c>
      <c r="D11" s="189">
        <f>SUM(D10)</f>
        <v>0</v>
      </c>
      <c r="E11" s="194">
        <f>SUM(E10)</f>
        <v>0</v>
      </c>
      <c r="F11" s="190"/>
      <c r="I11" s="26"/>
      <c r="J11" s="27"/>
      <c r="K11" s="27"/>
    </row>
    <row r="12" spans="2:11" x14ac:dyDescent="0.25">
      <c r="B12" s="32" t="s">
        <v>97</v>
      </c>
      <c r="C12" s="33" t="s">
        <v>159</v>
      </c>
      <c r="D12" s="34"/>
      <c r="E12" s="34"/>
      <c r="F12" s="188"/>
      <c r="I12" s="37"/>
      <c r="J12" s="38"/>
      <c r="K12" s="27"/>
    </row>
    <row r="13" spans="2:11" x14ac:dyDescent="0.25">
      <c r="B13" s="32"/>
      <c r="C13" s="36" t="s">
        <v>152</v>
      </c>
      <c r="D13" s="34">
        <v>0</v>
      </c>
      <c r="E13" s="34">
        <v>0</v>
      </c>
      <c r="F13" s="188" t="e">
        <f>E13/D13%</f>
        <v>#DIV/0!</v>
      </c>
      <c r="I13" s="37"/>
      <c r="J13" s="27"/>
      <c r="K13" s="27"/>
    </row>
    <row r="14" spans="2:11" x14ac:dyDescent="0.25">
      <c r="B14" s="32"/>
      <c r="C14" s="187" t="s">
        <v>195</v>
      </c>
      <c r="D14" s="189">
        <f>SUM(D13)</f>
        <v>0</v>
      </c>
      <c r="E14" s="194">
        <f>SUM(E13)</f>
        <v>0</v>
      </c>
      <c r="F14" s="190"/>
      <c r="I14" s="37"/>
      <c r="J14" s="27"/>
      <c r="K14" s="27"/>
    </row>
    <row r="15" spans="2:11" x14ac:dyDescent="0.25">
      <c r="B15" s="32" t="s">
        <v>98</v>
      </c>
      <c r="C15" s="33" t="s">
        <v>209</v>
      </c>
      <c r="D15" s="34"/>
      <c r="E15" s="34"/>
      <c r="F15" s="188"/>
      <c r="I15" s="26"/>
      <c r="J15" s="27"/>
      <c r="K15" s="27"/>
    </row>
    <row r="16" spans="2:11" x14ac:dyDescent="0.25">
      <c r="B16" s="32"/>
      <c r="C16" s="36" t="s">
        <v>100</v>
      </c>
      <c r="D16" s="34">
        <v>0</v>
      </c>
      <c r="E16" s="34">
        <v>0</v>
      </c>
      <c r="F16" s="188" t="e">
        <f>E16/D16%</f>
        <v>#DIV/0!</v>
      </c>
      <c r="I16" s="26"/>
      <c r="J16" s="27"/>
      <c r="K16" s="27"/>
    </row>
    <row r="17" spans="2:11" x14ac:dyDescent="0.25">
      <c r="B17" s="32"/>
      <c r="C17" s="187" t="s">
        <v>196</v>
      </c>
      <c r="D17" s="189">
        <f>SUM(D16)</f>
        <v>0</v>
      </c>
      <c r="E17" s="194">
        <f>SUM(E16)</f>
        <v>0</v>
      </c>
      <c r="F17" s="190"/>
      <c r="I17" s="37"/>
      <c r="J17" s="38"/>
      <c r="K17" s="27"/>
    </row>
    <row r="18" spans="2:11" x14ac:dyDescent="0.25">
      <c r="B18" s="32" t="s">
        <v>99</v>
      </c>
      <c r="C18" s="33" t="s">
        <v>160</v>
      </c>
      <c r="D18" s="34"/>
      <c r="E18" s="34"/>
      <c r="F18" s="188"/>
      <c r="I18" s="26"/>
      <c r="J18" s="27"/>
      <c r="K18" s="27"/>
    </row>
    <row r="19" spans="2:11" x14ac:dyDescent="0.25">
      <c r="B19" s="32"/>
      <c r="C19" s="36" t="s">
        <v>153</v>
      </c>
      <c r="D19" s="34">
        <v>0</v>
      </c>
      <c r="E19" s="34">
        <v>0</v>
      </c>
      <c r="F19" s="188" t="e">
        <f t="shared" ref="F19:F20" si="0">E19/D19%</f>
        <v>#DIV/0!</v>
      </c>
      <c r="I19" s="26"/>
      <c r="J19" s="27"/>
      <c r="K19" s="27"/>
    </row>
    <row r="20" spans="2:11" x14ac:dyDescent="0.25">
      <c r="B20" s="32"/>
      <c r="C20" s="36" t="s">
        <v>154</v>
      </c>
      <c r="D20" s="34">
        <v>0</v>
      </c>
      <c r="E20" s="34">
        <v>0</v>
      </c>
      <c r="F20" s="188" t="e">
        <f t="shared" si="0"/>
        <v>#DIV/0!</v>
      </c>
      <c r="I20" s="26"/>
      <c r="J20" s="27"/>
      <c r="K20" s="27"/>
    </row>
    <row r="21" spans="2:11" x14ac:dyDescent="0.25">
      <c r="B21" s="32"/>
      <c r="C21" s="187" t="s">
        <v>197</v>
      </c>
      <c r="D21" s="189">
        <f>SUM(D19:D20)</f>
        <v>0</v>
      </c>
      <c r="E21" s="194">
        <f>SUM(E19:E20)</f>
        <v>0</v>
      </c>
      <c r="F21" s="190"/>
      <c r="I21" s="26"/>
      <c r="J21" s="27"/>
      <c r="K21" s="27"/>
    </row>
    <row r="22" spans="2:11" x14ac:dyDescent="0.25">
      <c r="B22" s="32" t="s">
        <v>156</v>
      </c>
      <c r="C22" s="33" t="s">
        <v>161</v>
      </c>
      <c r="D22" s="34"/>
      <c r="E22" s="34"/>
      <c r="F22" s="188"/>
      <c r="I22" s="26"/>
      <c r="J22" s="27"/>
      <c r="K22" s="27"/>
    </row>
    <row r="23" spans="2:11" x14ac:dyDescent="0.25">
      <c r="B23" s="32"/>
      <c r="C23" s="36" t="s">
        <v>163</v>
      </c>
      <c r="D23" s="34">
        <v>0</v>
      </c>
      <c r="E23" s="34"/>
      <c r="F23" s="188" t="e">
        <f t="shared" ref="F23:F24" si="1">E23/D23%</f>
        <v>#DIV/0!</v>
      </c>
      <c r="I23" s="26"/>
      <c r="J23" s="27"/>
      <c r="K23" s="27"/>
    </row>
    <row r="24" spans="2:11" x14ac:dyDescent="0.25">
      <c r="B24" s="32"/>
      <c r="C24" s="36" t="s">
        <v>164</v>
      </c>
      <c r="D24" s="34">
        <v>0</v>
      </c>
      <c r="E24" s="34"/>
      <c r="F24" s="188" t="e">
        <f t="shared" si="1"/>
        <v>#DIV/0!</v>
      </c>
      <c r="I24" s="26"/>
      <c r="J24" s="27"/>
      <c r="K24" s="27"/>
    </row>
    <row r="25" spans="2:11" x14ac:dyDescent="0.25">
      <c r="B25" s="32"/>
      <c r="C25" s="187" t="s">
        <v>198</v>
      </c>
      <c r="D25" s="189">
        <f>SUM(D23:D24)</f>
        <v>0</v>
      </c>
      <c r="E25" s="194">
        <f>SUM(E23:E24)</f>
        <v>0</v>
      </c>
      <c r="F25" s="190"/>
      <c r="I25" s="26"/>
      <c r="J25" s="27"/>
      <c r="K25" s="27"/>
    </row>
    <row r="26" spans="2:11" x14ac:dyDescent="0.25">
      <c r="B26" s="32" t="s">
        <v>186</v>
      </c>
      <c r="C26" s="33" t="s">
        <v>166</v>
      </c>
      <c r="D26" s="34"/>
      <c r="E26" s="34"/>
      <c r="F26" s="188"/>
      <c r="I26" s="37"/>
      <c r="J26" s="38"/>
      <c r="K26" s="27"/>
    </row>
    <row r="27" spans="2:11" x14ac:dyDescent="0.25">
      <c r="B27" s="32"/>
      <c r="C27" s="36" t="s">
        <v>165</v>
      </c>
      <c r="D27" s="34">
        <v>0</v>
      </c>
      <c r="E27" s="34"/>
      <c r="F27" s="188" t="e">
        <f t="shared" ref="F27" si="2">E27/D27%</f>
        <v>#DIV/0!</v>
      </c>
      <c r="I27" s="26"/>
      <c r="J27" s="27"/>
      <c r="K27" s="27"/>
    </row>
    <row r="28" spans="2:11" x14ac:dyDescent="0.25">
      <c r="B28" s="32"/>
      <c r="C28" s="187" t="s">
        <v>199</v>
      </c>
      <c r="D28" s="189">
        <f>SUM(D27)</f>
        <v>0</v>
      </c>
      <c r="E28" s="194">
        <f>SUM(E27)</f>
        <v>0</v>
      </c>
      <c r="F28" s="190"/>
      <c r="I28" s="26"/>
      <c r="J28" s="27"/>
      <c r="K28" s="27"/>
    </row>
    <row r="29" spans="2:11" x14ac:dyDescent="0.25">
      <c r="B29" s="32" t="s">
        <v>187</v>
      </c>
      <c r="C29" s="33" t="s">
        <v>167</v>
      </c>
      <c r="D29" s="34"/>
      <c r="E29" s="34"/>
      <c r="F29" s="188"/>
    </row>
    <row r="30" spans="2:11" x14ac:dyDescent="0.25">
      <c r="B30" s="32"/>
      <c r="C30" s="36" t="s">
        <v>168</v>
      </c>
      <c r="D30" s="34">
        <v>0</v>
      </c>
      <c r="E30" s="34"/>
      <c r="F30" s="188" t="e">
        <f t="shared" ref="F30" si="3">E30/D30%</f>
        <v>#DIV/0!</v>
      </c>
      <c r="I30" s="26"/>
      <c r="J30" s="27"/>
      <c r="K30" s="27"/>
    </row>
    <row r="31" spans="2:11" x14ac:dyDescent="0.25">
      <c r="B31" s="32"/>
      <c r="C31" s="187" t="s">
        <v>200</v>
      </c>
      <c r="D31" s="189">
        <f>SUM(D30)</f>
        <v>0</v>
      </c>
      <c r="E31" s="194">
        <f>SUM(E30)</f>
        <v>0</v>
      </c>
      <c r="F31" s="190"/>
    </row>
    <row r="32" spans="2:11" x14ac:dyDescent="0.25">
      <c r="B32" s="32" t="s">
        <v>155</v>
      </c>
      <c r="C32" s="33" t="s">
        <v>169</v>
      </c>
      <c r="D32" s="34"/>
      <c r="E32" s="34"/>
      <c r="F32" s="188"/>
    </row>
    <row r="33" spans="2:6" x14ac:dyDescent="0.25">
      <c r="B33" s="32"/>
      <c r="C33" s="36" t="s">
        <v>170</v>
      </c>
      <c r="D33" s="34">
        <v>0</v>
      </c>
      <c r="E33" s="34"/>
      <c r="F33" s="188" t="e">
        <f t="shared" ref="F33:F34" si="4">E33/D33%</f>
        <v>#DIV/0!</v>
      </c>
    </row>
    <row r="34" spans="2:6" x14ac:dyDescent="0.25">
      <c r="B34" s="32"/>
      <c r="C34" s="36" t="s">
        <v>171</v>
      </c>
      <c r="D34" s="34">
        <v>0</v>
      </c>
      <c r="E34" s="34"/>
      <c r="F34" s="188" t="e">
        <f t="shared" si="4"/>
        <v>#DIV/0!</v>
      </c>
    </row>
    <row r="35" spans="2:6" x14ac:dyDescent="0.25">
      <c r="B35" s="32"/>
      <c r="C35" s="187" t="s">
        <v>201</v>
      </c>
      <c r="D35" s="189">
        <f>SUM(D33:D34)</f>
        <v>0</v>
      </c>
      <c r="E35" s="194">
        <f>SUM(E33:E34)</f>
        <v>0</v>
      </c>
      <c r="F35" s="190"/>
    </row>
    <row r="36" spans="2:6" x14ac:dyDescent="0.25">
      <c r="B36" s="32" t="s">
        <v>188</v>
      </c>
      <c r="C36" s="33" t="s">
        <v>210</v>
      </c>
      <c r="D36" s="34"/>
      <c r="E36" s="34"/>
      <c r="F36" s="188"/>
    </row>
    <row r="37" spans="2:6" x14ac:dyDescent="0.25">
      <c r="B37" s="32"/>
      <c r="C37" s="36" t="s">
        <v>172</v>
      </c>
      <c r="D37" s="34">
        <v>0</v>
      </c>
      <c r="E37" s="34"/>
      <c r="F37" s="188" t="e">
        <f t="shared" ref="F37" si="5">E37/D37%</f>
        <v>#DIV/0!</v>
      </c>
    </row>
    <row r="38" spans="2:6" x14ac:dyDescent="0.25">
      <c r="B38" s="32"/>
      <c r="C38" s="187" t="s">
        <v>202</v>
      </c>
      <c r="D38" s="189">
        <f>SUM(D37)</f>
        <v>0</v>
      </c>
      <c r="E38" s="194">
        <f>SUM(E37)</f>
        <v>0</v>
      </c>
      <c r="F38" s="190"/>
    </row>
    <row r="39" spans="2:6" x14ac:dyDescent="0.25">
      <c r="B39" s="32" t="s">
        <v>189</v>
      </c>
      <c r="C39" s="33" t="s">
        <v>173</v>
      </c>
      <c r="D39" s="34"/>
      <c r="E39" s="34"/>
      <c r="F39" s="188"/>
    </row>
    <row r="40" spans="2:6" x14ac:dyDescent="0.25">
      <c r="B40" s="32"/>
      <c r="C40" s="36" t="s">
        <v>174</v>
      </c>
      <c r="D40" s="34">
        <v>0</v>
      </c>
      <c r="E40" s="34"/>
      <c r="F40" s="188" t="e">
        <f t="shared" ref="F40:F41" si="6">E40/D40%</f>
        <v>#DIV/0!</v>
      </c>
    </row>
    <row r="41" spans="2:6" x14ac:dyDescent="0.25">
      <c r="B41" s="32"/>
      <c r="C41" s="36" t="s">
        <v>175</v>
      </c>
      <c r="D41" s="34">
        <v>0</v>
      </c>
      <c r="E41" s="34"/>
      <c r="F41" s="188" t="e">
        <f t="shared" si="6"/>
        <v>#DIV/0!</v>
      </c>
    </row>
    <row r="42" spans="2:6" x14ac:dyDescent="0.25">
      <c r="B42" s="32"/>
      <c r="C42" s="187" t="s">
        <v>203</v>
      </c>
      <c r="D42" s="189">
        <f>SUM(D41)</f>
        <v>0</v>
      </c>
      <c r="E42" s="194">
        <f>SUM(E40:E41)</f>
        <v>0</v>
      </c>
      <c r="F42" s="190"/>
    </row>
    <row r="43" spans="2:6" x14ac:dyDescent="0.25">
      <c r="B43" s="32" t="s">
        <v>190</v>
      </c>
      <c r="C43" s="33" t="s">
        <v>176</v>
      </c>
      <c r="D43" s="34"/>
      <c r="E43" s="34"/>
      <c r="F43" s="188"/>
    </row>
    <row r="44" spans="2:6" x14ac:dyDescent="0.25">
      <c r="B44" s="32"/>
      <c r="C44" s="36" t="s">
        <v>177</v>
      </c>
      <c r="D44" s="34">
        <v>0</v>
      </c>
      <c r="E44" s="34"/>
      <c r="F44" s="188" t="e">
        <f t="shared" ref="F44" si="7">E44/D44%</f>
        <v>#DIV/0!</v>
      </c>
    </row>
    <row r="45" spans="2:6" x14ac:dyDescent="0.25">
      <c r="B45" s="32"/>
      <c r="C45" s="187" t="s">
        <v>204</v>
      </c>
      <c r="D45" s="189">
        <f>SUM(D44)</f>
        <v>0</v>
      </c>
      <c r="E45" s="194">
        <f>SUM(E44)</f>
        <v>0</v>
      </c>
      <c r="F45" s="190"/>
    </row>
    <row r="46" spans="2:6" x14ac:dyDescent="0.25">
      <c r="B46" s="32" t="s">
        <v>191</v>
      </c>
      <c r="C46" s="33" t="s">
        <v>179</v>
      </c>
      <c r="D46" s="34"/>
      <c r="E46" s="34"/>
      <c r="F46" s="188"/>
    </row>
    <row r="47" spans="2:6" x14ac:dyDescent="0.25">
      <c r="B47" s="32"/>
      <c r="C47" s="36" t="s">
        <v>185</v>
      </c>
      <c r="D47" s="34">
        <v>0</v>
      </c>
      <c r="E47" s="34"/>
      <c r="F47" s="188" t="e">
        <f t="shared" ref="F47" si="8">E47/D47%</f>
        <v>#DIV/0!</v>
      </c>
    </row>
    <row r="48" spans="2:6" x14ac:dyDescent="0.25">
      <c r="B48" s="32"/>
      <c r="C48" s="187" t="s">
        <v>205</v>
      </c>
      <c r="D48" s="189">
        <f>SUM(D47)</f>
        <v>0</v>
      </c>
      <c r="E48" s="194">
        <f>SUM(E47)</f>
        <v>0</v>
      </c>
      <c r="F48" s="190"/>
    </row>
    <row r="49" spans="2:6" x14ac:dyDescent="0.25">
      <c r="B49" s="32" t="s">
        <v>192</v>
      </c>
      <c r="C49" s="33" t="s">
        <v>180</v>
      </c>
      <c r="D49" s="34"/>
      <c r="E49" s="34"/>
      <c r="F49" s="188"/>
    </row>
    <row r="50" spans="2:6" x14ac:dyDescent="0.25">
      <c r="B50" s="32"/>
      <c r="C50" s="36" t="s">
        <v>181</v>
      </c>
      <c r="D50" s="34">
        <v>0</v>
      </c>
      <c r="E50" s="34"/>
      <c r="F50" s="188" t="e">
        <f t="shared" ref="F50:F51" si="9">E50/D50%</f>
        <v>#DIV/0!</v>
      </c>
    </row>
    <row r="51" spans="2:6" x14ac:dyDescent="0.25">
      <c r="B51" s="32"/>
      <c r="C51" s="36" t="s">
        <v>182</v>
      </c>
      <c r="D51" s="34"/>
      <c r="E51" s="34"/>
      <c r="F51" s="188" t="e">
        <f t="shared" si="9"/>
        <v>#DIV/0!</v>
      </c>
    </row>
    <row r="52" spans="2:6" x14ac:dyDescent="0.25">
      <c r="B52" s="32"/>
      <c r="C52" s="187" t="s">
        <v>206</v>
      </c>
      <c r="D52" s="182">
        <f>SUM(D50:D51)</f>
        <v>0</v>
      </c>
      <c r="E52" s="195">
        <f>SUM(E50:E51)</f>
        <v>0</v>
      </c>
      <c r="F52" s="190"/>
    </row>
    <row r="53" spans="2:6" x14ac:dyDescent="0.25">
      <c r="B53" s="32" t="s">
        <v>193</v>
      </c>
      <c r="C53" s="33" t="s">
        <v>183</v>
      </c>
      <c r="D53" s="34"/>
      <c r="E53" s="34"/>
      <c r="F53" s="188"/>
    </row>
    <row r="54" spans="2:6" x14ac:dyDescent="0.25">
      <c r="B54" s="32"/>
      <c r="C54" s="36" t="s">
        <v>184</v>
      </c>
      <c r="D54" s="34"/>
      <c r="E54" s="34"/>
      <c r="F54" s="188" t="e">
        <f t="shared" ref="F54" si="10">E54/D54%</f>
        <v>#DIV/0!</v>
      </c>
    </row>
    <row r="55" spans="2:6" x14ac:dyDescent="0.25">
      <c r="B55" s="32"/>
      <c r="C55" s="187" t="s">
        <v>207</v>
      </c>
      <c r="D55" s="182">
        <f>SUM(D54)</f>
        <v>0</v>
      </c>
      <c r="E55" s="195">
        <f>SUM(E54)</f>
        <v>0</v>
      </c>
      <c r="F55" s="190"/>
    </row>
    <row r="56" spans="2:6" x14ac:dyDescent="0.25">
      <c r="B56" s="32" t="s">
        <v>208</v>
      </c>
      <c r="C56" s="33" t="s">
        <v>221</v>
      </c>
      <c r="D56" s="34"/>
      <c r="E56" s="34"/>
      <c r="F56" s="188"/>
    </row>
    <row r="57" spans="2:6" x14ac:dyDescent="0.25">
      <c r="B57" s="32"/>
      <c r="C57" s="36" t="s">
        <v>211</v>
      </c>
      <c r="D57" s="34"/>
      <c r="E57" s="34"/>
      <c r="F57" s="188" t="e">
        <f t="shared" ref="F57:F59" si="11">E57/D57%</f>
        <v>#DIV/0!</v>
      </c>
    </row>
    <row r="58" spans="2:6" x14ac:dyDescent="0.25">
      <c r="B58" s="32"/>
      <c r="C58" s="36" t="s">
        <v>213</v>
      </c>
      <c r="D58" s="34"/>
      <c r="E58" s="34"/>
      <c r="F58" s="188" t="e">
        <f t="shared" si="11"/>
        <v>#DIV/0!</v>
      </c>
    </row>
    <row r="59" spans="2:6" x14ac:dyDescent="0.25">
      <c r="B59" s="32"/>
      <c r="C59" s="36" t="s">
        <v>212</v>
      </c>
      <c r="D59" s="34"/>
      <c r="E59" s="34"/>
      <c r="F59" s="188" t="e">
        <f t="shared" si="11"/>
        <v>#DIV/0!</v>
      </c>
    </row>
    <row r="60" spans="2:6" x14ac:dyDescent="0.25">
      <c r="B60" s="32"/>
      <c r="C60" s="187" t="s">
        <v>214</v>
      </c>
      <c r="D60" s="182">
        <f>SUM(D57:D59)</f>
        <v>0</v>
      </c>
      <c r="E60" s="195">
        <f>SUM(E57:E59)</f>
        <v>0</v>
      </c>
      <c r="F60" s="190"/>
    </row>
    <row r="61" spans="2:6" x14ac:dyDescent="0.25">
      <c r="B61" s="32" t="s">
        <v>215</v>
      </c>
      <c r="C61" s="33" t="s">
        <v>216</v>
      </c>
      <c r="D61" s="34"/>
      <c r="E61" s="34"/>
      <c r="F61" s="188"/>
    </row>
    <row r="62" spans="2:6" x14ac:dyDescent="0.25">
      <c r="B62" s="32"/>
      <c r="C62" s="36" t="s">
        <v>217</v>
      </c>
      <c r="D62" s="34"/>
      <c r="E62" s="34"/>
      <c r="F62" s="188" t="e">
        <f t="shared" ref="F62:F64" si="12">E62/D62%</f>
        <v>#DIV/0!</v>
      </c>
    </row>
    <row r="63" spans="2:6" x14ac:dyDescent="0.25">
      <c r="B63" s="32"/>
      <c r="C63" s="36" t="s">
        <v>218</v>
      </c>
      <c r="D63" s="34"/>
      <c r="E63" s="34"/>
      <c r="F63" s="188" t="e">
        <f t="shared" si="12"/>
        <v>#DIV/0!</v>
      </c>
    </row>
    <row r="64" spans="2:6" x14ac:dyDescent="0.25">
      <c r="B64" s="32"/>
      <c r="C64" s="36" t="s">
        <v>219</v>
      </c>
      <c r="D64" s="34"/>
      <c r="E64" s="34"/>
      <c r="F64" s="188" t="e">
        <f t="shared" si="12"/>
        <v>#DIV/0!</v>
      </c>
    </row>
    <row r="65" spans="2:11" x14ac:dyDescent="0.25">
      <c r="B65" s="32"/>
      <c r="C65" s="187" t="s">
        <v>220</v>
      </c>
      <c r="D65" s="182">
        <f>SUM(D62:D64)</f>
        <v>0</v>
      </c>
      <c r="E65" s="195">
        <f>SUM(E62:E64)</f>
        <v>0</v>
      </c>
      <c r="F65" s="190"/>
    </row>
    <row r="66" spans="2:11" ht="7.5" customHeight="1" thickBot="1" x14ac:dyDescent="0.3">
      <c r="B66" s="196"/>
      <c r="C66" s="197"/>
      <c r="D66" s="198"/>
      <c r="E66" s="199"/>
      <c r="F66" s="200"/>
    </row>
    <row r="67" spans="2:11" ht="21.75" customHeight="1" thickTop="1" thickBot="1" x14ac:dyDescent="0.3">
      <c r="B67" s="201"/>
      <c r="C67" s="202" t="s">
        <v>95</v>
      </c>
      <c r="D67" s="204">
        <f>D8+D11+D14+D17+D21+D25+D28+D31+D35+D38+D42+D45+D48+D52+D55+D60+D65</f>
        <v>0</v>
      </c>
      <c r="E67" s="204">
        <f>E8+E11+E14+E17+E21+E25+E28+E31+E35+E38+E42+E45+E48+E52+E55+E60+E65</f>
        <v>0</v>
      </c>
      <c r="F67" s="205" t="e">
        <f>E67/D67%</f>
        <v>#DIV/0!</v>
      </c>
    </row>
    <row r="68" spans="2:11" ht="12.75" customHeight="1" x14ac:dyDescent="0.25">
      <c r="C68" s="203"/>
      <c r="D68" s="28"/>
      <c r="E68" s="28"/>
      <c r="F68" s="191"/>
    </row>
    <row r="69" spans="2:11" x14ac:dyDescent="0.25">
      <c r="C69" s="27"/>
      <c r="D69" s="28"/>
      <c r="E69" s="434" t="s">
        <v>139</v>
      </c>
      <c r="F69" s="434"/>
    </row>
    <row r="71" spans="2:11" ht="15.75" thickBot="1" x14ac:dyDescent="0.3">
      <c r="H71" s="77" t="s">
        <v>124</v>
      </c>
      <c r="I71" s="143" t="s">
        <v>101</v>
      </c>
      <c r="J71" s="143"/>
      <c r="K71" s="143"/>
    </row>
    <row r="72" spans="2:11" ht="15.75" thickTop="1" x14ac:dyDescent="0.25">
      <c r="I72" s="37" t="s">
        <v>93</v>
      </c>
      <c r="J72" s="38" t="s">
        <v>102</v>
      </c>
      <c r="K72" s="27"/>
    </row>
    <row r="73" spans="2:11" x14ac:dyDescent="0.25">
      <c r="I73" s="26"/>
      <c r="J73" s="27" t="s">
        <v>108</v>
      </c>
      <c r="K73" s="27"/>
    </row>
    <row r="74" spans="2:11" x14ac:dyDescent="0.25">
      <c r="I74" s="26"/>
      <c r="J74" s="27" t="s">
        <v>109</v>
      </c>
      <c r="K74" s="27"/>
    </row>
    <row r="75" spans="2:11" x14ac:dyDescent="0.25">
      <c r="I75" s="26"/>
      <c r="J75" s="27" t="s">
        <v>110</v>
      </c>
      <c r="K75" s="27"/>
    </row>
    <row r="76" spans="2:11" x14ac:dyDescent="0.25">
      <c r="I76" s="26"/>
      <c r="J76" s="27" t="s">
        <v>111</v>
      </c>
      <c r="K76" s="27"/>
    </row>
    <row r="77" spans="2:11" x14ac:dyDescent="0.25">
      <c r="I77" s="26"/>
      <c r="J77" s="27"/>
      <c r="K77" s="27"/>
    </row>
    <row r="78" spans="2:11" x14ac:dyDescent="0.25">
      <c r="I78" s="37" t="s">
        <v>103</v>
      </c>
      <c r="J78" s="38" t="s">
        <v>104</v>
      </c>
      <c r="K78" s="27"/>
    </row>
    <row r="79" spans="2:11" x14ac:dyDescent="0.25">
      <c r="I79" s="37"/>
      <c r="J79" s="27" t="s">
        <v>112</v>
      </c>
      <c r="K79" s="27"/>
    </row>
    <row r="80" spans="2:11" x14ac:dyDescent="0.25">
      <c r="I80" s="37"/>
      <c r="J80" s="27" t="s">
        <v>114</v>
      </c>
      <c r="K80" s="27"/>
    </row>
    <row r="81" spans="1:12" x14ac:dyDescent="0.25">
      <c r="I81" s="26"/>
      <c r="J81" s="27" t="s">
        <v>113</v>
      </c>
      <c r="K81" s="27"/>
    </row>
    <row r="82" spans="1:12" x14ac:dyDescent="0.25">
      <c r="I82" s="26"/>
      <c r="J82" s="27"/>
      <c r="K82" s="27"/>
    </row>
    <row r="83" spans="1:12" x14ac:dyDescent="0.25">
      <c r="I83" s="37" t="s">
        <v>92</v>
      </c>
      <c r="J83" s="38" t="s">
        <v>105</v>
      </c>
      <c r="K83" s="27"/>
    </row>
    <row r="84" spans="1:12" x14ac:dyDescent="0.25">
      <c r="I84" s="26"/>
      <c r="J84" s="27" t="s">
        <v>115</v>
      </c>
      <c r="K84" s="27"/>
    </row>
    <row r="85" spans="1:12" x14ac:dyDescent="0.25">
      <c r="I85" s="26"/>
      <c r="J85" s="27" t="s">
        <v>116</v>
      </c>
      <c r="K85" s="27"/>
    </row>
    <row r="86" spans="1:12" x14ac:dyDescent="0.25">
      <c r="I86" s="26"/>
      <c r="J86" s="27" t="s">
        <v>117</v>
      </c>
      <c r="K86" s="27"/>
    </row>
    <row r="87" spans="1:12" x14ac:dyDescent="0.25">
      <c r="I87" s="26"/>
      <c r="J87" s="27" t="s">
        <v>118</v>
      </c>
      <c r="K87" s="27"/>
    </row>
    <row r="88" spans="1:12" x14ac:dyDescent="0.25">
      <c r="I88" s="26"/>
      <c r="J88" s="27" t="s">
        <v>119</v>
      </c>
      <c r="K88" s="27"/>
    </row>
    <row r="89" spans="1:12" x14ac:dyDescent="0.25">
      <c r="I89" s="26"/>
      <c r="J89" s="27" t="s">
        <v>120</v>
      </c>
      <c r="K89" s="27"/>
    </row>
    <row r="90" spans="1:12" x14ac:dyDescent="0.25">
      <c r="I90" s="26"/>
      <c r="J90" s="27" t="s">
        <v>121</v>
      </c>
      <c r="K90" s="27"/>
    </row>
    <row r="91" spans="1:12" x14ac:dyDescent="0.25">
      <c r="I91" s="26"/>
      <c r="J91" s="27"/>
      <c r="K91" s="27"/>
    </row>
    <row r="92" spans="1:12" x14ac:dyDescent="0.25">
      <c r="I92" s="37" t="s">
        <v>106</v>
      </c>
      <c r="J92" s="38" t="s">
        <v>107</v>
      </c>
      <c r="K92" s="27"/>
    </row>
    <row r="93" spans="1:12" x14ac:dyDescent="0.25">
      <c r="I93" s="26"/>
      <c r="J93" s="27" t="s">
        <v>122</v>
      </c>
      <c r="K93" s="27"/>
    </row>
    <row r="94" spans="1:12" x14ac:dyDescent="0.25">
      <c r="I94" s="26"/>
      <c r="J94" s="27" t="s">
        <v>123</v>
      </c>
      <c r="K94" s="27"/>
    </row>
    <row r="95" spans="1:12" x14ac:dyDescent="0.25">
      <c r="A95" s="207"/>
      <c r="B95" s="208"/>
      <c r="C95" s="207"/>
      <c r="D95" s="209"/>
      <c r="E95" s="209"/>
      <c r="F95" s="210"/>
      <c r="G95" s="207"/>
      <c r="H95" s="207"/>
      <c r="I95" s="211"/>
      <c r="J95" s="212"/>
      <c r="K95" s="212"/>
      <c r="L95" s="207"/>
    </row>
    <row r="97" spans="2:9" ht="18" x14ac:dyDescent="0.25">
      <c r="B97" s="435" t="s">
        <v>178</v>
      </c>
      <c r="C97" s="435"/>
      <c r="D97" s="435"/>
      <c r="E97" s="435"/>
      <c r="F97" s="435"/>
    </row>
    <row r="98" spans="2:9" ht="18.75" thickBot="1" x14ac:dyDescent="0.3">
      <c r="B98" s="436" t="s">
        <v>135</v>
      </c>
      <c r="C98" s="436"/>
      <c r="D98" s="436"/>
      <c r="E98" s="436"/>
      <c r="F98" s="436"/>
    </row>
    <row r="99" spans="2:9" ht="16.5" thickTop="1" thickBot="1" x14ac:dyDescent="0.3">
      <c r="B99" s="37"/>
      <c r="C99" s="27"/>
      <c r="D99" s="28"/>
      <c r="E99" s="28"/>
      <c r="F99" s="191"/>
    </row>
    <row r="100" spans="2:9" ht="21" customHeight="1" thickBot="1" x14ac:dyDescent="0.3">
      <c r="B100" s="216" t="s">
        <v>91</v>
      </c>
      <c r="C100" s="217" t="s">
        <v>3</v>
      </c>
      <c r="D100" s="218" t="s">
        <v>149</v>
      </c>
      <c r="E100" s="218" t="s">
        <v>150</v>
      </c>
      <c r="F100" s="219" t="s">
        <v>9</v>
      </c>
    </row>
    <row r="101" spans="2:9" ht="15.75" thickTop="1" x14ac:dyDescent="0.25">
      <c r="B101" s="29" t="s">
        <v>155</v>
      </c>
      <c r="C101" s="30" t="s">
        <v>267</v>
      </c>
      <c r="D101" s="31"/>
      <c r="E101" s="31"/>
      <c r="F101" s="192"/>
    </row>
    <row r="102" spans="2:9" s="27" customFormat="1" x14ac:dyDescent="0.25">
      <c r="B102" s="32" t="s">
        <v>94</v>
      </c>
      <c r="C102" s="33" t="s">
        <v>176</v>
      </c>
      <c r="D102" s="34"/>
      <c r="E102" s="34"/>
      <c r="F102" s="188"/>
      <c r="I102" s="26"/>
    </row>
    <row r="103" spans="2:9" s="27" customFormat="1" ht="15.75" customHeight="1" x14ac:dyDescent="0.25">
      <c r="B103" s="32"/>
      <c r="C103" s="36" t="s">
        <v>222</v>
      </c>
      <c r="D103" s="34">
        <v>27383000</v>
      </c>
      <c r="E103" s="34">
        <f>25540500+72000</f>
        <v>25612500</v>
      </c>
      <c r="F103" s="188">
        <f>E103/D103%</f>
        <v>93.534309608151048</v>
      </c>
      <c r="I103" s="26"/>
    </row>
    <row r="104" spans="2:9" s="27" customFormat="1" x14ac:dyDescent="0.25">
      <c r="B104" s="32"/>
      <c r="C104" s="187" t="s">
        <v>162</v>
      </c>
      <c r="D104" s="189">
        <f>SUM(D103)</f>
        <v>27383000</v>
      </c>
      <c r="E104" s="194">
        <f>SUM(E103)</f>
        <v>25612500</v>
      </c>
      <c r="F104" s="213">
        <f>E104/D104%</f>
        <v>93.534309608151048</v>
      </c>
      <c r="I104" s="26"/>
    </row>
    <row r="105" spans="2:9" s="27" customFormat="1" x14ac:dyDescent="0.25">
      <c r="B105" s="32" t="s">
        <v>96</v>
      </c>
      <c r="C105" s="33" t="s">
        <v>179</v>
      </c>
      <c r="D105" s="34"/>
      <c r="E105" s="34"/>
      <c r="F105" s="188"/>
      <c r="I105" s="26"/>
    </row>
    <row r="106" spans="2:9" x14ac:dyDescent="0.25">
      <c r="B106" s="32"/>
      <c r="C106" s="36" t="s">
        <v>185</v>
      </c>
      <c r="D106" s="34">
        <v>61655000</v>
      </c>
      <c r="E106" s="34">
        <v>43462500</v>
      </c>
      <c r="F106" s="188">
        <f>E106/D106%</f>
        <v>70.493066255778118</v>
      </c>
    </row>
    <row r="107" spans="2:9" x14ac:dyDescent="0.25">
      <c r="B107" s="32"/>
      <c r="C107" s="187" t="s">
        <v>194</v>
      </c>
      <c r="D107" s="189">
        <f>SUM(D106)</f>
        <v>61655000</v>
      </c>
      <c r="E107" s="194">
        <f>SUM(E106)</f>
        <v>43462500</v>
      </c>
      <c r="F107" s="213">
        <f>E107/D107%</f>
        <v>70.493066255778118</v>
      </c>
    </row>
    <row r="108" spans="2:9" x14ac:dyDescent="0.25">
      <c r="B108" s="32"/>
      <c r="C108" s="220" t="s">
        <v>257</v>
      </c>
      <c r="D108" s="222">
        <f>D104+D107</f>
        <v>89038000</v>
      </c>
      <c r="E108" s="223">
        <f>E104+E107</f>
        <v>69075000</v>
      </c>
      <c r="F108" s="221">
        <f>E108/D108%</f>
        <v>77.579235831892007</v>
      </c>
    </row>
    <row r="109" spans="2:9" x14ac:dyDescent="0.25">
      <c r="B109" s="32" t="s">
        <v>97</v>
      </c>
      <c r="C109" s="33" t="s">
        <v>235</v>
      </c>
      <c r="D109" s="34"/>
      <c r="E109" s="34"/>
      <c r="F109" s="188"/>
    </row>
    <row r="110" spans="2:9" x14ac:dyDescent="0.25">
      <c r="B110" s="32"/>
      <c r="C110" s="36" t="s">
        <v>168</v>
      </c>
      <c r="D110" s="34">
        <v>16706000</v>
      </c>
      <c r="E110" s="34">
        <v>16062318</v>
      </c>
      <c r="F110" s="188">
        <f>E110/D110%</f>
        <v>96.147001077457205</v>
      </c>
    </row>
    <row r="111" spans="2:9" x14ac:dyDescent="0.25">
      <c r="B111" s="32"/>
      <c r="C111" s="36" t="s">
        <v>258</v>
      </c>
      <c r="D111" s="34">
        <v>3789000</v>
      </c>
      <c r="E111" s="34">
        <v>7290000</v>
      </c>
      <c r="F111" s="188">
        <f>E111/D111%</f>
        <v>192.39904988123516</v>
      </c>
    </row>
    <row r="112" spans="2:9" x14ac:dyDescent="0.25">
      <c r="B112" s="32"/>
      <c r="C112" s="187" t="s">
        <v>259</v>
      </c>
      <c r="D112" s="189">
        <f>SUM(D110:D111)</f>
        <v>20495000</v>
      </c>
      <c r="E112" s="194">
        <f>SUM(E110:E111)</f>
        <v>23352318</v>
      </c>
      <c r="F112" s="213">
        <f>E112/D112%</f>
        <v>113.9415369602342</v>
      </c>
    </row>
    <row r="113" spans="2:6" x14ac:dyDescent="0.25">
      <c r="B113" s="32" t="s">
        <v>98</v>
      </c>
      <c r="C113" s="33" t="s">
        <v>223</v>
      </c>
      <c r="D113" s="34"/>
      <c r="E113" s="34"/>
      <c r="F113" s="188"/>
    </row>
    <row r="114" spans="2:6" x14ac:dyDescent="0.25">
      <c r="B114" s="32"/>
      <c r="C114" s="36" t="s">
        <v>224</v>
      </c>
      <c r="D114" s="34">
        <v>10408000</v>
      </c>
      <c r="E114" s="34">
        <v>6053000</v>
      </c>
      <c r="F114" s="188">
        <f>E114/D114%</f>
        <v>58.157186779400462</v>
      </c>
    </row>
    <row r="115" spans="2:6" x14ac:dyDescent="0.25">
      <c r="B115" s="32"/>
      <c r="C115" s="187" t="s">
        <v>196</v>
      </c>
      <c r="D115" s="189">
        <f>SUM(D114)</f>
        <v>10408000</v>
      </c>
      <c r="E115" s="194">
        <f>SUM(E114)</f>
        <v>6053000</v>
      </c>
      <c r="F115" s="213">
        <f>E115/D115%</f>
        <v>58.157186779400462</v>
      </c>
    </row>
    <row r="116" spans="2:6" x14ac:dyDescent="0.25">
      <c r="B116" s="32" t="s">
        <v>99</v>
      </c>
      <c r="C116" s="33" t="s">
        <v>225</v>
      </c>
      <c r="D116" s="34"/>
      <c r="E116" s="34"/>
      <c r="F116" s="188"/>
    </row>
    <row r="117" spans="2:6" x14ac:dyDescent="0.25">
      <c r="B117" s="32"/>
      <c r="C117" s="36" t="s">
        <v>226</v>
      </c>
      <c r="D117" s="34">
        <v>7645000</v>
      </c>
      <c r="E117" s="34">
        <f>5820000+93000</f>
        <v>5913000</v>
      </c>
      <c r="F117" s="188">
        <f t="shared" ref="F117" si="13">E117/D117%</f>
        <v>77.344669718770433</v>
      </c>
    </row>
    <row r="118" spans="2:6" x14ac:dyDescent="0.25">
      <c r="B118" s="32"/>
      <c r="C118" s="187" t="s">
        <v>239</v>
      </c>
      <c r="D118" s="189">
        <f>SUM(D117:D117)</f>
        <v>7645000</v>
      </c>
      <c r="E118" s="194">
        <f>SUM(E117:E117)</f>
        <v>5913000</v>
      </c>
      <c r="F118" s="213">
        <f>E118/D118%</f>
        <v>77.344669718770433</v>
      </c>
    </row>
    <row r="119" spans="2:6" x14ac:dyDescent="0.25">
      <c r="B119" s="32" t="s">
        <v>156</v>
      </c>
      <c r="C119" s="33" t="s">
        <v>167</v>
      </c>
      <c r="D119" s="34"/>
      <c r="E119" s="34"/>
      <c r="F119" s="188"/>
    </row>
    <row r="120" spans="2:6" x14ac:dyDescent="0.25">
      <c r="B120" s="32"/>
      <c r="C120" s="36" t="s">
        <v>170</v>
      </c>
      <c r="D120" s="34">
        <v>1694000</v>
      </c>
      <c r="E120" s="34">
        <v>669956</v>
      </c>
      <c r="F120" s="188">
        <f t="shared" ref="F120:F121" si="14">E120/D120%</f>
        <v>39.54876033057851</v>
      </c>
    </row>
    <row r="121" spans="2:6" x14ac:dyDescent="0.25">
      <c r="B121" s="32"/>
      <c r="C121" s="36" t="s">
        <v>171</v>
      </c>
      <c r="D121" s="34">
        <v>3598000</v>
      </c>
      <c r="E121" s="34">
        <f>2035000+33000</f>
        <v>2068000</v>
      </c>
      <c r="F121" s="188">
        <f t="shared" si="14"/>
        <v>57.476375764313509</v>
      </c>
    </row>
    <row r="122" spans="2:6" x14ac:dyDescent="0.25">
      <c r="B122" s="32"/>
      <c r="C122" s="187" t="s">
        <v>245</v>
      </c>
      <c r="D122" s="189">
        <f>SUM(D120:D121)</f>
        <v>5292000</v>
      </c>
      <c r="E122" s="194">
        <f>SUM(E120:E121)</f>
        <v>2737956</v>
      </c>
      <c r="F122" s="213">
        <f>E122/D122%</f>
        <v>51.737641723356006</v>
      </c>
    </row>
    <row r="123" spans="2:6" x14ac:dyDescent="0.25">
      <c r="B123" s="32" t="s">
        <v>186</v>
      </c>
      <c r="C123" s="33" t="s">
        <v>173</v>
      </c>
      <c r="D123" s="34"/>
      <c r="E123" s="34"/>
      <c r="F123" s="188"/>
    </row>
    <row r="124" spans="2:6" x14ac:dyDescent="0.25">
      <c r="B124" s="32"/>
      <c r="C124" s="36" t="s">
        <v>227</v>
      </c>
      <c r="D124" s="34">
        <v>4669000</v>
      </c>
      <c r="E124" s="34">
        <v>2371428</v>
      </c>
      <c r="F124" s="188">
        <f t="shared" ref="F124" si="15">E124/D124%</f>
        <v>50.790918826301137</v>
      </c>
    </row>
    <row r="125" spans="2:6" x14ac:dyDescent="0.25">
      <c r="B125" s="32"/>
      <c r="C125" s="187" t="s">
        <v>199</v>
      </c>
      <c r="D125" s="189">
        <f>SUM(D124:D124)</f>
        <v>4669000</v>
      </c>
      <c r="E125" s="194">
        <f>SUM(E124:E124)</f>
        <v>2371428</v>
      </c>
      <c r="F125" s="213">
        <f>E125/D125%</f>
        <v>50.790918826301137</v>
      </c>
    </row>
    <row r="126" spans="2:6" x14ac:dyDescent="0.25">
      <c r="B126" s="32" t="s">
        <v>187</v>
      </c>
      <c r="C126" s="33" t="s">
        <v>244</v>
      </c>
      <c r="D126" s="34"/>
      <c r="E126" s="34"/>
      <c r="F126" s="188"/>
    </row>
    <row r="127" spans="2:6" x14ac:dyDescent="0.25">
      <c r="B127" s="32"/>
      <c r="C127" s="36" t="s">
        <v>174</v>
      </c>
      <c r="D127" s="34">
        <v>40989000</v>
      </c>
      <c r="E127" s="34">
        <v>20637762</v>
      </c>
      <c r="F127" s="188">
        <f t="shared" ref="F127" si="16">E127/D127%</f>
        <v>50.349513284051817</v>
      </c>
    </row>
    <row r="128" spans="2:6" x14ac:dyDescent="0.25">
      <c r="B128" s="32"/>
      <c r="C128" s="187" t="s">
        <v>200</v>
      </c>
      <c r="D128" s="189">
        <f>SUM(D127:D127)</f>
        <v>40989000</v>
      </c>
      <c r="E128" s="194">
        <f>SUM(E127:E127)</f>
        <v>20637762</v>
      </c>
      <c r="F128" s="213">
        <f>E128/D128%</f>
        <v>50.349513284051817</v>
      </c>
    </row>
    <row r="129" spans="2:12" x14ac:dyDescent="0.25">
      <c r="B129" s="32" t="s">
        <v>155</v>
      </c>
      <c r="C129" s="33" t="s">
        <v>228</v>
      </c>
      <c r="D129" s="34"/>
      <c r="E129" s="34"/>
      <c r="F129" s="188"/>
    </row>
    <row r="130" spans="2:12" x14ac:dyDescent="0.25">
      <c r="B130" s="32"/>
      <c r="C130" s="36" t="s">
        <v>172</v>
      </c>
      <c r="D130" s="34">
        <v>9598000</v>
      </c>
      <c r="E130" s="34">
        <v>8212666</v>
      </c>
      <c r="F130" s="188">
        <f t="shared" ref="F130" si="17">E130/D130%</f>
        <v>85.566430506355488</v>
      </c>
    </row>
    <row r="131" spans="2:12" x14ac:dyDescent="0.25">
      <c r="B131" s="32"/>
      <c r="C131" s="187" t="s">
        <v>201</v>
      </c>
      <c r="D131" s="189">
        <f>SUM(D130:D130)</f>
        <v>9598000</v>
      </c>
      <c r="E131" s="194">
        <f>SUM(E130:E130)</f>
        <v>8212666</v>
      </c>
      <c r="F131" s="213">
        <f>E131/D131%</f>
        <v>85.566430506355488</v>
      </c>
      <c r="L131" s="27"/>
    </row>
    <row r="132" spans="2:12" x14ac:dyDescent="0.25">
      <c r="B132" s="32"/>
      <c r="C132" s="220" t="s">
        <v>255</v>
      </c>
      <c r="D132" s="222">
        <f>D125+D128+D131</f>
        <v>55256000</v>
      </c>
      <c r="E132" s="223">
        <f>E125+E128+E131</f>
        <v>31221856</v>
      </c>
      <c r="F132" s="221">
        <f>E132/D132%</f>
        <v>56.504010424207323</v>
      </c>
      <c r="L132" s="27"/>
    </row>
    <row r="133" spans="2:12" x14ac:dyDescent="0.25">
      <c r="B133" s="32" t="s">
        <v>188</v>
      </c>
      <c r="C133" s="33" t="s">
        <v>216</v>
      </c>
      <c r="D133" s="34"/>
      <c r="E133" s="34"/>
      <c r="F133" s="188"/>
      <c r="L133" s="27"/>
    </row>
    <row r="134" spans="2:12" x14ac:dyDescent="0.25">
      <c r="B134" s="32"/>
      <c r="C134" s="36" t="s">
        <v>217</v>
      </c>
      <c r="D134" s="34">
        <v>4110000</v>
      </c>
      <c r="E134" s="34">
        <v>3125000</v>
      </c>
      <c r="F134" s="188">
        <f t="shared" ref="F134:F135" si="18">E134/D134%</f>
        <v>76.034063260340631</v>
      </c>
      <c r="L134" s="27"/>
    </row>
    <row r="135" spans="2:12" x14ac:dyDescent="0.25">
      <c r="B135" s="32"/>
      <c r="C135" s="36" t="s">
        <v>218</v>
      </c>
      <c r="D135" s="34">
        <v>3118000</v>
      </c>
      <c r="E135" s="34">
        <v>4025000</v>
      </c>
      <c r="F135" s="188">
        <f t="shared" si="18"/>
        <v>129.08915971776781</v>
      </c>
      <c r="L135" s="27"/>
    </row>
    <row r="136" spans="2:12" x14ac:dyDescent="0.25">
      <c r="B136" s="32"/>
      <c r="C136" s="36" t="s">
        <v>219</v>
      </c>
      <c r="D136" s="34">
        <v>424000</v>
      </c>
      <c r="E136" s="34">
        <v>295000</v>
      </c>
      <c r="F136" s="188">
        <f>E136/D136%</f>
        <v>69.575471698113205</v>
      </c>
      <c r="L136" s="27"/>
    </row>
    <row r="137" spans="2:12" x14ac:dyDescent="0.25">
      <c r="B137" s="32"/>
      <c r="C137" s="236" t="s">
        <v>281</v>
      </c>
      <c r="D137" s="235">
        <v>2296000</v>
      </c>
      <c r="E137" s="235">
        <v>2620000</v>
      </c>
      <c r="F137" s="188">
        <f t="shared" ref="F137" si="19">E137/D137%</f>
        <v>114.11149825783973</v>
      </c>
    </row>
    <row r="138" spans="2:12" x14ac:dyDescent="0.25">
      <c r="B138" s="32"/>
      <c r="C138" s="187" t="s">
        <v>246</v>
      </c>
      <c r="D138" s="189">
        <f>SUM(D134:D137)</f>
        <v>9948000</v>
      </c>
      <c r="E138" s="194">
        <f>SUM(E134:E137)</f>
        <v>10065000</v>
      </c>
      <c r="F138" s="213">
        <f>E138/D138%</f>
        <v>101.1761158021713</v>
      </c>
    </row>
    <row r="139" spans="2:12" x14ac:dyDescent="0.25">
      <c r="B139" s="32" t="s">
        <v>189</v>
      </c>
      <c r="C139" s="33" t="s">
        <v>305</v>
      </c>
      <c r="D139" s="34"/>
      <c r="E139" s="34"/>
      <c r="F139" s="188"/>
    </row>
    <row r="140" spans="2:12" x14ac:dyDescent="0.25">
      <c r="B140" s="32"/>
      <c r="C140" s="36" t="s">
        <v>229</v>
      </c>
      <c r="D140" s="34">
        <v>611000</v>
      </c>
      <c r="E140" s="34">
        <v>335000</v>
      </c>
      <c r="F140" s="188">
        <f t="shared" ref="F140:F142" si="20">E140/D140%</f>
        <v>54.828150572831426</v>
      </c>
    </row>
    <row r="141" spans="2:12" x14ac:dyDescent="0.25">
      <c r="B141" s="32"/>
      <c r="C141" s="36" t="s">
        <v>230</v>
      </c>
      <c r="D141" s="34">
        <v>28857000</v>
      </c>
      <c r="E141" s="34">
        <v>17555956</v>
      </c>
      <c r="F141" s="188">
        <f t="shared" si="20"/>
        <v>60.837772464220123</v>
      </c>
    </row>
    <row r="142" spans="2:12" x14ac:dyDescent="0.25">
      <c r="B142" s="32"/>
      <c r="C142" s="36" t="s">
        <v>231</v>
      </c>
      <c r="D142" s="34">
        <v>7702000</v>
      </c>
      <c r="E142" s="34">
        <f>5993000+23000</f>
        <v>6016000</v>
      </c>
      <c r="F142" s="188">
        <f t="shared" si="20"/>
        <v>78.109581926772265</v>
      </c>
    </row>
    <row r="143" spans="2:12" x14ac:dyDescent="0.25">
      <c r="B143" s="32"/>
      <c r="C143" s="36" t="s">
        <v>232</v>
      </c>
      <c r="D143" s="34">
        <v>1523000</v>
      </c>
      <c r="E143" s="34">
        <v>625000</v>
      </c>
      <c r="F143" s="188">
        <f>E143/D143%</f>
        <v>41.037426132632959</v>
      </c>
    </row>
    <row r="144" spans="2:12" x14ac:dyDescent="0.25">
      <c r="B144" s="32"/>
      <c r="C144" s="187" t="s">
        <v>247</v>
      </c>
      <c r="D144" s="189">
        <f>SUM(D140:D143)</f>
        <v>38693000</v>
      </c>
      <c r="E144" s="194">
        <f>SUM(E140:E143)</f>
        <v>24531956</v>
      </c>
      <c r="F144" s="213">
        <f>E144/D144%</f>
        <v>63.401535161398705</v>
      </c>
    </row>
    <row r="145" spans="2:6" x14ac:dyDescent="0.25">
      <c r="B145" s="32" t="s">
        <v>190</v>
      </c>
      <c r="C145" s="33" t="s">
        <v>233</v>
      </c>
      <c r="D145" s="34"/>
      <c r="E145" s="34"/>
      <c r="F145" s="188"/>
    </row>
    <row r="146" spans="2:6" x14ac:dyDescent="0.25">
      <c r="B146" s="32"/>
      <c r="C146" s="36" t="s">
        <v>163</v>
      </c>
      <c r="D146" s="34">
        <v>8916000</v>
      </c>
      <c r="E146" s="34">
        <v>8077272</v>
      </c>
      <c r="F146" s="188">
        <f>E146/D146%</f>
        <v>90.593001345895019</v>
      </c>
    </row>
    <row r="147" spans="2:6" x14ac:dyDescent="0.25">
      <c r="B147" s="32"/>
      <c r="C147" s="187" t="s">
        <v>248</v>
      </c>
      <c r="D147" s="189">
        <f>SUM(D146:D146)</f>
        <v>8916000</v>
      </c>
      <c r="E147" s="194">
        <f>SUM(E146:E146)</f>
        <v>8077272</v>
      </c>
      <c r="F147" s="213">
        <f>E147/D147%</f>
        <v>90.593001345895019</v>
      </c>
    </row>
    <row r="148" spans="2:6" x14ac:dyDescent="0.25">
      <c r="B148" s="32" t="s">
        <v>191</v>
      </c>
      <c r="C148" s="33" t="s">
        <v>236</v>
      </c>
      <c r="D148" s="34"/>
      <c r="E148" s="34"/>
      <c r="F148" s="188"/>
    </row>
    <row r="149" spans="2:6" x14ac:dyDescent="0.25">
      <c r="B149" s="32"/>
      <c r="C149" s="36" t="s">
        <v>181</v>
      </c>
      <c r="D149" s="34">
        <v>0</v>
      </c>
      <c r="E149" s="34">
        <v>0</v>
      </c>
      <c r="F149" s="188" t="e">
        <f>E149/D149%</f>
        <v>#DIV/0!</v>
      </c>
    </row>
    <row r="150" spans="2:6" x14ac:dyDescent="0.25">
      <c r="B150" s="32"/>
      <c r="C150" s="36" t="s">
        <v>237</v>
      </c>
      <c r="D150" s="34">
        <v>0</v>
      </c>
      <c r="E150" s="34">
        <v>0</v>
      </c>
      <c r="F150" s="188" t="e">
        <f>E150/D150%</f>
        <v>#DIV/0!</v>
      </c>
    </row>
    <row r="151" spans="2:6" x14ac:dyDescent="0.25">
      <c r="B151" s="32"/>
      <c r="C151" s="47" t="s">
        <v>300</v>
      </c>
      <c r="D151" s="235">
        <v>529000</v>
      </c>
      <c r="E151" s="235">
        <v>712500</v>
      </c>
      <c r="F151" s="188">
        <f t="shared" ref="F151:F153" si="21">E151/D151%</f>
        <v>134.68809073724009</v>
      </c>
    </row>
    <row r="152" spans="2:6" x14ac:dyDescent="0.25">
      <c r="B152" s="32"/>
      <c r="C152" s="47" t="s">
        <v>301</v>
      </c>
      <c r="D152" s="235">
        <v>3388000</v>
      </c>
      <c r="E152" s="235">
        <v>1800000</v>
      </c>
      <c r="F152" s="188">
        <f t="shared" si="21"/>
        <v>53.128689492325854</v>
      </c>
    </row>
    <row r="153" spans="2:6" x14ac:dyDescent="0.25">
      <c r="B153" s="32"/>
      <c r="C153" s="47" t="s">
        <v>303</v>
      </c>
      <c r="D153" s="34">
        <v>0</v>
      </c>
      <c r="E153" s="34">
        <v>0</v>
      </c>
      <c r="F153" s="188" t="e">
        <f t="shared" si="21"/>
        <v>#DIV/0!</v>
      </c>
    </row>
    <row r="154" spans="2:6" x14ac:dyDescent="0.25">
      <c r="B154" s="32"/>
      <c r="C154" s="47" t="s">
        <v>302</v>
      </c>
      <c r="D154" s="34">
        <v>0</v>
      </c>
      <c r="E154" s="34">
        <v>0</v>
      </c>
      <c r="F154" s="188" t="e">
        <f>E154/D154%</f>
        <v>#DIV/0!</v>
      </c>
    </row>
    <row r="155" spans="2:6" x14ac:dyDescent="0.25">
      <c r="B155" s="32"/>
      <c r="C155" s="187" t="s">
        <v>260</v>
      </c>
      <c r="D155" s="189">
        <f>SUM(D149:D154)</f>
        <v>3917000</v>
      </c>
      <c r="E155" s="194">
        <f>SUM(E149:E154)</f>
        <v>2512500</v>
      </c>
      <c r="F155" s="213">
        <f>E155/D155%</f>
        <v>64.14347715088077</v>
      </c>
    </row>
    <row r="156" spans="2:6" x14ac:dyDescent="0.25">
      <c r="B156" s="32" t="s">
        <v>192</v>
      </c>
      <c r="C156" s="33" t="s">
        <v>234</v>
      </c>
      <c r="D156" s="34"/>
      <c r="E156" s="34"/>
      <c r="F156" s="188"/>
    </row>
    <row r="157" spans="2:6" x14ac:dyDescent="0.25">
      <c r="B157" s="32"/>
      <c r="C157" s="36" t="s">
        <v>184</v>
      </c>
      <c r="D157" s="34">
        <v>18678000</v>
      </c>
      <c r="E157" s="34">
        <v>10244056</v>
      </c>
      <c r="F157" s="188">
        <f>E157/D157%</f>
        <v>54.845572331084696</v>
      </c>
    </row>
    <row r="158" spans="2:6" x14ac:dyDescent="0.25">
      <c r="B158" s="32"/>
      <c r="C158" s="187" t="s">
        <v>261</v>
      </c>
      <c r="D158" s="189">
        <f>SUM(D157)</f>
        <v>18678000</v>
      </c>
      <c r="E158" s="194">
        <f>SUM(E157)</f>
        <v>10244056</v>
      </c>
      <c r="F158" s="213">
        <f>E158/D158%</f>
        <v>54.845572331084696</v>
      </c>
    </row>
    <row r="159" spans="2:6" x14ac:dyDescent="0.25">
      <c r="B159" s="32" t="s">
        <v>193</v>
      </c>
      <c r="C159" s="33" t="s">
        <v>160</v>
      </c>
      <c r="D159" s="34"/>
      <c r="E159" s="34"/>
      <c r="F159" s="188"/>
    </row>
    <row r="160" spans="2:6" x14ac:dyDescent="0.25">
      <c r="B160" s="32"/>
      <c r="C160" s="36" t="s">
        <v>238</v>
      </c>
      <c r="D160" s="34">
        <v>318000</v>
      </c>
      <c r="E160" s="34">
        <v>0</v>
      </c>
      <c r="F160" s="188">
        <f>E160/D160%</f>
        <v>0</v>
      </c>
    </row>
    <row r="161" spans="2:9" x14ac:dyDescent="0.25">
      <c r="B161" s="32"/>
      <c r="C161" s="36" t="s">
        <v>249</v>
      </c>
      <c r="D161" s="34">
        <v>284000</v>
      </c>
      <c r="E161" s="34">
        <f>8592000+188000</f>
        <v>8780000</v>
      </c>
      <c r="F161" s="188">
        <f>E161/D161%</f>
        <v>3091.5492957746478</v>
      </c>
    </row>
    <row r="162" spans="2:9" x14ac:dyDescent="0.25">
      <c r="B162" s="32"/>
      <c r="C162" s="187" t="s">
        <v>262</v>
      </c>
      <c r="D162" s="189">
        <f>SUM(D160:D161)</f>
        <v>602000</v>
      </c>
      <c r="E162" s="194">
        <f>SUM(E160:E161)</f>
        <v>8780000</v>
      </c>
      <c r="F162" s="213">
        <f>E162/D162%</f>
        <v>1458.4717607973421</v>
      </c>
    </row>
    <row r="163" spans="2:9" x14ac:dyDescent="0.25">
      <c r="B163" s="32" t="s">
        <v>208</v>
      </c>
      <c r="C163" s="33" t="s">
        <v>240</v>
      </c>
      <c r="D163" s="34"/>
      <c r="E163" s="34"/>
      <c r="F163" s="188"/>
    </row>
    <row r="164" spans="2:9" x14ac:dyDescent="0.25">
      <c r="B164" s="32"/>
      <c r="C164" s="36" t="s">
        <v>241</v>
      </c>
      <c r="D164" s="34">
        <v>16637000</v>
      </c>
      <c r="E164" s="34">
        <f>14828722+164000</f>
        <v>14992722</v>
      </c>
      <c r="F164" s="188">
        <f>E164/D164%</f>
        <v>90.116739796838374</v>
      </c>
    </row>
    <row r="165" spans="2:9" x14ac:dyDescent="0.25">
      <c r="B165" s="32"/>
      <c r="C165" s="187" t="s">
        <v>214</v>
      </c>
      <c r="D165" s="189">
        <f>SUM(D164)</f>
        <v>16637000</v>
      </c>
      <c r="E165" s="194">
        <f>SUM(E164)</f>
        <v>14992722</v>
      </c>
      <c r="F165" s="213">
        <f>E165/D165%</f>
        <v>90.116739796838374</v>
      </c>
    </row>
    <row r="166" spans="2:9" x14ac:dyDescent="0.25">
      <c r="B166" s="32" t="s">
        <v>215</v>
      </c>
      <c r="C166" s="33" t="s">
        <v>242</v>
      </c>
      <c r="D166" s="34"/>
      <c r="E166" s="34"/>
      <c r="F166" s="35"/>
    </row>
    <row r="167" spans="2:9" x14ac:dyDescent="0.25">
      <c r="B167" s="32"/>
      <c r="C167" s="36" t="s">
        <v>243</v>
      </c>
      <c r="D167" s="34">
        <v>8153000</v>
      </c>
      <c r="E167" s="34">
        <v>4354000</v>
      </c>
      <c r="F167" s="188">
        <f>E167/D167%</f>
        <v>53.403655096283579</v>
      </c>
    </row>
    <row r="168" spans="2:9" x14ac:dyDescent="0.25">
      <c r="B168" s="32"/>
      <c r="C168" s="187" t="s">
        <v>220</v>
      </c>
      <c r="D168" s="189">
        <f>SUM(D167)</f>
        <v>8153000</v>
      </c>
      <c r="E168" s="194">
        <f>SUM(E167)</f>
        <v>4354000</v>
      </c>
      <c r="F168" s="213">
        <f>E168/D168%</f>
        <v>53.403655096283579</v>
      </c>
    </row>
    <row r="169" spans="2:9" x14ac:dyDescent="0.25">
      <c r="B169" s="196"/>
      <c r="C169" s="220" t="s">
        <v>256</v>
      </c>
      <c r="D169" s="224">
        <f>D162+D165+D168</f>
        <v>25392000</v>
      </c>
      <c r="E169" s="225">
        <f>E162+E165+E168</f>
        <v>28126722</v>
      </c>
      <c r="F169" s="221">
        <f>E169/D169%</f>
        <v>110.77001417769377</v>
      </c>
    </row>
    <row r="170" spans="2:9" s="226" customFormat="1" ht="20.100000000000001" customHeight="1" x14ac:dyDescent="0.25">
      <c r="B170" s="437" t="s">
        <v>299</v>
      </c>
      <c r="C170" s="438"/>
      <c r="D170" s="237">
        <f>D104+D107+D112+D115+D118+D122+D125+D128+D131+D138+D144+D147+D155+D158+D162+D165+D168</f>
        <v>293678000</v>
      </c>
      <c r="E170" s="238">
        <f>E104+E107+E112+E115+E118+E122+E125+E128+E131+E138+E144+E147+E155+E158+E162+E165+E168</f>
        <v>221910636</v>
      </c>
      <c r="F170" s="239">
        <f>E170/D170%</f>
        <v>75.562567165398832</v>
      </c>
      <c r="I170" s="232"/>
    </row>
    <row r="171" spans="2:9" s="226" customFormat="1" x14ac:dyDescent="0.25">
      <c r="B171" s="227" t="s">
        <v>264</v>
      </c>
      <c r="C171" s="233" t="s">
        <v>265</v>
      </c>
      <c r="D171" s="229"/>
      <c r="E171" s="230"/>
      <c r="F171" s="231"/>
      <c r="I171" s="232"/>
    </row>
    <row r="172" spans="2:9" s="226" customFormat="1" x14ac:dyDescent="0.25">
      <c r="B172" s="227" t="s">
        <v>94</v>
      </c>
      <c r="C172" s="228" t="s">
        <v>274</v>
      </c>
      <c r="D172" s="229"/>
      <c r="E172" s="230"/>
      <c r="F172" s="231"/>
      <c r="I172" s="232"/>
    </row>
    <row r="173" spans="2:9" s="226" customFormat="1" x14ac:dyDescent="0.25">
      <c r="B173" s="227"/>
      <c r="C173" s="236" t="s">
        <v>266</v>
      </c>
      <c r="D173" s="235">
        <v>106000</v>
      </c>
      <c r="E173" s="235">
        <v>72000</v>
      </c>
      <c r="F173" s="188">
        <f t="shared" ref="F173:F181" si="22">E173/D173%</f>
        <v>67.924528301886795</v>
      </c>
      <c r="I173" s="232"/>
    </row>
    <row r="174" spans="2:9" s="226" customFormat="1" x14ac:dyDescent="0.25">
      <c r="B174" s="227"/>
      <c r="C174" s="187" t="s">
        <v>162</v>
      </c>
      <c r="D174" s="189">
        <f>SUM(D173)</f>
        <v>106000</v>
      </c>
      <c r="E174" s="194">
        <f>SUM(E173)</f>
        <v>72000</v>
      </c>
      <c r="F174" s="213">
        <f t="shared" si="22"/>
        <v>67.924528301886795</v>
      </c>
      <c r="I174" s="232"/>
    </row>
    <row r="175" spans="2:9" s="226" customFormat="1" x14ac:dyDescent="0.25">
      <c r="B175" s="227"/>
      <c r="C175" s="236" t="s">
        <v>268</v>
      </c>
      <c r="D175" s="235">
        <v>0</v>
      </c>
      <c r="E175" s="235">
        <v>1960000</v>
      </c>
      <c r="F175" s="188" t="e">
        <f t="shared" si="22"/>
        <v>#DIV/0!</v>
      </c>
      <c r="I175" s="232"/>
    </row>
    <row r="176" spans="2:9" s="226" customFormat="1" x14ac:dyDescent="0.25">
      <c r="B176" s="227"/>
      <c r="C176" s="187" t="s">
        <v>269</v>
      </c>
      <c r="D176" s="189">
        <f>SUM(D175)</f>
        <v>0</v>
      </c>
      <c r="E176" s="194">
        <f>SUM(E175)</f>
        <v>1960000</v>
      </c>
      <c r="F176" s="213" t="e">
        <f t="shared" si="22"/>
        <v>#DIV/0!</v>
      </c>
      <c r="I176" s="232"/>
    </row>
    <row r="177" spans="2:9" s="226" customFormat="1" x14ac:dyDescent="0.25">
      <c r="B177" s="227"/>
      <c r="C177" s="236" t="s">
        <v>270</v>
      </c>
      <c r="D177" s="235">
        <v>0</v>
      </c>
      <c r="E177" s="235">
        <v>845000</v>
      </c>
      <c r="F177" s="188" t="e">
        <f t="shared" si="22"/>
        <v>#DIV/0!</v>
      </c>
      <c r="I177" s="232"/>
    </row>
    <row r="178" spans="2:9" s="226" customFormat="1" x14ac:dyDescent="0.25">
      <c r="B178" s="227"/>
      <c r="C178" s="187" t="s">
        <v>271</v>
      </c>
      <c r="D178" s="189">
        <f>SUM(D177)</f>
        <v>0</v>
      </c>
      <c r="E178" s="194">
        <f>SUM(E177)</f>
        <v>845000</v>
      </c>
      <c r="F178" s="213" t="e">
        <f t="shared" si="22"/>
        <v>#DIV/0!</v>
      </c>
      <c r="I178" s="232"/>
    </row>
    <row r="179" spans="2:9" s="226" customFormat="1" x14ac:dyDescent="0.25">
      <c r="B179" s="227"/>
      <c r="C179" s="236" t="s">
        <v>272</v>
      </c>
      <c r="D179" s="235">
        <v>0</v>
      </c>
      <c r="E179" s="235">
        <v>0</v>
      </c>
      <c r="F179" s="188" t="e">
        <f t="shared" si="22"/>
        <v>#DIV/0!</v>
      </c>
      <c r="I179" s="232"/>
    </row>
    <row r="180" spans="2:9" s="226" customFormat="1" x14ac:dyDescent="0.25">
      <c r="B180" s="227"/>
      <c r="C180" s="187" t="s">
        <v>273</v>
      </c>
      <c r="D180" s="189">
        <f>SUM(D179)</f>
        <v>0</v>
      </c>
      <c r="E180" s="194">
        <f>SUM(E179)</f>
        <v>0</v>
      </c>
      <c r="F180" s="213" t="e">
        <f t="shared" si="22"/>
        <v>#DIV/0!</v>
      </c>
      <c r="I180" s="232"/>
    </row>
    <row r="181" spans="2:9" s="226" customFormat="1" x14ac:dyDescent="0.25">
      <c r="B181" s="227"/>
      <c r="C181" s="220" t="s">
        <v>282</v>
      </c>
      <c r="D181" s="224">
        <f>D174+D176+D178+D180</f>
        <v>106000</v>
      </c>
      <c r="E181" s="225">
        <f>E174+E176+E178+E180</f>
        <v>2877000</v>
      </c>
      <c r="F181" s="221">
        <f t="shared" si="22"/>
        <v>2714.1509433962265</v>
      </c>
      <c r="I181" s="232"/>
    </row>
    <row r="182" spans="2:9" s="226" customFormat="1" x14ac:dyDescent="0.25">
      <c r="B182" s="227" t="s">
        <v>96</v>
      </c>
      <c r="C182" s="228" t="s">
        <v>275</v>
      </c>
      <c r="D182" s="235"/>
      <c r="E182" s="235"/>
      <c r="F182" s="234"/>
      <c r="I182" s="232"/>
    </row>
    <row r="183" spans="2:9" s="226" customFormat="1" x14ac:dyDescent="0.25">
      <c r="B183" s="227"/>
      <c r="C183" s="236" t="s">
        <v>276</v>
      </c>
      <c r="D183" s="235">
        <v>0</v>
      </c>
      <c r="E183" s="235">
        <v>0</v>
      </c>
      <c r="F183" s="188" t="e">
        <f t="shared" ref="F183:F189" si="23">E183/D183%</f>
        <v>#DIV/0!</v>
      </c>
      <c r="I183" s="232"/>
    </row>
    <row r="184" spans="2:9" s="226" customFormat="1" x14ac:dyDescent="0.25">
      <c r="B184" s="227"/>
      <c r="C184" s="187" t="s">
        <v>194</v>
      </c>
      <c r="D184" s="189">
        <f>SUM(D183)</f>
        <v>0</v>
      </c>
      <c r="E184" s="194">
        <f>SUM(E183)</f>
        <v>0</v>
      </c>
      <c r="F184" s="213" t="e">
        <f t="shared" si="23"/>
        <v>#DIV/0!</v>
      </c>
      <c r="I184" s="232"/>
    </row>
    <row r="185" spans="2:9" s="226" customFormat="1" x14ac:dyDescent="0.25">
      <c r="B185" s="227"/>
      <c r="C185" s="236" t="s">
        <v>277</v>
      </c>
      <c r="D185" s="235">
        <v>0</v>
      </c>
      <c r="E185" s="235">
        <v>0</v>
      </c>
      <c r="F185" s="188" t="e">
        <f t="shared" si="23"/>
        <v>#DIV/0!</v>
      </c>
      <c r="I185" s="232"/>
    </row>
    <row r="186" spans="2:9" s="226" customFormat="1" x14ac:dyDescent="0.25">
      <c r="B186" s="227"/>
      <c r="C186" s="187" t="s">
        <v>279</v>
      </c>
      <c r="D186" s="189">
        <f>SUM(D185)</f>
        <v>0</v>
      </c>
      <c r="E186" s="194">
        <f>SUM(E185)</f>
        <v>0</v>
      </c>
      <c r="F186" s="213" t="e">
        <f t="shared" si="23"/>
        <v>#DIV/0!</v>
      </c>
      <c r="I186" s="232"/>
    </row>
    <row r="187" spans="2:9" s="226" customFormat="1" x14ac:dyDescent="0.25">
      <c r="B187" s="227"/>
      <c r="C187" s="236" t="s">
        <v>278</v>
      </c>
      <c r="D187" s="235">
        <v>0</v>
      </c>
      <c r="E187" s="235">
        <v>100000</v>
      </c>
      <c r="F187" s="188" t="e">
        <f t="shared" si="23"/>
        <v>#DIV/0!</v>
      </c>
      <c r="I187" s="232"/>
    </row>
    <row r="188" spans="2:9" s="226" customFormat="1" x14ac:dyDescent="0.25">
      <c r="B188" s="227"/>
      <c r="C188" s="187" t="s">
        <v>280</v>
      </c>
      <c r="D188" s="189">
        <f>SUM(D187)</f>
        <v>0</v>
      </c>
      <c r="E188" s="194">
        <f>SUM(E187)</f>
        <v>100000</v>
      </c>
      <c r="F188" s="213" t="e">
        <f t="shared" si="23"/>
        <v>#DIV/0!</v>
      </c>
      <c r="I188" s="232"/>
    </row>
    <row r="189" spans="2:9" s="226" customFormat="1" x14ac:dyDescent="0.25">
      <c r="B189" s="227"/>
      <c r="C189" s="220" t="s">
        <v>304</v>
      </c>
      <c r="D189" s="224">
        <f>D184+D186+D188</f>
        <v>0</v>
      </c>
      <c r="E189" s="225">
        <f>E184+E186+E188</f>
        <v>100000</v>
      </c>
      <c r="F189" s="221" t="e">
        <f t="shared" si="23"/>
        <v>#DIV/0!</v>
      </c>
      <c r="I189" s="232"/>
    </row>
    <row r="190" spans="2:9" s="226" customFormat="1" x14ac:dyDescent="0.25">
      <c r="B190" s="227" t="s">
        <v>97</v>
      </c>
      <c r="C190" s="228" t="s">
        <v>283</v>
      </c>
      <c r="D190" s="235"/>
      <c r="E190" s="235"/>
      <c r="F190" s="234"/>
      <c r="I190" s="232"/>
    </row>
    <row r="191" spans="2:9" s="226" customFormat="1" x14ac:dyDescent="0.25">
      <c r="B191" s="227"/>
      <c r="C191" s="47" t="s">
        <v>42</v>
      </c>
      <c r="D191" s="235">
        <v>0</v>
      </c>
      <c r="E191" s="235">
        <v>169827</v>
      </c>
      <c r="F191" s="188" t="e">
        <f>E191/D191%</f>
        <v>#DIV/0!</v>
      </c>
      <c r="I191" s="232"/>
    </row>
    <row r="192" spans="2:9" s="226" customFormat="1" x14ac:dyDescent="0.25">
      <c r="B192" s="227"/>
      <c r="C192" s="187" t="s">
        <v>195</v>
      </c>
      <c r="D192" s="189">
        <f>SUM(D191)</f>
        <v>0</v>
      </c>
      <c r="E192" s="194">
        <f>SUM(E191)</f>
        <v>169827</v>
      </c>
      <c r="F192" s="213" t="e">
        <f>E192/D192%</f>
        <v>#DIV/0!</v>
      </c>
      <c r="I192" s="232"/>
    </row>
    <row r="193" spans="2:9" s="226" customFormat="1" x14ac:dyDescent="0.25">
      <c r="B193" s="227"/>
      <c r="C193" s="47" t="s">
        <v>43</v>
      </c>
      <c r="D193" s="235">
        <v>21176000</v>
      </c>
      <c r="E193" s="235">
        <v>27025500</v>
      </c>
      <c r="F193" s="188">
        <f t="shared" ref="F193:F217" si="24">E193/D193%</f>
        <v>127.62325273894976</v>
      </c>
      <c r="I193" s="232"/>
    </row>
    <row r="194" spans="2:9" s="226" customFormat="1" x14ac:dyDescent="0.25">
      <c r="B194" s="227"/>
      <c r="C194" s="187" t="s">
        <v>284</v>
      </c>
      <c r="D194" s="189">
        <f>SUM(D193)</f>
        <v>21176000</v>
      </c>
      <c r="E194" s="194">
        <f>SUM(E193)</f>
        <v>27025500</v>
      </c>
      <c r="F194" s="213">
        <f>E194/D194%</f>
        <v>127.62325273894976</v>
      </c>
      <c r="I194" s="232"/>
    </row>
    <row r="195" spans="2:9" s="226" customFormat="1" x14ac:dyDescent="0.25">
      <c r="B195" s="227"/>
      <c r="C195" s="47" t="s">
        <v>44</v>
      </c>
      <c r="D195" s="235">
        <v>1090000</v>
      </c>
      <c r="E195" s="235">
        <v>1500000</v>
      </c>
      <c r="F195" s="188">
        <f t="shared" si="24"/>
        <v>137.61467889908258</v>
      </c>
      <c r="I195" s="232"/>
    </row>
    <row r="196" spans="2:9" s="226" customFormat="1" x14ac:dyDescent="0.25">
      <c r="B196" s="227"/>
      <c r="C196" s="187" t="s">
        <v>285</v>
      </c>
      <c r="D196" s="189">
        <f>SUM(D195)</f>
        <v>1090000</v>
      </c>
      <c r="E196" s="194">
        <f>SUM(E195)</f>
        <v>1500000</v>
      </c>
      <c r="F196" s="213">
        <f>E196/D196%</f>
        <v>137.61467889908258</v>
      </c>
      <c r="I196" s="232"/>
    </row>
    <row r="197" spans="2:9" s="226" customFormat="1" x14ac:dyDescent="0.25">
      <c r="B197" s="227"/>
      <c r="C197" s="47" t="s">
        <v>45</v>
      </c>
      <c r="D197" s="235">
        <v>0</v>
      </c>
      <c r="E197" s="235">
        <v>0</v>
      </c>
      <c r="F197" s="188" t="e">
        <f t="shared" si="24"/>
        <v>#DIV/0!</v>
      </c>
      <c r="I197" s="232"/>
    </row>
    <row r="198" spans="2:9" s="226" customFormat="1" x14ac:dyDescent="0.25">
      <c r="B198" s="227"/>
      <c r="C198" s="187" t="s">
        <v>286</v>
      </c>
      <c r="D198" s="189">
        <f>SUM(D197)</f>
        <v>0</v>
      </c>
      <c r="E198" s="194">
        <f>SUM(E197)</f>
        <v>0</v>
      </c>
      <c r="F198" s="213" t="e">
        <f>E198/D198%</f>
        <v>#DIV/0!</v>
      </c>
      <c r="I198" s="232"/>
    </row>
    <row r="199" spans="2:9" s="226" customFormat="1" x14ac:dyDescent="0.25">
      <c r="B199" s="227"/>
      <c r="C199" s="47" t="s">
        <v>46</v>
      </c>
      <c r="D199" s="235">
        <v>0</v>
      </c>
      <c r="E199" s="235">
        <v>0</v>
      </c>
      <c r="F199" s="188" t="e">
        <f t="shared" si="24"/>
        <v>#DIV/0!</v>
      </c>
      <c r="I199" s="232"/>
    </row>
    <row r="200" spans="2:9" s="226" customFormat="1" x14ac:dyDescent="0.25">
      <c r="B200" s="227"/>
      <c r="C200" s="187" t="s">
        <v>287</v>
      </c>
      <c r="D200" s="189">
        <f>SUM(D199)</f>
        <v>0</v>
      </c>
      <c r="E200" s="194">
        <f>SUM(E199)</f>
        <v>0</v>
      </c>
      <c r="F200" s="213" t="e">
        <f>E200/D200%</f>
        <v>#DIV/0!</v>
      </c>
      <c r="I200" s="232"/>
    </row>
    <row r="201" spans="2:9" s="226" customFormat="1" x14ac:dyDescent="0.25">
      <c r="B201" s="227"/>
      <c r="C201" s="47" t="s">
        <v>88</v>
      </c>
      <c r="D201" s="235">
        <v>0</v>
      </c>
      <c r="E201" s="235">
        <v>3450000</v>
      </c>
      <c r="F201" s="188" t="e">
        <f t="shared" si="24"/>
        <v>#DIV/0!</v>
      </c>
      <c r="I201" s="232"/>
    </row>
    <row r="202" spans="2:9" s="226" customFormat="1" x14ac:dyDescent="0.25">
      <c r="B202" s="227"/>
      <c r="C202" s="187" t="s">
        <v>288</v>
      </c>
      <c r="D202" s="189">
        <f>SUM(D201)</f>
        <v>0</v>
      </c>
      <c r="E202" s="194">
        <f>SUM(E201)</f>
        <v>3450000</v>
      </c>
      <c r="F202" s="213" t="e">
        <f>E202/D202%</f>
        <v>#DIV/0!</v>
      </c>
      <c r="I202" s="232"/>
    </row>
    <row r="203" spans="2:9" s="226" customFormat="1" x14ac:dyDescent="0.25">
      <c r="B203" s="227"/>
      <c r="C203" s="47" t="s">
        <v>80</v>
      </c>
      <c r="D203" s="235">
        <v>667000</v>
      </c>
      <c r="E203" s="235">
        <v>0</v>
      </c>
      <c r="F203" s="188">
        <f t="shared" si="24"/>
        <v>0</v>
      </c>
      <c r="I203" s="232"/>
    </row>
    <row r="204" spans="2:9" s="226" customFormat="1" x14ac:dyDescent="0.25">
      <c r="B204" s="227"/>
      <c r="C204" s="187" t="s">
        <v>289</v>
      </c>
      <c r="D204" s="189">
        <f>SUM(D203)</f>
        <v>667000</v>
      </c>
      <c r="E204" s="194">
        <f>SUM(E203)</f>
        <v>0</v>
      </c>
      <c r="F204" s="213">
        <f>E204/D204%</f>
        <v>0</v>
      </c>
      <c r="I204" s="232"/>
    </row>
    <row r="205" spans="2:9" s="226" customFormat="1" x14ac:dyDescent="0.25">
      <c r="B205" s="227"/>
      <c r="C205" s="47" t="s">
        <v>86</v>
      </c>
      <c r="D205" s="235">
        <v>0</v>
      </c>
      <c r="E205" s="235">
        <v>0</v>
      </c>
      <c r="F205" s="188" t="e">
        <f t="shared" si="24"/>
        <v>#DIV/0!</v>
      </c>
      <c r="I205" s="232"/>
    </row>
    <row r="206" spans="2:9" s="226" customFormat="1" x14ac:dyDescent="0.25">
      <c r="B206" s="227"/>
      <c r="C206" s="187" t="s">
        <v>290</v>
      </c>
      <c r="D206" s="189">
        <f>SUM(D205)</f>
        <v>0</v>
      </c>
      <c r="E206" s="194">
        <f>SUM(E205)</f>
        <v>0</v>
      </c>
      <c r="F206" s="213" t="e">
        <f>E206/D206%</f>
        <v>#DIV/0!</v>
      </c>
      <c r="I206" s="232"/>
    </row>
    <row r="207" spans="2:9" s="226" customFormat="1" x14ac:dyDescent="0.25">
      <c r="B207" s="227"/>
      <c r="C207" s="47" t="s">
        <v>87</v>
      </c>
      <c r="D207" s="235">
        <v>0</v>
      </c>
      <c r="E207" s="235">
        <v>0</v>
      </c>
      <c r="F207" s="188" t="e">
        <f t="shared" si="24"/>
        <v>#DIV/0!</v>
      </c>
      <c r="I207" s="232"/>
    </row>
    <row r="208" spans="2:9" s="226" customFormat="1" x14ac:dyDescent="0.25">
      <c r="B208" s="227"/>
      <c r="C208" s="187" t="s">
        <v>291</v>
      </c>
      <c r="D208" s="189">
        <f>SUM(D207)</f>
        <v>0</v>
      </c>
      <c r="E208" s="194">
        <f>SUM(E207)</f>
        <v>0</v>
      </c>
      <c r="F208" s="213" t="e">
        <f>E208/D208%</f>
        <v>#DIV/0!</v>
      </c>
      <c r="I208" s="232"/>
    </row>
    <row r="209" spans="2:9" s="226" customFormat="1" x14ac:dyDescent="0.25">
      <c r="B209" s="227"/>
      <c r="C209" s="47" t="s">
        <v>81</v>
      </c>
      <c r="D209" s="235">
        <v>245000</v>
      </c>
      <c r="E209" s="235">
        <v>1325000</v>
      </c>
      <c r="F209" s="188">
        <f t="shared" si="24"/>
        <v>540.81632653061229</v>
      </c>
      <c r="I209" s="232"/>
    </row>
    <row r="210" spans="2:9" s="226" customFormat="1" x14ac:dyDescent="0.25">
      <c r="B210" s="227"/>
      <c r="C210" s="187" t="s">
        <v>292</v>
      </c>
      <c r="D210" s="189">
        <f>SUM(D209)</f>
        <v>245000</v>
      </c>
      <c r="E210" s="194">
        <f>SUM(E209)</f>
        <v>1325000</v>
      </c>
      <c r="F210" s="213">
        <f>E210/D210%</f>
        <v>540.81632653061229</v>
      </c>
      <c r="I210" s="232"/>
    </row>
    <row r="211" spans="2:9" s="226" customFormat="1" x14ac:dyDescent="0.25">
      <c r="B211" s="227"/>
      <c r="C211" s="47" t="s">
        <v>82</v>
      </c>
      <c r="D211" s="235">
        <v>0</v>
      </c>
      <c r="E211" s="235">
        <v>0</v>
      </c>
      <c r="F211" s="188" t="e">
        <f t="shared" si="24"/>
        <v>#DIV/0!</v>
      </c>
      <c r="I211" s="232"/>
    </row>
    <row r="212" spans="2:9" s="226" customFormat="1" x14ac:dyDescent="0.25">
      <c r="B212" s="227"/>
      <c r="C212" s="187" t="s">
        <v>295</v>
      </c>
      <c r="D212" s="189">
        <f>SUM(D211)</f>
        <v>0</v>
      </c>
      <c r="E212" s="194">
        <f>SUM(E211)</f>
        <v>0</v>
      </c>
      <c r="F212" s="213" t="e">
        <f>E212/D212%</f>
        <v>#DIV/0!</v>
      </c>
      <c r="I212" s="232"/>
    </row>
    <row r="213" spans="2:9" s="226" customFormat="1" x14ac:dyDescent="0.25">
      <c r="B213" s="227"/>
      <c r="C213" s="47" t="s">
        <v>83</v>
      </c>
      <c r="D213" s="235">
        <v>0</v>
      </c>
      <c r="E213" s="235">
        <v>0</v>
      </c>
      <c r="F213" s="188" t="e">
        <f t="shared" si="24"/>
        <v>#DIV/0!</v>
      </c>
      <c r="I213" s="232"/>
    </row>
    <row r="214" spans="2:9" s="226" customFormat="1" x14ac:dyDescent="0.25">
      <c r="B214" s="227"/>
      <c r="C214" s="187" t="s">
        <v>293</v>
      </c>
      <c r="D214" s="189">
        <f>SUM(D213)</f>
        <v>0</v>
      </c>
      <c r="E214" s="194">
        <f>SUM(E213)</f>
        <v>0</v>
      </c>
      <c r="F214" s="213" t="e">
        <f>E214/D214%</f>
        <v>#DIV/0!</v>
      </c>
      <c r="I214" s="232"/>
    </row>
    <row r="215" spans="2:9" s="226" customFormat="1" x14ac:dyDescent="0.25">
      <c r="B215" s="227"/>
      <c r="C215" s="47" t="s">
        <v>84</v>
      </c>
      <c r="D215" s="235">
        <v>425000</v>
      </c>
      <c r="E215" s="235">
        <v>700000</v>
      </c>
      <c r="F215" s="188">
        <f t="shared" si="24"/>
        <v>164.70588235294119</v>
      </c>
      <c r="I215" s="232"/>
    </row>
    <row r="216" spans="2:9" s="226" customFormat="1" x14ac:dyDescent="0.25">
      <c r="B216" s="227"/>
      <c r="C216" s="187" t="s">
        <v>294</v>
      </c>
      <c r="D216" s="189">
        <f>SUM(D215)</f>
        <v>425000</v>
      </c>
      <c r="E216" s="194">
        <f>SUM(E215)</f>
        <v>700000</v>
      </c>
      <c r="F216" s="213">
        <f>E216/D216%</f>
        <v>164.70588235294119</v>
      </c>
      <c r="I216" s="232"/>
    </row>
    <row r="217" spans="2:9" s="226" customFormat="1" x14ac:dyDescent="0.25">
      <c r="B217" s="227"/>
      <c r="C217" s="47" t="s">
        <v>85</v>
      </c>
      <c r="D217" s="235">
        <v>0</v>
      </c>
      <c r="E217" s="235"/>
      <c r="F217" s="188" t="e">
        <f t="shared" si="24"/>
        <v>#DIV/0!</v>
      </c>
      <c r="I217" s="232"/>
    </row>
    <row r="218" spans="2:9" s="226" customFormat="1" x14ac:dyDescent="0.25">
      <c r="B218" s="227"/>
      <c r="C218" s="187" t="s">
        <v>296</v>
      </c>
      <c r="D218" s="189">
        <f>SUM(D217)</f>
        <v>0</v>
      </c>
      <c r="E218" s="194">
        <f>SUM(E217)</f>
        <v>0</v>
      </c>
      <c r="F218" s="213" t="e">
        <f>E218/D218%</f>
        <v>#DIV/0!</v>
      </c>
      <c r="I218" s="232"/>
    </row>
    <row r="219" spans="2:9" s="226" customFormat="1" x14ac:dyDescent="0.25">
      <c r="B219" s="227"/>
      <c r="C219" s="220" t="s">
        <v>298</v>
      </c>
      <c r="D219" s="224">
        <f>D192+D194+D196+D198+D200+D202+D204+D206+D208+D210+D212+D214+D216+D218</f>
        <v>23603000</v>
      </c>
      <c r="E219" s="225">
        <f>E192+E194+E196+E198+E200+E202+E204+E206+E208+E210+E212+E214+E216+E218</f>
        <v>34170327</v>
      </c>
      <c r="F219" s="221">
        <f>E219/D219%</f>
        <v>144.77111807821041</v>
      </c>
      <c r="I219" s="232"/>
    </row>
    <row r="220" spans="2:9" s="226" customFormat="1" ht="20.100000000000001" customHeight="1" thickBot="1" x14ac:dyDescent="0.3">
      <c r="B220" s="439" t="s">
        <v>297</v>
      </c>
      <c r="C220" s="440"/>
      <c r="D220" s="237">
        <f>D181+D189+D219</f>
        <v>23709000</v>
      </c>
      <c r="E220" s="238">
        <f>E181+E189+E219</f>
        <v>37147327</v>
      </c>
      <c r="F220" s="239">
        <f>E220/D220%</f>
        <v>156.68027753173899</v>
      </c>
      <c r="I220" s="232"/>
    </row>
    <row r="221" spans="2:9" ht="27" customHeight="1" thickTop="1" thickBot="1" x14ac:dyDescent="0.3">
      <c r="B221" s="441" t="s">
        <v>251</v>
      </c>
      <c r="C221" s="442"/>
      <c r="D221" s="214">
        <f>D170+D220</f>
        <v>317387000</v>
      </c>
      <c r="E221" s="214">
        <f>E170+E220</f>
        <v>259057963</v>
      </c>
      <c r="F221" s="215">
        <f>E221/D221%</f>
        <v>81.622108971066865</v>
      </c>
    </row>
    <row r="222" spans="2:9" x14ac:dyDescent="0.25">
      <c r="C222" s="203"/>
      <c r="D222" s="28"/>
      <c r="E222" s="28"/>
      <c r="F222" s="191"/>
    </row>
    <row r="223" spans="2:9" x14ac:dyDescent="0.25">
      <c r="C223" s="27"/>
      <c r="D223" s="28"/>
      <c r="E223" s="434" t="s">
        <v>139</v>
      </c>
      <c r="F223" s="434"/>
    </row>
    <row r="226" spans="1:6" x14ac:dyDescent="0.25">
      <c r="E226" s="240">
        <f>E221-D221</f>
        <v>-58329037</v>
      </c>
    </row>
    <row r="230" spans="1:6" x14ac:dyDescent="0.25">
      <c r="A230" s="207"/>
      <c r="B230" s="208"/>
      <c r="C230" s="207"/>
      <c r="D230" s="209"/>
      <c r="E230" s="209"/>
      <c r="F230" s="210"/>
    </row>
    <row r="232" spans="1:6" ht="18" x14ac:dyDescent="0.25">
      <c r="B232" s="435" t="s">
        <v>178</v>
      </c>
      <c r="C232" s="435"/>
      <c r="D232" s="435"/>
      <c r="E232" s="435"/>
      <c r="F232" s="435"/>
    </row>
    <row r="233" spans="1:6" ht="18.75" thickBot="1" x14ac:dyDescent="0.3">
      <c r="B233" s="436" t="s">
        <v>148</v>
      </c>
      <c r="C233" s="436"/>
      <c r="D233" s="436"/>
      <c r="E233" s="436"/>
      <c r="F233" s="436"/>
    </row>
    <row r="234" spans="1:6" ht="16.5" thickTop="1" thickBot="1" x14ac:dyDescent="0.3">
      <c r="B234" s="37"/>
      <c r="C234" s="27"/>
      <c r="D234" s="28"/>
      <c r="E234" s="28"/>
      <c r="F234" s="191"/>
    </row>
    <row r="235" spans="1:6" ht="16.5" thickBot="1" x14ac:dyDescent="0.3">
      <c r="B235" s="216" t="s">
        <v>91</v>
      </c>
      <c r="C235" s="217" t="s">
        <v>3</v>
      </c>
      <c r="D235" s="218" t="s">
        <v>149</v>
      </c>
      <c r="E235" s="218" t="s">
        <v>315</v>
      </c>
      <c r="F235" s="219" t="s">
        <v>9</v>
      </c>
    </row>
    <row r="236" spans="1:6" ht="15.75" thickTop="1" x14ac:dyDescent="0.25">
      <c r="B236" s="29" t="s">
        <v>155</v>
      </c>
      <c r="C236" s="30" t="s">
        <v>267</v>
      </c>
      <c r="D236" s="31"/>
      <c r="E236" s="31"/>
      <c r="F236" s="192"/>
    </row>
    <row r="237" spans="1:6" x14ac:dyDescent="0.25">
      <c r="A237" s="27"/>
      <c r="B237" s="32" t="s">
        <v>94</v>
      </c>
      <c r="C237" s="33" t="s">
        <v>176</v>
      </c>
      <c r="D237" s="34"/>
      <c r="E237" s="34"/>
      <c r="F237" s="188"/>
    </row>
    <row r="238" spans="1:6" x14ac:dyDescent="0.25">
      <c r="A238" s="27"/>
      <c r="B238" s="32"/>
      <c r="C238" s="36" t="s">
        <v>222</v>
      </c>
      <c r="D238" s="34">
        <v>24159000</v>
      </c>
      <c r="E238" s="34">
        <v>26271217</v>
      </c>
      <c r="F238" s="188">
        <f>E238/D238%</f>
        <v>108.74298191150297</v>
      </c>
    </row>
    <row r="239" spans="1:6" x14ac:dyDescent="0.25">
      <c r="A239" s="27"/>
      <c r="B239" s="32"/>
      <c r="C239" s="187" t="s">
        <v>162</v>
      </c>
      <c r="D239" s="189">
        <f>SUM(D238)</f>
        <v>24159000</v>
      </c>
      <c r="E239" s="194">
        <f>SUM(E238)</f>
        <v>26271217</v>
      </c>
      <c r="F239" s="213">
        <f>E239/D239%</f>
        <v>108.74298191150297</v>
      </c>
    </row>
    <row r="240" spans="1:6" x14ac:dyDescent="0.25">
      <c r="A240" s="27"/>
      <c r="B240" s="32" t="s">
        <v>96</v>
      </c>
      <c r="C240" s="33" t="s">
        <v>179</v>
      </c>
      <c r="D240" s="34"/>
      <c r="E240" s="34"/>
      <c r="F240" s="188"/>
    </row>
    <row r="241" spans="2:6" x14ac:dyDescent="0.25">
      <c r="B241" s="32"/>
      <c r="C241" s="36" t="s">
        <v>185</v>
      </c>
      <c r="D241" s="34">
        <v>58403000</v>
      </c>
      <c r="E241" s="34">
        <f>37401500+931000</f>
        <v>38332500</v>
      </c>
      <c r="F241" s="188">
        <f>E241/D241%</f>
        <v>65.634470831977808</v>
      </c>
    </row>
    <row r="242" spans="2:6" x14ac:dyDescent="0.25">
      <c r="B242" s="32"/>
      <c r="C242" s="187" t="s">
        <v>194</v>
      </c>
      <c r="D242" s="189">
        <f>SUM(D241)</f>
        <v>58403000</v>
      </c>
      <c r="E242" s="194">
        <f>SUM(E241)</f>
        <v>38332500</v>
      </c>
      <c r="F242" s="213">
        <f>E242/D242%</f>
        <v>65.634470831977808</v>
      </c>
    </row>
    <row r="243" spans="2:6" x14ac:dyDescent="0.25">
      <c r="B243" s="32"/>
      <c r="C243" s="220" t="s">
        <v>257</v>
      </c>
      <c r="D243" s="222">
        <f>D239+D242</f>
        <v>82562000</v>
      </c>
      <c r="E243" s="223">
        <f>E239+E242</f>
        <v>64603717</v>
      </c>
      <c r="F243" s="221">
        <f>E243/D243%</f>
        <v>78.248730650904776</v>
      </c>
    </row>
    <row r="244" spans="2:6" x14ac:dyDescent="0.25">
      <c r="B244" s="32" t="s">
        <v>97</v>
      </c>
      <c r="C244" s="33" t="s">
        <v>235</v>
      </c>
      <c r="D244" s="34"/>
      <c r="E244" s="34"/>
      <c r="F244" s="188"/>
    </row>
    <row r="245" spans="2:6" x14ac:dyDescent="0.25">
      <c r="B245" s="32"/>
      <c r="C245" s="36" t="s">
        <v>168</v>
      </c>
      <c r="D245" s="34">
        <v>16213000</v>
      </c>
      <c r="E245" s="34">
        <v>14308581</v>
      </c>
      <c r="F245" s="188">
        <f>E245/D245%</f>
        <v>88.253753161043605</v>
      </c>
    </row>
    <row r="246" spans="2:6" x14ac:dyDescent="0.25">
      <c r="B246" s="32"/>
      <c r="C246" s="36" t="s">
        <v>258</v>
      </c>
      <c r="D246" s="34">
        <v>3474000</v>
      </c>
      <c r="E246" s="34">
        <v>9160000</v>
      </c>
      <c r="F246" s="188">
        <f>E246/D246%</f>
        <v>263.67299942429474</v>
      </c>
    </row>
    <row r="247" spans="2:6" x14ac:dyDescent="0.25">
      <c r="B247" s="32"/>
      <c r="C247" s="187" t="s">
        <v>259</v>
      </c>
      <c r="D247" s="189">
        <f>SUM(D245:D246)</f>
        <v>19687000</v>
      </c>
      <c r="E247" s="194">
        <f>SUM(E245:E246)</f>
        <v>23468581</v>
      </c>
      <c r="F247" s="213">
        <f>E247/D247%</f>
        <v>119.20851831157617</v>
      </c>
    </row>
    <row r="248" spans="2:6" x14ac:dyDescent="0.25">
      <c r="B248" s="32" t="s">
        <v>98</v>
      </c>
      <c r="C248" s="33" t="s">
        <v>223</v>
      </c>
      <c r="D248" s="34"/>
      <c r="E248" s="34"/>
      <c r="F248" s="188"/>
    </row>
    <row r="249" spans="2:6" x14ac:dyDescent="0.25">
      <c r="B249" s="32"/>
      <c r="C249" s="36" t="s">
        <v>224</v>
      </c>
      <c r="D249" s="34">
        <v>8678000</v>
      </c>
      <c r="E249" s="34">
        <f>5030000+115000+140000</f>
        <v>5285000</v>
      </c>
      <c r="F249" s="188">
        <f>E249/D249%</f>
        <v>60.9011292924637</v>
      </c>
    </row>
    <row r="250" spans="2:6" x14ac:dyDescent="0.25">
      <c r="B250" s="32"/>
      <c r="C250" s="187" t="s">
        <v>196</v>
      </c>
      <c r="D250" s="189">
        <f>SUM(D249)</f>
        <v>8678000</v>
      </c>
      <c r="E250" s="194">
        <f>SUM(E249)</f>
        <v>5285000</v>
      </c>
      <c r="F250" s="213">
        <f>E250/D250%</f>
        <v>60.9011292924637</v>
      </c>
    </row>
    <row r="251" spans="2:6" x14ac:dyDescent="0.25">
      <c r="B251" s="32" t="s">
        <v>99</v>
      </c>
      <c r="C251" s="33" t="s">
        <v>225</v>
      </c>
      <c r="D251" s="34"/>
      <c r="E251" s="34"/>
      <c r="F251" s="188"/>
    </row>
    <row r="252" spans="2:6" x14ac:dyDescent="0.25">
      <c r="B252" s="32"/>
      <c r="C252" s="36" t="s">
        <v>226</v>
      </c>
      <c r="D252" s="34">
        <v>7848000</v>
      </c>
      <c r="E252" s="34">
        <f>7139000+122000</f>
        <v>7261000</v>
      </c>
      <c r="F252" s="188">
        <f t="shared" ref="F252" si="25">E252/D252%</f>
        <v>92.520387359836903</v>
      </c>
    </row>
    <row r="253" spans="2:6" x14ac:dyDescent="0.25">
      <c r="B253" s="32"/>
      <c r="C253" s="187" t="s">
        <v>239</v>
      </c>
      <c r="D253" s="189">
        <f>SUM(D252:D252)</f>
        <v>7848000</v>
      </c>
      <c r="E253" s="194">
        <f>SUM(E252:E252)</f>
        <v>7261000</v>
      </c>
      <c r="F253" s="213">
        <f>E253/D253%</f>
        <v>92.520387359836903</v>
      </c>
    </row>
    <row r="254" spans="2:6" x14ac:dyDescent="0.25">
      <c r="B254" s="32" t="s">
        <v>156</v>
      </c>
      <c r="C254" s="33" t="s">
        <v>167</v>
      </c>
      <c r="D254" s="34"/>
      <c r="E254" s="34"/>
      <c r="F254" s="188"/>
    </row>
    <row r="255" spans="2:6" x14ac:dyDescent="0.25">
      <c r="B255" s="32"/>
      <c r="C255" s="36" t="s">
        <v>170</v>
      </c>
      <c r="D255" s="34">
        <v>1588000</v>
      </c>
      <c r="E255" s="34">
        <v>1116147</v>
      </c>
      <c r="F255" s="188">
        <f t="shared" ref="F255:F256" si="26">E255/D255%</f>
        <v>70.286335012594463</v>
      </c>
    </row>
    <row r="256" spans="2:6" x14ac:dyDescent="0.25">
      <c r="B256" s="32"/>
      <c r="C256" s="36" t="s">
        <v>171</v>
      </c>
      <c r="D256" s="34">
        <v>2828000</v>
      </c>
      <c r="E256" s="34">
        <v>3100000</v>
      </c>
      <c r="F256" s="188">
        <f t="shared" si="26"/>
        <v>109.61810466760961</v>
      </c>
    </row>
    <row r="257" spans="2:6" x14ac:dyDescent="0.25">
      <c r="B257" s="32"/>
      <c r="C257" s="187" t="s">
        <v>245</v>
      </c>
      <c r="D257" s="189">
        <f>SUM(D255:D256)</f>
        <v>4416000</v>
      </c>
      <c r="E257" s="194">
        <f>SUM(E255:E256)</f>
        <v>4216147</v>
      </c>
      <c r="F257" s="213">
        <f>E257/D257%</f>
        <v>95.474343297101456</v>
      </c>
    </row>
    <row r="258" spans="2:6" x14ac:dyDescent="0.25">
      <c r="B258" s="32" t="s">
        <v>186</v>
      </c>
      <c r="C258" s="33" t="s">
        <v>173</v>
      </c>
      <c r="D258" s="34"/>
      <c r="E258" s="34"/>
      <c r="F258" s="188"/>
    </row>
    <row r="259" spans="2:6" x14ac:dyDescent="0.25">
      <c r="B259" s="32"/>
      <c r="C259" s="36" t="s">
        <v>227</v>
      </c>
      <c r="D259" s="34">
        <v>5687000</v>
      </c>
      <c r="E259" s="34">
        <f>2342857+100000</f>
        <v>2442857</v>
      </c>
      <c r="F259" s="188">
        <f t="shared" ref="F259" si="27">E259/D259%</f>
        <v>42.955108141375064</v>
      </c>
    </row>
    <row r="260" spans="2:6" x14ac:dyDescent="0.25">
      <c r="B260" s="32"/>
      <c r="C260" s="187" t="s">
        <v>199</v>
      </c>
      <c r="D260" s="189">
        <f>SUM(D259:D259)</f>
        <v>5687000</v>
      </c>
      <c r="E260" s="194">
        <f>SUM(E259:E259)</f>
        <v>2442857</v>
      </c>
      <c r="F260" s="213">
        <f>E260/D260%</f>
        <v>42.955108141375064</v>
      </c>
    </row>
    <row r="261" spans="2:6" x14ac:dyDescent="0.25">
      <c r="B261" s="32" t="s">
        <v>187</v>
      </c>
      <c r="C261" s="33" t="s">
        <v>244</v>
      </c>
      <c r="D261" s="34"/>
      <c r="E261" s="34"/>
      <c r="F261" s="188"/>
    </row>
    <row r="262" spans="2:6" x14ac:dyDescent="0.25">
      <c r="B262" s="32"/>
      <c r="C262" s="36" t="s">
        <v>174</v>
      </c>
      <c r="D262" s="34">
        <v>39418000</v>
      </c>
      <c r="E262" s="34">
        <f>15259684+250000</f>
        <v>15509684</v>
      </c>
      <c r="F262" s="188">
        <f t="shared" ref="F262" si="28">E262/D262%</f>
        <v>39.346704551220256</v>
      </c>
    </row>
    <row r="263" spans="2:6" x14ac:dyDescent="0.25">
      <c r="B263" s="32"/>
      <c r="C263" s="187" t="s">
        <v>200</v>
      </c>
      <c r="D263" s="189">
        <f>SUM(D262:D262)</f>
        <v>39418000</v>
      </c>
      <c r="E263" s="194">
        <f>SUM(E262:E262)</f>
        <v>15509684</v>
      </c>
      <c r="F263" s="213">
        <f>E263/D263%</f>
        <v>39.346704551220256</v>
      </c>
    </row>
    <row r="264" spans="2:6" x14ac:dyDescent="0.25">
      <c r="B264" s="32" t="s">
        <v>155</v>
      </c>
      <c r="C264" s="33" t="s">
        <v>228</v>
      </c>
      <c r="D264" s="34"/>
      <c r="E264" s="34"/>
      <c r="F264" s="188"/>
    </row>
    <row r="265" spans="2:6" x14ac:dyDescent="0.25">
      <c r="B265" s="32"/>
      <c r="C265" s="36" t="s">
        <v>172</v>
      </c>
      <c r="D265" s="34">
        <v>9832000</v>
      </c>
      <c r="E265" s="34">
        <v>7947000</v>
      </c>
      <c r="F265" s="188">
        <f t="shared" ref="F265" si="29">E265/D265%</f>
        <v>80.827908868999188</v>
      </c>
    </row>
    <row r="266" spans="2:6" x14ac:dyDescent="0.25">
      <c r="B266" s="32"/>
      <c r="C266" s="187" t="s">
        <v>201</v>
      </c>
      <c r="D266" s="189">
        <f>SUM(D265:D265)</f>
        <v>9832000</v>
      </c>
      <c r="E266" s="194">
        <f>SUM(E265:E265)</f>
        <v>7947000</v>
      </c>
      <c r="F266" s="213">
        <f>E266/D266%</f>
        <v>80.827908868999188</v>
      </c>
    </row>
    <row r="267" spans="2:6" x14ac:dyDescent="0.25">
      <c r="B267" s="32"/>
      <c r="C267" s="220" t="s">
        <v>255</v>
      </c>
      <c r="D267" s="222">
        <f>D260+D263+D266</f>
        <v>54937000</v>
      </c>
      <c r="E267" s="223">
        <f>E260+E263+E266</f>
        <v>25899541</v>
      </c>
      <c r="F267" s="221">
        <f>E267/D267%</f>
        <v>47.144075941533032</v>
      </c>
    </row>
    <row r="268" spans="2:6" x14ac:dyDescent="0.25">
      <c r="B268" s="32" t="s">
        <v>188</v>
      </c>
      <c r="C268" s="33" t="s">
        <v>216</v>
      </c>
      <c r="D268" s="34"/>
      <c r="E268" s="34"/>
      <c r="F268" s="188"/>
    </row>
    <row r="269" spans="2:6" x14ac:dyDescent="0.25">
      <c r="B269" s="32"/>
      <c r="C269" s="36" t="s">
        <v>217</v>
      </c>
      <c r="D269" s="34">
        <v>1902000</v>
      </c>
      <c r="E269" s="34">
        <v>3885000</v>
      </c>
      <c r="F269" s="188">
        <f t="shared" ref="F269:F270" si="30">E269/D269%</f>
        <v>204.25867507886434</v>
      </c>
    </row>
    <row r="270" spans="2:6" x14ac:dyDescent="0.25">
      <c r="B270" s="32"/>
      <c r="C270" s="36" t="s">
        <v>218</v>
      </c>
      <c r="D270" s="34">
        <v>2267000</v>
      </c>
      <c r="E270" s="34">
        <v>3820000</v>
      </c>
      <c r="F270" s="188">
        <f t="shared" si="30"/>
        <v>168.50463167181297</v>
      </c>
    </row>
    <row r="271" spans="2:6" x14ac:dyDescent="0.25">
      <c r="B271" s="32"/>
      <c r="C271" s="36" t="s">
        <v>219</v>
      </c>
      <c r="D271" s="34">
        <v>318000</v>
      </c>
      <c r="E271" s="34">
        <v>0</v>
      </c>
      <c r="F271" s="188">
        <f>E271/D271%</f>
        <v>0</v>
      </c>
    </row>
    <row r="272" spans="2:6" x14ac:dyDescent="0.25">
      <c r="B272" s="32"/>
      <c r="C272" s="236" t="s">
        <v>281</v>
      </c>
      <c r="D272" s="235">
        <v>1404000</v>
      </c>
      <c r="E272" s="235">
        <v>1255000</v>
      </c>
      <c r="F272" s="188">
        <f t="shared" ref="F272" si="31">E272/D272%</f>
        <v>89.387464387464391</v>
      </c>
    </row>
    <row r="273" spans="2:6" x14ac:dyDescent="0.25">
      <c r="B273" s="32"/>
      <c r="C273" s="187" t="s">
        <v>246</v>
      </c>
      <c r="D273" s="189">
        <f>SUM(D269:D272)</f>
        <v>5891000</v>
      </c>
      <c r="E273" s="194">
        <f>SUM(E269:E272)</f>
        <v>8960000</v>
      </c>
      <c r="F273" s="213">
        <f>E273/D273%</f>
        <v>152.09641826515022</v>
      </c>
    </row>
    <row r="274" spans="2:6" x14ac:dyDescent="0.25">
      <c r="B274" s="32" t="s">
        <v>189</v>
      </c>
      <c r="C274" s="33" t="s">
        <v>305</v>
      </c>
      <c r="D274" s="34"/>
      <c r="E274" s="34"/>
      <c r="F274" s="188"/>
    </row>
    <row r="275" spans="2:6" x14ac:dyDescent="0.25">
      <c r="B275" s="32"/>
      <c r="C275" s="36" t="s">
        <v>229</v>
      </c>
      <c r="D275" s="34">
        <v>597000</v>
      </c>
      <c r="E275" s="34">
        <v>815000</v>
      </c>
      <c r="F275" s="188">
        <f t="shared" ref="F275:F277" si="32">E275/D275%</f>
        <v>136.51591289782243</v>
      </c>
    </row>
    <row r="276" spans="2:6" x14ac:dyDescent="0.25">
      <c r="B276" s="32"/>
      <c r="C276" s="36" t="s">
        <v>230</v>
      </c>
      <c r="D276" s="34">
        <v>28513000</v>
      </c>
      <c r="E276" s="34">
        <f>19114000+370000</f>
        <v>19484000</v>
      </c>
      <c r="F276" s="188">
        <f t="shared" si="32"/>
        <v>68.333742503419487</v>
      </c>
    </row>
    <row r="277" spans="2:6" x14ac:dyDescent="0.25">
      <c r="B277" s="32"/>
      <c r="C277" s="36" t="s">
        <v>231</v>
      </c>
      <c r="D277" s="34">
        <v>7126000</v>
      </c>
      <c r="E277" s="34">
        <f>10152000+136000</f>
        <v>10288000</v>
      </c>
      <c r="F277" s="188">
        <f t="shared" si="32"/>
        <v>144.37271961829919</v>
      </c>
    </row>
    <row r="278" spans="2:6" x14ac:dyDescent="0.25">
      <c r="B278" s="32"/>
      <c r="C278" s="36" t="s">
        <v>232</v>
      </c>
      <c r="D278" s="34">
        <v>1851000</v>
      </c>
      <c r="E278" s="34">
        <v>1849000</v>
      </c>
      <c r="F278" s="188">
        <f>E278/D278%</f>
        <v>99.891950297136688</v>
      </c>
    </row>
    <row r="279" spans="2:6" x14ac:dyDescent="0.25">
      <c r="B279" s="32"/>
      <c r="C279" s="187" t="s">
        <v>247</v>
      </c>
      <c r="D279" s="189">
        <f>SUM(D275:D278)</f>
        <v>38087000</v>
      </c>
      <c r="E279" s="194">
        <f>SUM(E275:E278)</f>
        <v>32436000</v>
      </c>
      <c r="F279" s="213">
        <f>E279/D279%</f>
        <v>85.162916480688949</v>
      </c>
    </row>
    <row r="280" spans="2:6" x14ac:dyDescent="0.25">
      <c r="B280" s="32" t="s">
        <v>190</v>
      </c>
      <c r="C280" s="33" t="s">
        <v>233</v>
      </c>
      <c r="D280" s="34"/>
      <c r="E280" s="34"/>
      <c r="F280" s="188"/>
    </row>
    <row r="281" spans="2:6" x14ac:dyDescent="0.25">
      <c r="B281" s="32"/>
      <c r="C281" s="36" t="s">
        <v>163</v>
      </c>
      <c r="D281" s="34">
        <v>8173000</v>
      </c>
      <c r="E281" s="34">
        <v>10879543</v>
      </c>
      <c r="F281" s="188">
        <f>E281/D281%</f>
        <v>133.11566132387128</v>
      </c>
    </row>
    <row r="282" spans="2:6" x14ac:dyDescent="0.25">
      <c r="B282" s="32"/>
      <c r="C282" s="187" t="s">
        <v>248</v>
      </c>
      <c r="D282" s="189">
        <f>SUM(D281:D281)</f>
        <v>8173000</v>
      </c>
      <c r="E282" s="194">
        <f>SUM(E281:E281)</f>
        <v>10879543</v>
      </c>
      <c r="F282" s="213">
        <f>E282/D282%</f>
        <v>133.11566132387128</v>
      </c>
    </row>
    <row r="283" spans="2:6" x14ac:dyDescent="0.25">
      <c r="B283" s="32" t="s">
        <v>191</v>
      </c>
      <c r="C283" s="33" t="s">
        <v>236</v>
      </c>
      <c r="D283" s="34"/>
      <c r="E283" s="34"/>
      <c r="F283" s="188"/>
    </row>
    <row r="284" spans="2:6" x14ac:dyDescent="0.25">
      <c r="B284" s="32"/>
      <c r="C284" s="36" t="s">
        <v>181</v>
      </c>
      <c r="D284" s="34">
        <v>0</v>
      </c>
      <c r="E284" s="34">
        <v>7260000</v>
      </c>
      <c r="F284" s="188" t="e">
        <f>E284/D284%</f>
        <v>#DIV/0!</v>
      </c>
    </row>
    <row r="285" spans="2:6" x14ac:dyDescent="0.25">
      <c r="B285" s="32"/>
      <c r="C285" s="36" t="s">
        <v>237</v>
      </c>
      <c r="D285" s="34">
        <v>0</v>
      </c>
      <c r="E285" s="34">
        <v>0</v>
      </c>
      <c r="F285" s="188" t="e">
        <f>E285/D285%</f>
        <v>#DIV/0!</v>
      </c>
    </row>
    <row r="286" spans="2:6" x14ac:dyDescent="0.25">
      <c r="B286" s="32"/>
      <c r="C286" s="47" t="s">
        <v>300</v>
      </c>
      <c r="D286" s="235">
        <v>529000</v>
      </c>
      <c r="E286" s="235">
        <v>635000</v>
      </c>
      <c r="F286" s="188">
        <f t="shared" ref="F286:F288" si="33">E286/D286%</f>
        <v>120.03780718336483</v>
      </c>
    </row>
    <row r="287" spans="2:6" x14ac:dyDescent="0.25">
      <c r="B287" s="32"/>
      <c r="C287" s="47" t="s">
        <v>301</v>
      </c>
      <c r="D287" s="235">
        <v>2753000</v>
      </c>
      <c r="E287" s="235">
        <v>4430000</v>
      </c>
      <c r="F287" s="188">
        <f t="shared" si="33"/>
        <v>160.91536505630222</v>
      </c>
    </row>
    <row r="288" spans="2:6" x14ac:dyDescent="0.25">
      <c r="B288" s="32"/>
      <c r="C288" s="47" t="s">
        <v>303</v>
      </c>
      <c r="D288" s="34">
        <v>0</v>
      </c>
      <c r="E288" s="34">
        <v>0</v>
      </c>
      <c r="F288" s="188" t="e">
        <f t="shared" si="33"/>
        <v>#DIV/0!</v>
      </c>
    </row>
    <row r="289" spans="2:6" x14ac:dyDescent="0.25">
      <c r="B289" s="32"/>
      <c r="C289" s="47" t="s">
        <v>302</v>
      </c>
      <c r="D289" s="34">
        <v>0</v>
      </c>
      <c r="E289" s="34">
        <v>0</v>
      </c>
      <c r="F289" s="188" t="e">
        <f>E289/D289%</f>
        <v>#DIV/0!</v>
      </c>
    </row>
    <row r="290" spans="2:6" x14ac:dyDescent="0.25">
      <c r="B290" s="32"/>
      <c r="C290" s="187" t="s">
        <v>260</v>
      </c>
      <c r="D290" s="189">
        <f>SUM(D284:D289)</f>
        <v>3282000</v>
      </c>
      <c r="E290" s="194">
        <f>SUM(E284:E289)</f>
        <v>12325000</v>
      </c>
      <c r="F290" s="213">
        <f>E290/D290%</f>
        <v>375.533211456429</v>
      </c>
    </row>
    <row r="291" spans="2:6" x14ac:dyDescent="0.25">
      <c r="B291" s="32" t="s">
        <v>192</v>
      </c>
      <c r="C291" s="33" t="s">
        <v>234</v>
      </c>
      <c r="D291" s="34"/>
      <c r="E291" s="34"/>
      <c r="F291" s="188"/>
    </row>
    <row r="292" spans="2:6" x14ac:dyDescent="0.25">
      <c r="B292" s="32"/>
      <c r="C292" s="36" t="s">
        <v>184</v>
      </c>
      <c r="D292" s="34">
        <v>14720000</v>
      </c>
      <c r="E292" s="34">
        <v>7993000</v>
      </c>
      <c r="F292" s="188">
        <f>E292/D292%</f>
        <v>54.300271739130437</v>
      </c>
    </row>
    <row r="293" spans="2:6" x14ac:dyDescent="0.25">
      <c r="B293" s="32"/>
      <c r="C293" s="187" t="s">
        <v>261</v>
      </c>
      <c r="D293" s="189">
        <f>SUM(D292)</f>
        <v>14720000</v>
      </c>
      <c r="E293" s="194">
        <f>SUM(E292)</f>
        <v>7993000</v>
      </c>
      <c r="F293" s="213">
        <f>E293/D293%</f>
        <v>54.300271739130437</v>
      </c>
    </row>
    <row r="294" spans="2:6" x14ac:dyDescent="0.25">
      <c r="B294" s="32" t="s">
        <v>193</v>
      </c>
      <c r="C294" s="33" t="s">
        <v>160</v>
      </c>
      <c r="D294" s="34"/>
      <c r="E294" s="34"/>
      <c r="F294" s="188"/>
    </row>
    <row r="295" spans="2:6" x14ac:dyDescent="0.25">
      <c r="B295" s="32"/>
      <c r="C295" s="36" t="s">
        <v>238</v>
      </c>
      <c r="D295" s="34">
        <v>318000</v>
      </c>
      <c r="E295" s="34">
        <v>0</v>
      </c>
      <c r="F295" s="188">
        <f>E295/D295%</f>
        <v>0</v>
      </c>
    </row>
    <row r="296" spans="2:6" x14ac:dyDescent="0.25">
      <c r="B296" s="32"/>
      <c r="C296" s="36" t="s">
        <v>249</v>
      </c>
      <c r="D296" s="34">
        <v>5379000</v>
      </c>
      <c r="E296" s="34">
        <f>5695611+147500+430000</f>
        <v>6273111</v>
      </c>
      <c r="F296" s="188">
        <f>E296/D296%</f>
        <v>116.62225320691579</v>
      </c>
    </row>
    <row r="297" spans="2:6" x14ac:dyDescent="0.25">
      <c r="B297" s="32"/>
      <c r="C297" s="187" t="s">
        <v>262</v>
      </c>
      <c r="D297" s="189">
        <f>SUM(D295:D296)</f>
        <v>5697000</v>
      </c>
      <c r="E297" s="194">
        <f>SUM(E295:E296)</f>
        <v>6273111</v>
      </c>
      <c r="F297" s="213">
        <f>E297/D297%</f>
        <v>110.11253291205898</v>
      </c>
    </row>
    <row r="298" spans="2:6" x14ac:dyDescent="0.25">
      <c r="B298" s="32" t="s">
        <v>208</v>
      </c>
      <c r="C298" s="33" t="s">
        <v>240</v>
      </c>
      <c r="D298" s="34"/>
      <c r="E298" s="34"/>
      <c r="F298" s="188"/>
    </row>
    <row r="299" spans="2:6" x14ac:dyDescent="0.25">
      <c r="B299" s="32"/>
      <c r="C299" s="36" t="s">
        <v>241</v>
      </c>
      <c r="D299" s="34">
        <v>14864000</v>
      </c>
      <c r="E299" s="34">
        <v>13064443</v>
      </c>
      <c r="F299" s="188">
        <f>E299/D299%</f>
        <v>87.893184876210981</v>
      </c>
    </row>
    <row r="300" spans="2:6" x14ac:dyDescent="0.25">
      <c r="B300" s="32"/>
      <c r="C300" s="187" t="s">
        <v>214</v>
      </c>
      <c r="D300" s="189">
        <f>SUM(D299)</f>
        <v>14864000</v>
      </c>
      <c r="E300" s="194">
        <f>SUM(E299)</f>
        <v>13064443</v>
      </c>
      <c r="F300" s="213">
        <f>E300/D300%</f>
        <v>87.893184876210981</v>
      </c>
    </row>
    <row r="301" spans="2:6" x14ac:dyDescent="0.25">
      <c r="B301" s="32" t="s">
        <v>215</v>
      </c>
      <c r="C301" s="33" t="s">
        <v>242</v>
      </c>
      <c r="D301" s="34"/>
      <c r="E301" s="34"/>
      <c r="F301" s="35"/>
    </row>
    <row r="302" spans="2:6" x14ac:dyDescent="0.25">
      <c r="B302" s="32"/>
      <c r="C302" s="36" t="s">
        <v>243</v>
      </c>
      <c r="D302" s="34">
        <v>7941000</v>
      </c>
      <c r="E302" s="34">
        <v>5461000</v>
      </c>
      <c r="F302" s="188">
        <f>E302/D302%</f>
        <v>68.769676363178448</v>
      </c>
    </row>
    <row r="303" spans="2:6" x14ac:dyDescent="0.25">
      <c r="B303" s="32"/>
      <c r="C303" s="187" t="s">
        <v>220</v>
      </c>
      <c r="D303" s="189">
        <f>SUM(D302)</f>
        <v>7941000</v>
      </c>
      <c r="E303" s="194">
        <f>SUM(E302)</f>
        <v>5461000</v>
      </c>
      <c r="F303" s="213">
        <f>E303/D303%</f>
        <v>68.769676363178448</v>
      </c>
    </row>
    <row r="304" spans="2:6" x14ac:dyDescent="0.25">
      <c r="B304" s="196"/>
      <c r="C304" s="220" t="s">
        <v>256</v>
      </c>
      <c r="D304" s="224">
        <f>D297+D300+D303</f>
        <v>28502000</v>
      </c>
      <c r="E304" s="225">
        <f>E297+E300+E303</f>
        <v>24798554</v>
      </c>
      <c r="F304" s="221">
        <f>E304/D304%</f>
        <v>87.006364465651529</v>
      </c>
    </row>
    <row r="305" spans="1:6" x14ac:dyDescent="0.25">
      <c r="A305" s="226"/>
      <c r="B305" s="437" t="s">
        <v>299</v>
      </c>
      <c r="C305" s="438"/>
      <c r="D305" s="237">
        <f>D239+D242+D247+D250+D253+D257+D260+D263+D266+D273+D279+D282+D290+D293+D297+D300+D303</f>
        <v>276783000</v>
      </c>
      <c r="E305" s="238">
        <f>E239+E242+E247+E250+E253+E257+E260+E263+E266+E273+E279+E282+E290+E293+E297+E300+E303</f>
        <v>228126083</v>
      </c>
      <c r="F305" s="239">
        <f>E305/D305%</f>
        <v>82.420554369307368</v>
      </c>
    </row>
    <row r="306" spans="1:6" x14ac:dyDescent="0.25">
      <c r="A306" s="226"/>
      <c r="B306" s="227" t="s">
        <v>264</v>
      </c>
      <c r="C306" s="233" t="s">
        <v>265</v>
      </c>
      <c r="D306" s="229"/>
      <c r="E306" s="230"/>
      <c r="F306" s="231"/>
    </row>
    <row r="307" spans="1:6" x14ac:dyDescent="0.25">
      <c r="A307" s="226"/>
      <c r="B307" s="227" t="s">
        <v>94</v>
      </c>
      <c r="C307" s="228" t="s">
        <v>274</v>
      </c>
      <c r="D307" s="229"/>
      <c r="E307" s="230"/>
      <c r="F307" s="231"/>
    </row>
    <row r="308" spans="1:6" x14ac:dyDescent="0.25">
      <c r="A308" s="226"/>
      <c r="B308" s="227"/>
      <c r="C308" s="236" t="s">
        <v>266</v>
      </c>
      <c r="D308" s="235">
        <v>106000</v>
      </c>
      <c r="E308" s="235">
        <v>130000</v>
      </c>
      <c r="F308" s="188">
        <f t="shared" ref="F308:F316" si="34">E308/D308%</f>
        <v>122.64150943396227</v>
      </c>
    </row>
    <row r="309" spans="1:6" x14ac:dyDescent="0.25">
      <c r="A309" s="226"/>
      <c r="B309" s="227"/>
      <c r="C309" s="187" t="s">
        <v>162</v>
      </c>
      <c r="D309" s="189">
        <f>SUM(D308)</f>
        <v>106000</v>
      </c>
      <c r="E309" s="194">
        <f>SUM(E308)</f>
        <v>130000</v>
      </c>
      <c r="F309" s="213">
        <f t="shared" si="34"/>
        <v>122.64150943396227</v>
      </c>
    </row>
    <row r="310" spans="1:6" x14ac:dyDescent="0.25">
      <c r="A310" s="226"/>
      <c r="B310" s="227"/>
      <c r="C310" s="236" t="s">
        <v>268</v>
      </c>
      <c r="D310" s="235">
        <v>0</v>
      </c>
      <c r="E310" s="235">
        <v>3955000</v>
      </c>
      <c r="F310" s="188" t="e">
        <f t="shared" si="34"/>
        <v>#DIV/0!</v>
      </c>
    </row>
    <row r="311" spans="1:6" x14ac:dyDescent="0.25">
      <c r="A311" s="226"/>
      <c r="B311" s="227"/>
      <c r="C311" s="187" t="s">
        <v>269</v>
      </c>
      <c r="D311" s="189">
        <f>SUM(D310)</f>
        <v>0</v>
      </c>
      <c r="E311" s="194">
        <f>SUM(E310)</f>
        <v>3955000</v>
      </c>
      <c r="F311" s="213" t="e">
        <f t="shared" si="34"/>
        <v>#DIV/0!</v>
      </c>
    </row>
    <row r="312" spans="1:6" x14ac:dyDescent="0.25">
      <c r="A312" s="226"/>
      <c r="B312" s="227"/>
      <c r="C312" s="236" t="s">
        <v>270</v>
      </c>
      <c r="D312" s="235">
        <v>0</v>
      </c>
      <c r="E312" s="235">
        <v>775000</v>
      </c>
      <c r="F312" s="188" t="e">
        <f t="shared" si="34"/>
        <v>#DIV/0!</v>
      </c>
    </row>
    <row r="313" spans="1:6" x14ac:dyDescent="0.25">
      <c r="A313" s="226"/>
      <c r="B313" s="227"/>
      <c r="C313" s="187" t="s">
        <v>271</v>
      </c>
      <c r="D313" s="189">
        <f>SUM(D312)</f>
        <v>0</v>
      </c>
      <c r="E313" s="194">
        <f>SUM(E312)</f>
        <v>775000</v>
      </c>
      <c r="F313" s="213" t="e">
        <f t="shared" si="34"/>
        <v>#DIV/0!</v>
      </c>
    </row>
    <row r="314" spans="1:6" x14ac:dyDescent="0.25">
      <c r="A314" s="226"/>
      <c r="B314" s="227"/>
      <c r="C314" s="236" t="s">
        <v>272</v>
      </c>
      <c r="D314" s="235">
        <v>0</v>
      </c>
      <c r="E314" s="235">
        <v>150000</v>
      </c>
      <c r="F314" s="188" t="e">
        <f t="shared" si="34"/>
        <v>#DIV/0!</v>
      </c>
    </row>
    <row r="315" spans="1:6" x14ac:dyDescent="0.25">
      <c r="A315" s="226"/>
      <c r="B315" s="227"/>
      <c r="C315" s="187" t="s">
        <v>273</v>
      </c>
      <c r="D315" s="189">
        <f>SUM(D314)</f>
        <v>0</v>
      </c>
      <c r="E315" s="194">
        <f>SUM(E314)</f>
        <v>150000</v>
      </c>
      <c r="F315" s="213" t="e">
        <f t="shared" si="34"/>
        <v>#DIV/0!</v>
      </c>
    </row>
    <row r="316" spans="1:6" x14ac:dyDescent="0.25">
      <c r="A316" s="226"/>
      <c r="B316" s="227"/>
      <c r="C316" s="220" t="s">
        <v>282</v>
      </c>
      <c r="D316" s="224">
        <f>D309+D311+D313+D315</f>
        <v>106000</v>
      </c>
      <c r="E316" s="225">
        <f>E309+E311+E313+E315</f>
        <v>5010000</v>
      </c>
      <c r="F316" s="221">
        <f t="shared" si="34"/>
        <v>4726.4150943396226</v>
      </c>
    </row>
    <row r="317" spans="1:6" x14ac:dyDescent="0.25">
      <c r="A317" s="226"/>
      <c r="B317" s="227" t="s">
        <v>96</v>
      </c>
      <c r="C317" s="228" t="s">
        <v>275</v>
      </c>
      <c r="D317" s="235"/>
      <c r="E317" s="235"/>
      <c r="F317" s="234"/>
    </row>
    <row r="318" spans="1:6" x14ac:dyDescent="0.25">
      <c r="A318" s="226"/>
      <c r="B318" s="227"/>
      <c r="C318" s="236" t="s">
        <v>276</v>
      </c>
      <c r="D318" s="235">
        <v>0</v>
      </c>
      <c r="E318" s="235">
        <v>0</v>
      </c>
      <c r="F318" s="188" t="e">
        <f t="shared" ref="F318:F324" si="35">E318/D318%</f>
        <v>#DIV/0!</v>
      </c>
    </row>
    <row r="319" spans="1:6" x14ac:dyDescent="0.25">
      <c r="A319" s="226"/>
      <c r="B319" s="227"/>
      <c r="C319" s="187" t="s">
        <v>194</v>
      </c>
      <c r="D319" s="189">
        <f>SUM(D318)</f>
        <v>0</v>
      </c>
      <c r="E319" s="194">
        <f>SUM(E318)</f>
        <v>0</v>
      </c>
      <c r="F319" s="213" t="e">
        <f t="shared" si="35"/>
        <v>#DIV/0!</v>
      </c>
    </row>
    <row r="320" spans="1:6" x14ac:dyDescent="0.25">
      <c r="A320" s="226"/>
      <c r="B320" s="227"/>
      <c r="C320" s="236" t="s">
        <v>277</v>
      </c>
      <c r="D320" s="235">
        <v>0</v>
      </c>
      <c r="E320" s="235">
        <v>0</v>
      </c>
      <c r="F320" s="188" t="e">
        <f t="shared" si="35"/>
        <v>#DIV/0!</v>
      </c>
    </row>
    <row r="321" spans="1:6" x14ac:dyDescent="0.25">
      <c r="A321" s="226"/>
      <c r="B321" s="227"/>
      <c r="C321" s="187" t="s">
        <v>279</v>
      </c>
      <c r="D321" s="189">
        <f>SUM(D320)</f>
        <v>0</v>
      </c>
      <c r="E321" s="194">
        <f>SUM(E320)</f>
        <v>0</v>
      </c>
      <c r="F321" s="213" t="e">
        <f t="shared" si="35"/>
        <v>#DIV/0!</v>
      </c>
    </row>
    <row r="322" spans="1:6" x14ac:dyDescent="0.25">
      <c r="A322" s="226"/>
      <c r="B322" s="227"/>
      <c r="C322" s="236" t="s">
        <v>278</v>
      </c>
      <c r="D322" s="235">
        <v>0</v>
      </c>
      <c r="E322" s="235">
        <v>100000</v>
      </c>
      <c r="F322" s="188" t="e">
        <f t="shared" si="35"/>
        <v>#DIV/0!</v>
      </c>
    </row>
    <row r="323" spans="1:6" x14ac:dyDescent="0.25">
      <c r="A323" s="226"/>
      <c r="B323" s="227"/>
      <c r="C323" s="187" t="s">
        <v>280</v>
      </c>
      <c r="D323" s="189">
        <f>SUM(D322)</f>
        <v>0</v>
      </c>
      <c r="E323" s="194">
        <f>SUM(E322)</f>
        <v>100000</v>
      </c>
      <c r="F323" s="213" t="e">
        <f t="shared" si="35"/>
        <v>#DIV/0!</v>
      </c>
    </row>
    <row r="324" spans="1:6" x14ac:dyDescent="0.25">
      <c r="A324" s="226"/>
      <c r="B324" s="227"/>
      <c r="C324" s="220" t="s">
        <v>304</v>
      </c>
      <c r="D324" s="224">
        <f>D319+D321+D323</f>
        <v>0</v>
      </c>
      <c r="E324" s="225">
        <f>E319+E321+E323</f>
        <v>100000</v>
      </c>
      <c r="F324" s="221" t="e">
        <f t="shared" si="35"/>
        <v>#DIV/0!</v>
      </c>
    </row>
    <row r="325" spans="1:6" x14ac:dyDescent="0.25">
      <c r="A325" s="226"/>
      <c r="B325" s="227" t="s">
        <v>97</v>
      </c>
      <c r="C325" s="228" t="s">
        <v>283</v>
      </c>
      <c r="D325" s="235"/>
      <c r="E325" s="235"/>
      <c r="F325" s="234"/>
    </row>
    <row r="326" spans="1:6" x14ac:dyDescent="0.25">
      <c r="A326" s="226"/>
      <c r="B326" s="227"/>
      <c r="C326" s="47" t="s">
        <v>42</v>
      </c>
      <c r="D326" s="235">
        <v>0</v>
      </c>
      <c r="E326" s="235">
        <v>505172</v>
      </c>
      <c r="F326" s="188" t="e">
        <f>E326/D326%</f>
        <v>#DIV/0!</v>
      </c>
    </row>
    <row r="327" spans="1:6" x14ac:dyDescent="0.25">
      <c r="A327" s="226"/>
      <c r="B327" s="227"/>
      <c r="C327" s="187" t="s">
        <v>195</v>
      </c>
      <c r="D327" s="189">
        <f>SUM(D326)</f>
        <v>0</v>
      </c>
      <c r="E327" s="194">
        <f>SUM(E326)</f>
        <v>505172</v>
      </c>
      <c r="F327" s="213" t="e">
        <f>E327/D327%</f>
        <v>#DIV/0!</v>
      </c>
    </row>
    <row r="328" spans="1:6" x14ac:dyDescent="0.25">
      <c r="A328" s="226"/>
      <c r="B328" s="227"/>
      <c r="C328" s="47" t="s">
        <v>43</v>
      </c>
      <c r="D328" s="235">
        <v>21176000</v>
      </c>
      <c r="E328" s="235">
        <v>38603500</v>
      </c>
      <c r="F328" s="188">
        <f t="shared" ref="F328" si="36">E328/D328%</f>
        <v>182.29835663014734</v>
      </c>
    </row>
    <row r="329" spans="1:6" x14ac:dyDescent="0.25">
      <c r="A329" s="226"/>
      <c r="B329" s="227"/>
      <c r="C329" s="187" t="s">
        <v>284</v>
      </c>
      <c r="D329" s="189">
        <f>SUM(D328)</f>
        <v>21176000</v>
      </c>
      <c r="E329" s="194">
        <f>SUM(E328)</f>
        <v>38603500</v>
      </c>
      <c r="F329" s="213">
        <f>E329/D329%</f>
        <v>182.29835663014734</v>
      </c>
    </row>
    <row r="330" spans="1:6" x14ac:dyDescent="0.25">
      <c r="A330" s="226"/>
      <c r="B330" s="227"/>
      <c r="C330" s="47" t="s">
        <v>44</v>
      </c>
      <c r="D330" s="235">
        <v>678000</v>
      </c>
      <c r="E330" s="235">
        <v>1850000</v>
      </c>
      <c r="F330" s="188">
        <f t="shared" ref="F330" si="37">E330/D330%</f>
        <v>272.8613569321534</v>
      </c>
    </row>
    <row r="331" spans="1:6" x14ac:dyDescent="0.25">
      <c r="A331" s="226"/>
      <c r="B331" s="227"/>
      <c r="C331" s="187" t="s">
        <v>285</v>
      </c>
      <c r="D331" s="189">
        <f>SUM(D330)</f>
        <v>678000</v>
      </c>
      <c r="E331" s="194">
        <f>SUM(E330)</f>
        <v>1850000</v>
      </c>
      <c r="F331" s="213">
        <f>E331/D331%</f>
        <v>272.8613569321534</v>
      </c>
    </row>
    <row r="332" spans="1:6" x14ac:dyDescent="0.25">
      <c r="A332" s="226"/>
      <c r="B332" s="227"/>
      <c r="C332" s="47" t="s">
        <v>45</v>
      </c>
      <c r="D332" s="235">
        <v>0</v>
      </c>
      <c r="E332" s="235">
        <v>0</v>
      </c>
      <c r="F332" s="188" t="e">
        <f t="shared" ref="F332" si="38">E332/D332%</f>
        <v>#DIV/0!</v>
      </c>
    </row>
    <row r="333" spans="1:6" x14ac:dyDescent="0.25">
      <c r="A333" s="226"/>
      <c r="B333" s="227"/>
      <c r="C333" s="187" t="s">
        <v>286</v>
      </c>
      <c r="D333" s="189">
        <f>SUM(D332)</f>
        <v>0</v>
      </c>
      <c r="E333" s="194">
        <f>SUM(E332)</f>
        <v>0</v>
      </c>
      <c r="F333" s="213" t="e">
        <f>E333/D333%</f>
        <v>#DIV/0!</v>
      </c>
    </row>
    <row r="334" spans="1:6" x14ac:dyDescent="0.25">
      <c r="A334" s="226"/>
      <c r="B334" s="227"/>
      <c r="C334" s="47" t="s">
        <v>46</v>
      </c>
      <c r="D334" s="235">
        <v>0</v>
      </c>
      <c r="E334" s="235">
        <v>0</v>
      </c>
      <c r="F334" s="188" t="e">
        <f t="shared" ref="F334" si="39">E334/D334%</f>
        <v>#DIV/0!</v>
      </c>
    </row>
    <row r="335" spans="1:6" x14ac:dyDescent="0.25">
      <c r="A335" s="226"/>
      <c r="B335" s="227"/>
      <c r="C335" s="187" t="s">
        <v>287</v>
      </c>
      <c r="D335" s="189">
        <f>SUM(D334)</f>
        <v>0</v>
      </c>
      <c r="E335" s="194">
        <f>SUM(E334)</f>
        <v>0</v>
      </c>
      <c r="F335" s="213" t="e">
        <f>E335/D335%</f>
        <v>#DIV/0!</v>
      </c>
    </row>
    <row r="336" spans="1:6" x14ac:dyDescent="0.25">
      <c r="A336" s="226"/>
      <c r="B336" s="227"/>
      <c r="C336" s="47" t="s">
        <v>88</v>
      </c>
      <c r="D336" s="235">
        <v>0</v>
      </c>
      <c r="E336" s="235">
        <f>8019000+200000</f>
        <v>8219000</v>
      </c>
      <c r="F336" s="188" t="e">
        <f t="shared" ref="F336" si="40">E336/D336%</f>
        <v>#DIV/0!</v>
      </c>
    </row>
    <row r="337" spans="1:6" x14ac:dyDescent="0.25">
      <c r="A337" s="226"/>
      <c r="B337" s="227"/>
      <c r="C337" s="187" t="s">
        <v>288</v>
      </c>
      <c r="D337" s="189">
        <f>SUM(D336)</f>
        <v>0</v>
      </c>
      <c r="E337" s="194">
        <f>SUM(E336)</f>
        <v>8219000</v>
      </c>
      <c r="F337" s="213" t="e">
        <f>E337/D337%</f>
        <v>#DIV/0!</v>
      </c>
    </row>
    <row r="338" spans="1:6" x14ac:dyDescent="0.25">
      <c r="A338" s="226"/>
      <c r="B338" s="227"/>
      <c r="C338" s="47" t="s">
        <v>80</v>
      </c>
      <c r="D338" s="235">
        <v>778000</v>
      </c>
      <c r="E338" s="235">
        <v>2700000</v>
      </c>
      <c r="F338" s="188">
        <f t="shared" ref="F338" si="41">E338/D338%</f>
        <v>347.04370179948586</v>
      </c>
    </row>
    <row r="339" spans="1:6" x14ac:dyDescent="0.25">
      <c r="A339" s="226"/>
      <c r="B339" s="227"/>
      <c r="C339" s="187" t="s">
        <v>289</v>
      </c>
      <c r="D339" s="189">
        <f>SUM(D338)</f>
        <v>778000</v>
      </c>
      <c r="E339" s="194">
        <f>SUM(E338)</f>
        <v>2700000</v>
      </c>
      <c r="F339" s="213">
        <f>E339/D339%</f>
        <v>347.04370179948586</v>
      </c>
    </row>
    <row r="340" spans="1:6" x14ac:dyDescent="0.25">
      <c r="A340" s="226"/>
      <c r="B340" s="227"/>
      <c r="C340" s="47" t="s">
        <v>86</v>
      </c>
      <c r="D340" s="235">
        <v>0</v>
      </c>
      <c r="E340" s="235">
        <v>0</v>
      </c>
      <c r="F340" s="188" t="e">
        <f t="shared" ref="F340" si="42">E340/D340%</f>
        <v>#DIV/0!</v>
      </c>
    </row>
    <row r="341" spans="1:6" x14ac:dyDescent="0.25">
      <c r="A341" s="226"/>
      <c r="B341" s="227"/>
      <c r="C341" s="187" t="s">
        <v>290</v>
      </c>
      <c r="D341" s="189">
        <f>SUM(D340)</f>
        <v>0</v>
      </c>
      <c r="E341" s="194">
        <f>SUM(E340)</f>
        <v>0</v>
      </c>
      <c r="F341" s="213" t="e">
        <f>E341/D341%</f>
        <v>#DIV/0!</v>
      </c>
    </row>
    <row r="342" spans="1:6" x14ac:dyDescent="0.25">
      <c r="A342" s="226"/>
      <c r="B342" s="227"/>
      <c r="C342" s="47" t="s">
        <v>87</v>
      </c>
      <c r="D342" s="235">
        <v>0</v>
      </c>
      <c r="E342" s="235">
        <v>0</v>
      </c>
      <c r="F342" s="188" t="e">
        <f t="shared" ref="F342" si="43">E342/D342%</f>
        <v>#DIV/0!</v>
      </c>
    </row>
    <row r="343" spans="1:6" x14ac:dyDescent="0.25">
      <c r="A343" s="226"/>
      <c r="B343" s="227"/>
      <c r="C343" s="187" t="s">
        <v>291</v>
      </c>
      <c r="D343" s="189">
        <f>SUM(D342)</f>
        <v>0</v>
      </c>
      <c r="E343" s="194">
        <f>SUM(E342)</f>
        <v>0</v>
      </c>
      <c r="F343" s="213" t="e">
        <f>E343/D343%</f>
        <v>#DIV/0!</v>
      </c>
    </row>
    <row r="344" spans="1:6" x14ac:dyDescent="0.25">
      <c r="A344" s="226"/>
      <c r="B344" s="227"/>
      <c r="C344" s="47" t="s">
        <v>81</v>
      </c>
      <c r="D344" s="235">
        <v>0</v>
      </c>
      <c r="E344" s="235">
        <v>0</v>
      </c>
      <c r="F344" s="188" t="e">
        <f t="shared" ref="F344" si="44">E344/D344%</f>
        <v>#DIV/0!</v>
      </c>
    </row>
    <row r="345" spans="1:6" x14ac:dyDescent="0.25">
      <c r="A345" s="226"/>
      <c r="B345" s="227"/>
      <c r="C345" s="187" t="s">
        <v>292</v>
      </c>
      <c r="D345" s="189">
        <f>SUM(D344)</f>
        <v>0</v>
      </c>
      <c r="E345" s="194">
        <f>SUM(E344)</f>
        <v>0</v>
      </c>
      <c r="F345" s="213" t="e">
        <f>E345/D345%</f>
        <v>#DIV/0!</v>
      </c>
    </row>
    <row r="346" spans="1:6" x14ac:dyDescent="0.25">
      <c r="A346" s="226"/>
      <c r="B346" s="227"/>
      <c r="C346" s="47" t="s">
        <v>82</v>
      </c>
      <c r="D346" s="235">
        <v>0</v>
      </c>
      <c r="E346" s="235">
        <v>250000</v>
      </c>
      <c r="F346" s="188" t="e">
        <f t="shared" ref="F346" si="45">E346/D346%</f>
        <v>#DIV/0!</v>
      </c>
    </row>
    <row r="347" spans="1:6" x14ac:dyDescent="0.25">
      <c r="A347" s="226"/>
      <c r="B347" s="227"/>
      <c r="C347" s="187" t="s">
        <v>295</v>
      </c>
      <c r="D347" s="189">
        <f>SUM(D346)</f>
        <v>0</v>
      </c>
      <c r="E347" s="194">
        <f>SUM(E346)</f>
        <v>250000</v>
      </c>
      <c r="F347" s="213" t="e">
        <f>E347/D347%</f>
        <v>#DIV/0!</v>
      </c>
    </row>
    <row r="348" spans="1:6" x14ac:dyDescent="0.25">
      <c r="A348" s="226"/>
      <c r="B348" s="227"/>
      <c r="C348" s="47" t="s">
        <v>83</v>
      </c>
      <c r="D348" s="235">
        <v>0</v>
      </c>
      <c r="E348" s="235">
        <v>0</v>
      </c>
      <c r="F348" s="188" t="e">
        <f t="shared" ref="F348" si="46">E348/D348%</f>
        <v>#DIV/0!</v>
      </c>
    </row>
    <row r="349" spans="1:6" x14ac:dyDescent="0.25">
      <c r="A349" s="226"/>
      <c r="B349" s="227"/>
      <c r="C349" s="187" t="s">
        <v>293</v>
      </c>
      <c r="D349" s="189">
        <f>SUM(D348)</f>
        <v>0</v>
      </c>
      <c r="E349" s="194">
        <f>SUM(E348)</f>
        <v>0</v>
      </c>
      <c r="F349" s="213" t="e">
        <f>E349/D349%</f>
        <v>#DIV/0!</v>
      </c>
    </row>
    <row r="350" spans="1:6" x14ac:dyDescent="0.25">
      <c r="A350" s="226"/>
      <c r="B350" s="227"/>
      <c r="C350" s="47" t="s">
        <v>84</v>
      </c>
      <c r="D350" s="235">
        <v>424000</v>
      </c>
      <c r="E350" s="235">
        <v>685000</v>
      </c>
      <c r="F350" s="188">
        <f t="shared" ref="F350" si="47">E350/D350%</f>
        <v>161.5566037735849</v>
      </c>
    </row>
    <row r="351" spans="1:6" x14ac:dyDescent="0.25">
      <c r="A351" s="226"/>
      <c r="B351" s="227"/>
      <c r="C351" s="187" t="s">
        <v>294</v>
      </c>
      <c r="D351" s="189">
        <f>SUM(D350)</f>
        <v>424000</v>
      </c>
      <c r="E351" s="194">
        <f>SUM(E350)</f>
        <v>685000</v>
      </c>
      <c r="F351" s="213">
        <f>E351/D351%</f>
        <v>161.5566037735849</v>
      </c>
    </row>
    <row r="352" spans="1:6" x14ac:dyDescent="0.25">
      <c r="A352" s="226"/>
      <c r="B352" s="227"/>
      <c r="C352" s="47" t="s">
        <v>85</v>
      </c>
      <c r="D352" s="235">
        <v>0</v>
      </c>
      <c r="E352" s="235">
        <v>0</v>
      </c>
      <c r="F352" s="188" t="e">
        <f t="shared" ref="F352" si="48">E352/D352%</f>
        <v>#DIV/0!</v>
      </c>
    </row>
    <row r="353" spans="1:7" x14ac:dyDescent="0.25">
      <c r="A353" s="226"/>
      <c r="B353" s="227"/>
      <c r="C353" s="187" t="s">
        <v>296</v>
      </c>
      <c r="D353" s="189">
        <f>SUM(D352)</f>
        <v>0</v>
      </c>
      <c r="E353" s="194">
        <f>SUM(E352)</f>
        <v>0</v>
      </c>
      <c r="F353" s="213" t="e">
        <f>E353/D353%</f>
        <v>#DIV/0!</v>
      </c>
    </row>
    <row r="354" spans="1:7" x14ac:dyDescent="0.25">
      <c r="A354" s="226"/>
      <c r="B354" s="227"/>
      <c r="C354" s="220" t="s">
        <v>298</v>
      </c>
      <c r="D354" s="224">
        <f>D327+D329+D331+D333+D335+D337+D339+D341+D343+D345+D347+D349+D351+D353</f>
        <v>23056000</v>
      </c>
      <c r="E354" s="225">
        <f>E327+E329+E331+E333+E335+E337+E339+E341+E343+E345+E347+E349+E351+E353</f>
        <v>52812672</v>
      </c>
      <c r="F354" s="221">
        <f>E354/D354%</f>
        <v>229.06259541984733</v>
      </c>
    </row>
    <row r="355" spans="1:7" ht="15.75" thickBot="1" x14ac:dyDescent="0.3">
      <c r="A355" s="226"/>
      <c r="B355" s="439" t="s">
        <v>311</v>
      </c>
      <c r="C355" s="440"/>
      <c r="D355" s="237">
        <f>D316+D324+D354</f>
        <v>23162000</v>
      </c>
      <c r="E355" s="238">
        <f>E316+E324+E354</f>
        <v>57922672</v>
      </c>
      <c r="F355" s="239">
        <f>E355/D355%</f>
        <v>250.07629738364562</v>
      </c>
    </row>
    <row r="356" spans="1:7" ht="17.25" thickTop="1" thickBot="1" x14ac:dyDescent="0.3">
      <c r="B356" s="441" t="s">
        <v>251</v>
      </c>
      <c r="C356" s="442"/>
      <c r="D356" s="214">
        <f>D305+D355</f>
        <v>299945000</v>
      </c>
      <c r="E356" s="214">
        <f>E305+E355</f>
        <v>286048755</v>
      </c>
      <c r="F356" s="215">
        <f>E356/D356%</f>
        <v>95.367068962643145</v>
      </c>
    </row>
    <row r="357" spans="1:7" ht="7.5" customHeight="1" x14ac:dyDescent="0.25">
      <c r="C357" s="203"/>
      <c r="D357" s="28"/>
      <c r="E357" s="28"/>
      <c r="F357" s="191"/>
    </row>
    <row r="358" spans="1:7" x14ac:dyDescent="0.25">
      <c r="C358" s="406" t="s">
        <v>319</v>
      </c>
      <c r="D358" s="406"/>
      <c r="E358" s="124">
        <v>283107255</v>
      </c>
      <c r="F358" s="75"/>
      <c r="G358" s="75"/>
    </row>
    <row r="359" spans="1:7" x14ac:dyDescent="0.25">
      <c r="C359" s="406" t="s">
        <v>316</v>
      </c>
      <c r="D359" s="406"/>
      <c r="E359" s="125">
        <f>136000+94000+115000+122000+147500+28000+202000+46000+100000</f>
        <v>990500</v>
      </c>
      <c r="F359" s="75"/>
      <c r="G359" s="75"/>
    </row>
    <row r="360" spans="1:7" ht="19.5" x14ac:dyDescent="0.55000000000000004">
      <c r="C360" s="406" t="s">
        <v>317</v>
      </c>
      <c r="D360" s="406"/>
      <c r="E360" s="126">
        <f>180000+475000+176000+140000+200000+430000+218500+31500+100000</f>
        <v>1951000</v>
      </c>
      <c r="F360" s="75" t="s">
        <v>28</v>
      </c>
      <c r="G360" s="75"/>
    </row>
    <row r="361" spans="1:7" ht="15.75" thickBot="1" x14ac:dyDescent="0.3">
      <c r="C361" s="406" t="s">
        <v>318</v>
      </c>
      <c r="D361" s="406"/>
      <c r="E361" s="127">
        <f>SUM(E358:E360)</f>
        <v>286048755</v>
      </c>
      <c r="F361" s="160" t="s">
        <v>126</v>
      </c>
      <c r="G361" s="160"/>
    </row>
    <row r="362" spans="1:7" ht="15.75" thickTop="1" x14ac:dyDescent="0.25">
      <c r="C362" s="28"/>
      <c r="D362" s="28"/>
      <c r="E362" s="191"/>
      <c r="F362"/>
    </row>
    <row r="363" spans="1:7" x14ac:dyDescent="0.25">
      <c r="C363" s="27"/>
      <c r="D363" s="28"/>
      <c r="E363" s="434" t="s">
        <v>306</v>
      </c>
      <c r="F363" s="434"/>
    </row>
    <row r="366" spans="1:7" x14ac:dyDescent="0.25">
      <c r="E366" s="240">
        <f>E356-D356</f>
        <v>-13896245</v>
      </c>
    </row>
    <row r="368" spans="1:7" x14ac:dyDescent="0.25">
      <c r="E368" s="241">
        <f>E361-E356</f>
        <v>0</v>
      </c>
    </row>
  </sheetData>
  <mergeCells count="19">
    <mergeCell ref="E363:F363"/>
    <mergeCell ref="B232:F232"/>
    <mergeCell ref="B233:F233"/>
    <mergeCell ref="B305:C305"/>
    <mergeCell ref="B355:C355"/>
    <mergeCell ref="B356:C356"/>
    <mergeCell ref="C358:D358"/>
    <mergeCell ref="C359:D359"/>
    <mergeCell ref="C360:D360"/>
    <mergeCell ref="C361:D361"/>
    <mergeCell ref="E223:F223"/>
    <mergeCell ref="B1:F1"/>
    <mergeCell ref="B2:F2"/>
    <mergeCell ref="E69:F69"/>
    <mergeCell ref="B97:F97"/>
    <mergeCell ref="B98:F98"/>
    <mergeCell ref="B170:C170"/>
    <mergeCell ref="B220:C220"/>
    <mergeCell ref="B221:C221"/>
  </mergeCells>
  <pageMargins left="0.71" right="0.12" top="0.32" bottom="0.2" header="0.3" footer="0.3"/>
  <pageSetup paperSize="9" scale="75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W90"/>
  <sheetViews>
    <sheetView topLeftCell="J1" zoomScale="80" zoomScaleNormal="80" workbookViewId="0">
      <pane ySplit="6" topLeftCell="A7" activePane="bottomLeft" state="frozen"/>
      <selection pane="bottomLeft" activeCell="I9" sqref="I9"/>
    </sheetView>
  </sheetViews>
  <sheetFormatPr defaultRowHeight="15" x14ac:dyDescent="0.25"/>
  <cols>
    <col min="1" max="1" width="3.7109375" customWidth="1"/>
    <col min="2" max="2" width="14.42578125" customWidth="1"/>
    <col min="3" max="3" width="21.28515625" customWidth="1"/>
    <col min="4" max="4" width="3.140625" customWidth="1"/>
    <col min="5" max="5" width="23.140625" customWidth="1"/>
    <col min="6" max="7" width="15.42578125" style="2" customWidth="1"/>
    <col min="8" max="8" width="15.5703125" style="2" customWidth="1"/>
    <col min="9" max="16" width="15.7109375" style="2" customWidth="1"/>
    <col min="17" max="17" width="17" style="2" customWidth="1"/>
    <col min="18" max="18" width="15.7109375" style="2" customWidth="1"/>
    <col min="19" max="20" width="16.5703125" style="2" customWidth="1"/>
    <col min="21" max="22" width="15.7109375" style="2" customWidth="1"/>
  </cols>
  <sheetData>
    <row r="1" spans="1:23" ht="15.75" x14ac:dyDescent="0.25">
      <c r="A1" s="423" t="s">
        <v>90</v>
      </c>
      <c r="B1" s="423"/>
      <c r="C1" s="423"/>
      <c r="D1" s="423"/>
      <c r="E1" s="423"/>
      <c r="F1" s="423"/>
      <c r="G1" s="423"/>
      <c r="H1" s="423"/>
      <c r="I1" s="423"/>
      <c r="J1" s="423"/>
      <c r="K1" s="423"/>
      <c r="L1" s="423"/>
      <c r="M1" s="423"/>
      <c r="N1" s="423"/>
      <c r="O1" s="423"/>
      <c r="P1" s="423"/>
      <c r="Q1" s="423"/>
      <c r="R1" s="423"/>
      <c r="S1" s="423"/>
      <c r="T1" s="423"/>
      <c r="U1" s="423"/>
      <c r="V1" s="423"/>
    </row>
    <row r="2" spans="1:23" x14ac:dyDescent="0.25">
      <c r="A2" s="392" t="s">
        <v>492</v>
      </c>
      <c r="B2" s="392"/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  <c r="P2" s="392"/>
      <c r="Q2" s="392"/>
      <c r="R2" s="392"/>
      <c r="S2" s="392"/>
      <c r="T2" s="392"/>
      <c r="U2" s="392"/>
      <c r="V2" s="392"/>
    </row>
    <row r="3" spans="1:23" ht="15.75" thickBot="1" x14ac:dyDescent="0.3">
      <c r="A3" s="450" t="s">
        <v>394</v>
      </c>
      <c r="B3" s="450"/>
      <c r="C3" s="450"/>
      <c r="D3" s="450"/>
      <c r="E3" s="450"/>
      <c r="F3" s="450"/>
      <c r="G3" s="450"/>
      <c r="H3" s="450"/>
      <c r="I3" s="450"/>
      <c r="J3" s="450"/>
      <c r="K3" s="450"/>
      <c r="L3" s="450"/>
      <c r="M3" s="450"/>
      <c r="N3" s="450"/>
      <c r="O3" s="450"/>
      <c r="P3" s="450"/>
      <c r="Q3" s="450"/>
      <c r="R3" s="450"/>
      <c r="S3" s="450"/>
      <c r="T3" s="450"/>
      <c r="U3" s="450"/>
      <c r="V3" s="450"/>
    </row>
    <row r="4" spans="1:23" ht="9" customHeight="1" thickTop="1" thickBot="1" x14ac:dyDescent="0.3"/>
    <row r="5" spans="1:23" s="16" customFormat="1" ht="16.5" customHeight="1" thickBot="1" x14ac:dyDescent="0.3">
      <c r="A5" s="444" t="s">
        <v>396</v>
      </c>
      <c r="B5" s="444" t="s">
        <v>397</v>
      </c>
      <c r="C5" s="445"/>
      <c r="D5" s="444" t="s">
        <v>398</v>
      </c>
      <c r="E5" s="448"/>
      <c r="F5" s="458" t="s">
        <v>5</v>
      </c>
      <c r="G5" s="458"/>
      <c r="H5" s="458"/>
      <c r="I5" s="458"/>
      <c r="J5" s="458"/>
      <c r="K5" s="458"/>
      <c r="L5" s="458"/>
      <c r="M5" s="458"/>
      <c r="N5" s="458"/>
      <c r="O5" s="458"/>
      <c r="P5" s="458"/>
      <c r="Q5" s="458"/>
      <c r="R5" s="458"/>
      <c r="S5" s="458"/>
      <c r="T5" s="458"/>
      <c r="U5" s="451" t="s">
        <v>469</v>
      </c>
      <c r="V5" s="453" t="s">
        <v>470</v>
      </c>
      <c r="W5" s="310"/>
    </row>
    <row r="6" spans="1:23" s="16" customFormat="1" ht="15.75" thickBot="1" x14ac:dyDescent="0.3">
      <c r="A6" s="446"/>
      <c r="B6" s="446"/>
      <c r="C6" s="447"/>
      <c r="D6" s="446"/>
      <c r="E6" s="449"/>
      <c r="F6" s="359" t="s">
        <v>89</v>
      </c>
      <c r="G6" s="360" t="s">
        <v>138</v>
      </c>
      <c r="H6" s="361" t="s">
        <v>467</v>
      </c>
      <c r="I6" s="359" t="s">
        <v>468</v>
      </c>
      <c r="J6" s="359" t="s">
        <v>475</v>
      </c>
      <c r="K6" s="359" t="s">
        <v>476</v>
      </c>
      <c r="L6" s="362" t="s">
        <v>477</v>
      </c>
      <c r="M6" s="362" t="s">
        <v>478</v>
      </c>
      <c r="N6" s="362" t="s">
        <v>479</v>
      </c>
      <c r="O6" s="362" t="s">
        <v>482</v>
      </c>
      <c r="P6" s="362" t="s">
        <v>484</v>
      </c>
      <c r="Q6" s="362" t="s">
        <v>485</v>
      </c>
      <c r="R6" s="363" t="s">
        <v>488</v>
      </c>
      <c r="S6" s="364" t="s">
        <v>489</v>
      </c>
      <c r="T6" s="362" t="s">
        <v>490</v>
      </c>
      <c r="U6" s="452"/>
      <c r="V6" s="454"/>
    </row>
    <row r="7" spans="1:23" x14ac:dyDescent="0.25">
      <c r="A7" s="296"/>
      <c r="B7" s="297"/>
      <c r="C7" s="298"/>
      <c r="D7" s="297"/>
      <c r="E7" s="298"/>
      <c r="F7" s="318"/>
      <c r="G7" s="318"/>
      <c r="H7" s="318"/>
      <c r="I7" s="318"/>
      <c r="J7" s="336"/>
      <c r="K7" s="344"/>
      <c r="L7" s="344"/>
      <c r="M7" s="352"/>
      <c r="N7" s="354"/>
      <c r="O7" s="355"/>
      <c r="P7" s="354"/>
      <c r="Q7" s="28"/>
      <c r="R7" s="357"/>
      <c r="S7" s="344"/>
      <c r="T7" s="358"/>
      <c r="U7" s="328"/>
      <c r="V7" s="328"/>
    </row>
    <row r="8" spans="1:23" x14ac:dyDescent="0.25">
      <c r="A8" s="299">
        <v>1</v>
      </c>
      <c r="B8" s="300" t="s">
        <v>399</v>
      </c>
      <c r="C8" s="301" t="s">
        <v>400</v>
      </c>
      <c r="D8" s="309" t="s">
        <v>401</v>
      </c>
      <c r="E8" s="301"/>
      <c r="F8" s="319"/>
      <c r="G8" s="319"/>
      <c r="H8" s="319"/>
      <c r="I8" s="319"/>
      <c r="J8" s="337"/>
      <c r="K8" s="345"/>
      <c r="L8" s="345"/>
      <c r="M8" s="319"/>
      <c r="N8" s="319"/>
      <c r="O8" s="319"/>
      <c r="P8" s="319"/>
      <c r="Q8" s="337"/>
      <c r="R8" s="345"/>
      <c r="S8" s="345"/>
      <c r="T8" s="356"/>
      <c r="U8" s="329"/>
      <c r="V8" s="329"/>
    </row>
    <row r="9" spans="1:23" x14ac:dyDescent="0.25">
      <c r="A9" s="299"/>
      <c r="B9" s="300" t="s">
        <v>402</v>
      </c>
      <c r="C9" s="301" t="s">
        <v>403</v>
      </c>
      <c r="D9" s="300"/>
      <c r="E9" s="301" t="s">
        <v>404</v>
      </c>
      <c r="F9" s="320">
        <v>0</v>
      </c>
      <c r="G9" s="320">
        <v>111</v>
      </c>
      <c r="H9" s="320">
        <v>310</v>
      </c>
      <c r="I9" s="320">
        <v>1015</v>
      </c>
      <c r="J9" s="320">
        <v>340</v>
      </c>
      <c r="K9" s="320">
        <v>0</v>
      </c>
      <c r="L9" s="338">
        <v>2275</v>
      </c>
      <c r="M9" s="320">
        <v>1000</v>
      </c>
      <c r="N9" s="320">
        <v>1050</v>
      </c>
      <c r="O9" s="320">
        <v>770</v>
      </c>
      <c r="P9" s="320">
        <v>200</v>
      </c>
      <c r="Q9" s="338">
        <v>1230</v>
      </c>
      <c r="R9" s="320">
        <v>550</v>
      </c>
      <c r="S9" s="320">
        <v>801</v>
      </c>
      <c r="T9" s="320">
        <v>570</v>
      </c>
      <c r="U9" s="329">
        <f>SUM(I9:T9)</f>
        <v>9801</v>
      </c>
      <c r="V9" s="329">
        <f>U9/12</f>
        <v>816.75</v>
      </c>
    </row>
    <row r="10" spans="1:23" x14ac:dyDescent="0.25">
      <c r="A10" s="299"/>
      <c r="B10" s="300"/>
      <c r="C10" s="301" t="s">
        <v>465</v>
      </c>
      <c r="D10" s="300"/>
      <c r="E10" s="301" t="s">
        <v>405</v>
      </c>
      <c r="F10" s="320">
        <v>17169</v>
      </c>
      <c r="G10" s="320">
        <v>12906</v>
      </c>
      <c r="H10" s="320">
        <v>15554</v>
      </c>
      <c r="I10" s="320">
        <v>21316</v>
      </c>
      <c r="J10" s="320">
        <v>17635</v>
      </c>
      <c r="K10" s="320">
        <v>15177</v>
      </c>
      <c r="L10" s="338">
        <v>10857</v>
      </c>
      <c r="M10" s="320">
        <v>12798</v>
      </c>
      <c r="N10" s="320">
        <v>12338</v>
      </c>
      <c r="O10" s="320">
        <v>8456</v>
      </c>
      <c r="P10" s="320">
        <v>10658</v>
      </c>
      <c r="Q10" s="338">
        <v>11036</v>
      </c>
      <c r="R10" s="320">
        <v>12010</v>
      </c>
      <c r="S10" s="320">
        <v>11373</v>
      </c>
      <c r="T10" s="320">
        <v>13470</v>
      </c>
      <c r="U10" s="329">
        <f t="shared" ref="U10:U15" si="0">SUM(I10:T10)</f>
        <v>157124</v>
      </c>
      <c r="V10" s="329">
        <f t="shared" ref="V10:V15" si="1">U10/12</f>
        <v>13093.666666666666</v>
      </c>
    </row>
    <row r="11" spans="1:23" x14ac:dyDescent="0.25">
      <c r="A11" s="299"/>
      <c r="B11" s="300"/>
      <c r="C11" s="301" t="s">
        <v>486</v>
      </c>
      <c r="D11" s="300"/>
      <c r="E11" s="301" t="s">
        <v>406</v>
      </c>
      <c r="F11" s="320">
        <v>2438</v>
      </c>
      <c r="G11" s="320">
        <v>5218</v>
      </c>
      <c r="H11" s="320">
        <v>8158</v>
      </c>
      <c r="I11" s="320">
        <v>13299</v>
      </c>
      <c r="J11" s="320">
        <v>10888</v>
      </c>
      <c r="K11" s="320">
        <v>12020</v>
      </c>
      <c r="L11" s="338">
        <v>11090</v>
      </c>
      <c r="M11" s="320">
        <v>12302</v>
      </c>
      <c r="N11" s="320">
        <v>11648</v>
      </c>
      <c r="O11" s="320">
        <v>8613</v>
      </c>
      <c r="P11" s="320">
        <v>10986</v>
      </c>
      <c r="Q11" s="338">
        <v>7350</v>
      </c>
      <c r="R11" s="320">
        <v>13719</v>
      </c>
      <c r="S11" s="320">
        <v>6124</v>
      </c>
      <c r="T11" s="320">
        <v>10570</v>
      </c>
      <c r="U11" s="329">
        <f t="shared" si="0"/>
        <v>128609</v>
      </c>
      <c r="V11" s="329">
        <f t="shared" si="1"/>
        <v>10717.416666666666</v>
      </c>
    </row>
    <row r="12" spans="1:23" x14ac:dyDescent="0.25">
      <c r="A12" s="299"/>
      <c r="B12" s="300"/>
      <c r="C12" s="301"/>
      <c r="D12" s="300"/>
      <c r="E12" s="301" t="s">
        <v>407</v>
      </c>
      <c r="F12" s="320">
        <v>0</v>
      </c>
      <c r="G12" s="320">
        <v>3310</v>
      </c>
      <c r="H12" s="320">
        <v>5277</v>
      </c>
      <c r="I12" s="320">
        <v>7571</v>
      </c>
      <c r="J12" s="320">
        <v>9475</v>
      </c>
      <c r="K12" s="320">
        <v>6481</v>
      </c>
      <c r="L12" s="338">
        <v>4546</v>
      </c>
      <c r="M12" s="320">
        <v>3920</v>
      </c>
      <c r="N12" s="320">
        <v>5190</v>
      </c>
      <c r="O12" s="320">
        <v>4330</v>
      </c>
      <c r="P12" s="320">
        <v>4744</v>
      </c>
      <c r="Q12" s="338">
        <v>7620</v>
      </c>
      <c r="R12" s="320">
        <v>11216</v>
      </c>
      <c r="S12" s="320">
        <v>6071</v>
      </c>
      <c r="T12" s="320">
        <v>11824</v>
      </c>
      <c r="U12" s="329">
        <f t="shared" si="0"/>
        <v>82988</v>
      </c>
      <c r="V12" s="329">
        <f>U12/12</f>
        <v>6915.666666666667</v>
      </c>
    </row>
    <row r="13" spans="1:23" x14ac:dyDescent="0.25">
      <c r="A13" s="299"/>
      <c r="B13" s="300"/>
      <c r="C13" s="301"/>
      <c r="D13" s="300"/>
      <c r="E13" s="301" t="s">
        <v>408</v>
      </c>
      <c r="F13" s="320">
        <v>11736</v>
      </c>
      <c r="G13" s="320">
        <v>7021</v>
      </c>
      <c r="H13" s="320">
        <v>6964</v>
      </c>
      <c r="I13" s="320">
        <v>10308</v>
      </c>
      <c r="J13" s="320">
        <v>9461</v>
      </c>
      <c r="K13" s="320">
        <v>10456</v>
      </c>
      <c r="L13" s="338">
        <v>5433</v>
      </c>
      <c r="M13" s="320">
        <v>7055</v>
      </c>
      <c r="N13" s="320">
        <v>9136</v>
      </c>
      <c r="O13" s="320">
        <v>7886</v>
      </c>
      <c r="P13" s="320">
        <v>6891</v>
      </c>
      <c r="Q13" s="338">
        <v>9105</v>
      </c>
      <c r="R13" s="320">
        <v>9705</v>
      </c>
      <c r="S13" s="320">
        <v>11427</v>
      </c>
      <c r="T13" s="320">
        <v>11490</v>
      </c>
      <c r="U13" s="329">
        <f t="shared" si="0"/>
        <v>108353</v>
      </c>
      <c r="V13" s="329">
        <f t="shared" si="1"/>
        <v>9029.4166666666661</v>
      </c>
    </row>
    <row r="14" spans="1:23" x14ac:dyDescent="0.25">
      <c r="A14" s="299"/>
      <c r="B14" s="300"/>
      <c r="C14" s="301"/>
      <c r="D14" s="300"/>
      <c r="E14" s="301" t="s">
        <v>437</v>
      </c>
      <c r="F14" s="322">
        <v>9591</v>
      </c>
      <c r="G14" s="322">
        <v>7185</v>
      </c>
      <c r="H14" s="322">
        <v>6736</v>
      </c>
      <c r="I14" s="322">
        <v>11656</v>
      </c>
      <c r="J14" s="322">
        <v>8364</v>
      </c>
      <c r="K14" s="322">
        <v>10042</v>
      </c>
      <c r="L14" s="339">
        <v>7818</v>
      </c>
      <c r="M14" s="322">
        <v>7728</v>
      </c>
      <c r="N14" s="322">
        <v>12266</v>
      </c>
      <c r="O14" s="320">
        <v>6190</v>
      </c>
      <c r="P14" s="322">
        <v>6599</v>
      </c>
      <c r="Q14" s="338">
        <v>11744</v>
      </c>
      <c r="R14" s="322">
        <v>13436</v>
      </c>
      <c r="S14" s="320">
        <v>13097</v>
      </c>
      <c r="T14" s="320">
        <v>14953</v>
      </c>
      <c r="U14" s="329">
        <f t="shared" si="0"/>
        <v>123893</v>
      </c>
      <c r="V14" s="329">
        <f t="shared" si="1"/>
        <v>10324.416666666666</v>
      </c>
    </row>
    <row r="15" spans="1:23" ht="15.75" thickBot="1" x14ac:dyDescent="0.3">
      <c r="A15" s="299"/>
      <c r="B15" s="300"/>
      <c r="C15" s="301"/>
      <c r="D15" s="300"/>
      <c r="E15" s="301" t="s">
        <v>409</v>
      </c>
      <c r="F15" s="320">
        <v>0</v>
      </c>
      <c r="G15" s="320">
        <v>103</v>
      </c>
      <c r="H15" s="320">
        <v>294</v>
      </c>
      <c r="I15" s="320">
        <v>690</v>
      </c>
      <c r="J15" s="320">
        <v>1202</v>
      </c>
      <c r="K15" s="320">
        <v>735</v>
      </c>
      <c r="L15" s="338">
        <v>485</v>
      </c>
      <c r="M15" s="320">
        <v>617</v>
      </c>
      <c r="N15" s="320">
        <v>125</v>
      </c>
      <c r="O15" s="320">
        <v>884</v>
      </c>
      <c r="P15" s="320">
        <v>745</v>
      </c>
      <c r="Q15" s="338">
        <v>605</v>
      </c>
      <c r="R15" s="320">
        <v>950</v>
      </c>
      <c r="S15" s="320">
        <v>2125</v>
      </c>
      <c r="T15" s="320">
        <v>750</v>
      </c>
      <c r="U15" s="329">
        <f t="shared" si="0"/>
        <v>9913</v>
      </c>
      <c r="V15" s="329">
        <f t="shared" si="1"/>
        <v>826.08333333333337</v>
      </c>
    </row>
    <row r="16" spans="1:23" s="16" customFormat="1" ht="15.75" thickBot="1" x14ac:dyDescent="0.3">
      <c r="A16" s="311"/>
      <c r="B16" s="312"/>
      <c r="C16" s="313"/>
      <c r="D16" s="312"/>
      <c r="E16" s="313"/>
      <c r="F16" s="321">
        <f>SUM(F9:F15)</f>
        <v>40934</v>
      </c>
      <c r="G16" s="321">
        <f t="shared" ref="G16:I16" si="2">SUM(G9:G15)</f>
        <v>35854</v>
      </c>
      <c r="H16" s="321">
        <f t="shared" si="2"/>
        <v>43293</v>
      </c>
      <c r="I16" s="321">
        <f t="shared" si="2"/>
        <v>65855</v>
      </c>
      <c r="J16" s="321">
        <f t="shared" ref="J16" si="3">SUM(J9:J15)</f>
        <v>57365</v>
      </c>
      <c r="K16" s="321">
        <f t="shared" ref="K16:M16" si="4">SUM(K9:K15)</f>
        <v>54911</v>
      </c>
      <c r="L16" s="340">
        <f t="shared" si="4"/>
        <v>42504</v>
      </c>
      <c r="M16" s="321">
        <f t="shared" si="4"/>
        <v>45420</v>
      </c>
      <c r="N16" s="321">
        <f t="shared" ref="N16:V16" si="5">SUM(N9:N15)</f>
        <v>51753</v>
      </c>
      <c r="O16" s="321">
        <f t="shared" si="5"/>
        <v>37129</v>
      </c>
      <c r="P16" s="321">
        <f t="shared" si="5"/>
        <v>40823</v>
      </c>
      <c r="Q16" s="340">
        <f t="shared" si="5"/>
        <v>48690</v>
      </c>
      <c r="R16" s="321">
        <f t="shared" ref="R16:S16" si="6">SUM(R9:R15)</f>
        <v>61586</v>
      </c>
      <c r="S16" s="321">
        <f t="shared" si="6"/>
        <v>51018</v>
      </c>
      <c r="T16" s="321">
        <f t="shared" ref="T16" si="7">SUM(T9:T15)</f>
        <v>63627</v>
      </c>
      <c r="U16" s="330">
        <f t="shared" si="5"/>
        <v>620681</v>
      </c>
      <c r="V16" s="330">
        <f t="shared" si="5"/>
        <v>51723.416666666664</v>
      </c>
    </row>
    <row r="17" spans="1:22" x14ac:dyDescent="0.25">
      <c r="A17" s="296"/>
      <c r="B17" s="297"/>
      <c r="C17" s="298"/>
      <c r="D17" s="297"/>
      <c r="E17" s="298"/>
      <c r="F17" s="322"/>
      <c r="G17" s="322"/>
      <c r="H17" s="322"/>
      <c r="I17" s="322"/>
      <c r="J17" s="322"/>
      <c r="K17" s="322"/>
      <c r="L17" s="339"/>
      <c r="M17" s="322"/>
      <c r="N17" s="322"/>
      <c r="O17" s="322"/>
      <c r="P17" s="322"/>
      <c r="Q17" s="339"/>
      <c r="R17" s="322"/>
      <c r="S17" s="322"/>
      <c r="T17" s="322"/>
      <c r="U17" s="328"/>
      <c r="V17" s="328"/>
    </row>
    <row r="18" spans="1:22" x14ac:dyDescent="0.25">
      <c r="A18" s="299">
        <v>2</v>
      </c>
      <c r="B18" s="300" t="s">
        <v>399</v>
      </c>
      <c r="C18" s="301" t="s">
        <v>410</v>
      </c>
      <c r="D18" s="309" t="s">
        <v>411</v>
      </c>
      <c r="E18" s="301"/>
      <c r="F18" s="319"/>
      <c r="G18" s="319"/>
      <c r="H18" s="319"/>
      <c r="I18" s="319"/>
      <c r="J18" s="319"/>
      <c r="K18" s="319"/>
      <c r="L18" s="337"/>
      <c r="M18" s="319"/>
      <c r="N18" s="319"/>
      <c r="O18" s="319"/>
      <c r="P18" s="319"/>
      <c r="Q18" s="337"/>
      <c r="R18" s="319"/>
      <c r="S18" s="319"/>
      <c r="T18" s="319"/>
      <c r="U18" s="329"/>
      <c r="V18" s="329"/>
    </row>
    <row r="19" spans="1:22" x14ac:dyDescent="0.25">
      <c r="A19" s="299"/>
      <c r="B19" s="300" t="s">
        <v>402</v>
      </c>
      <c r="C19" s="301" t="s">
        <v>412</v>
      </c>
      <c r="D19" s="300"/>
      <c r="E19" s="301" t="s">
        <v>131</v>
      </c>
      <c r="F19" s="320">
        <v>0</v>
      </c>
      <c r="G19" s="320">
        <v>4126</v>
      </c>
      <c r="H19" s="320">
        <v>17782</v>
      </c>
      <c r="I19" s="320">
        <v>13430</v>
      </c>
      <c r="J19" s="320">
        <v>9407</v>
      </c>
      <c r="K19" s="320">
        <v>10740</v>
      </c>
      <c r="L19" s="338">
        <v>14923</v>
      </c>
      <c r="M19" s="320">
        <v>11543</v>
      </c>
      <c r="N19" s="320">
        <v>18493</v>
      </c>
      <c r="O19" s="320">
        <v>11352</v>
      </c>
      <c r="P19" s="320">
        <v>12240</v>
      </c>
      <c r="Q19" s="338">
        <v>16889</v>
      </c>
      <c r="R19" s="320">
        <v>16821</v>
      </c>
      <c r="S19" s="320">
        <v>13570</v>
      </c>
      <c r="T19" s="320">
        <v>15540</v>
      </c>
      <c r="U19" s="329">
        <f>SUM(I19:T19)</f>
        <v>164948</v>
      </c>
      <c r="V19" s="329">
        <f t="shared" ref="V19:V25" si="8">U19/12</f>
        <v>13745.666666666666</v>
      </c>
    </row>
    <row r="20" spans="1:22" x14ac:dyDescent="0.25">
      <c r="A20" s="299"/>
      <c r="B20" s="300"/>
      <c r="C20" s="301" t="s">
        <v>413</v>
      </c>
      <c r="D20" s="300"/>
      <c r="E20" s="301" t="s">
        <v>480</v>
      </c>
      <c r="F20" s="320">
        <v>0</v>
      </c>
      <c r="G20" s="320">
        <v>0</v>
      </c>
      <c r="H20" s="320">
        <v>0</v>
      </c>
      <c r="I20" s="320">
        <v>0</v>
      </c>
      <c r="J20" s="320">
        <v>0</v>
      </c>
      <c r="K20" s="320">
        <v>0</v>
      </c>
      <c r="L20" s="338">
        <v>0</v>
      </c>
      <c r="M20" s="320">
        <v>4000</v>
      </c>
      <c r="N20" s="320">
        <v>2800</v>
      </c>
      <c r="O20" s="320">
        <v>1150</v>
      </c>
      <c r="P20" s="320">
        <v>1000</v>
      </c>
      <c r="Q20" s="338">
        <v>2000</v>
      </c>
      <c r="R20" s="320">
        <v>2500</v>
      </c>
      <c r="S20" s="320">
        <v>4000</v>
      </c>
      <c r="T20" s="320">
        <v>2000</v>
      </c>
      <c r="U20" s="329">
        <f t="shared" ref="U20:U24" si="9">SUM(I20:T20)</f>
        <v>19450</v>
      </c>
      <c r="V20" s="329">
        <f t="shared" si="8"/>
        <v>1620.8333333333333</v>
      </c>
    </row>
    <row r="21" spans="1:22" x14ac:dyDescent="0.25">
      <c r="A21" s="299"/>
      <c r="B21" s="300"/>
      <c r="C21" s="301"/>
      <c r="D21" s="300"/>
      <c r="E21" s="301" t="s">
        <v>320</v>
      </c>
      <c r="F21" s="320">
        <v>0</v>
      </c>
      <c r="G21" s="320">
        <v>0</v>
      </c>
      <c r="H21" s="320">
        <v>8995</v>
      </c>
      <c r="I21" s="320">
        <v>35866</v>
      </c>
      <c r="J21" s="320">
        <v>34955</v>
      </c>
      <c r="K21" s="320">
        <v>28929</v>
      </c>
      <c r="L21" s="338">
        <v>26526</v>
      </c>
      <c r="M21" s="320">
        <v>42123</v>
      </c>
      <c r="N21" s="320">
        <v>35501</v>
      </c>
      <c r="O21" s="320">
        <v>32732</v>
      </c>
      <c r="P21" s="320">
        <v>27720</v>
      </c>
      <c r="Q21" s="338">
        <v>35767</v>
      </c>
      <c r="R21" s="320">
        <v>36285</v>
      </c>
      <c r="S21" s="320">
        <v>36462</v>
      </c>
      <c r="T21" s="320">
        <v>47148</v>
      </c>
      <c r="U21" s="329">
        <f t="shared" si="9"/>
        <v>420014</v>
      </c>
      <c r="V21" s="329">
        <f t="shared" si="8"/>
        <v>35001.166666666664</v>
      </c>
    </row>
    <row r="22" spans="1:22" x14ac:dyDescent="0.25">
      <c r="A22" s="299"/>
      <c r="B22" s="300"/>
      <c r="C22" s="301"/>
      <c r="D22" s="300"/>
      <c r="E22" s="301" t="s">
        <v>414</v>
      </c>
      <c r="F22" s="320">
        <v>0</v>
      </c>
      <c r="G22" s="320">
        <v>136</v>
      </c>
      <c r="H22" s="320">
        <v>303</v>
      </c>
      <c r="I22" s="320">
        <v>0</v>
      </c>
      <c r="J22" s="320">
        <v>0</v>
      </c>
      <c r="K22" s="320">
        <v>450</v>
      </c>
      <c r="L22" s="338">
        <v>0</v>
      </c>
      <c r="M22" s="320">
        <v>0</v>
      </c>
      <c r="N22" s="320">
        <v>450</v>
      </c>
      <c r="O22" s="320">
        <v>150</v>
      </c>
      <c r="P22" s="320">
        <v>185</v>
      </c>
      <c r="Q22" s="338">
        <v>100</v>
      </c>
      <c r="R22" s="320">
        <v>140</v>
      </c>
      <c r="S22" s="320">
        <v>0</v>
      </c>
      <c r="T22" s="320">
        <v>400</v>
      </c>
      <c r="U22" s="329">
        <f t="shared" si="9"/>
        <v>1875</v>
      </c>
      <c r="V22" s="329">
        <f t="shared" si="8"/>
        <v>156.25</v>
      </c>
    </row>
    <row r="23" spans="1:22" x14ac:dyDescent="0.25">
      <c r="A23" s="299"/>
      <c r="B23" s="300"/>
      <c r="C23" s="301"/>
      <c r="D23" s="300"/>
      <c r="E23" s="301" t="s">
        <v>125</v>
      </c>
      <c r="F23" s="320">
        <v>12652</v>
      </c>
      <c r="G23" s="320">
        <v>14850</v>
      </c>
      <c r="H23" s="320">
        <v>15131</v>
      </c>
      <c r="I23" s="320">
        <v>23917</v>
      </c>
      <c r="J23" s="320">
        <v>35556</v>
      </c>
      <c r="K23" s="320">
        <v>25533</v>
      </c>
      <c r="L23" s="338">
        <v>17493</v>
      </c>
      <c r="M23" s="320">
        <v>22002</v>
      </c>
      <c r="N23" s="320">
        <v>27303</v>
      </c>
      <c r="O23" s="320">
        <v>26286</v>
      </c>
      <c r="P23" s="320">
        <v>17402</v>
      </c>
      <c r="Q23" s="338">
        <v>16895</v>
      </c>
      <c r="R23" s="320">
        <v>25402</v>
      </c>
      <c r="S23" s="320">
        <v>19648</v>
      </c>
      <c r="T23" s="320">
        <v>30060</v>
      </c>
      <c r="U23" s="329">
        <f>SUM(I23:T23)</f>
        <v>287497</v>
      </c>
      <c r="V23" s="329">
        <f t="shared" si="8"/>
        <v>23958.083333333332</v>
      </c>
    </row>
    <row r="24" spans="1:22" x14ac:dyDescent="0.25">
      <c r="A24" s="299"/>
      <c r="B24" s="300"/>
      <c r="C24" s="301"/>
      <c r="D24" s="300"/>
      <c r="E24" s="301" t="s">
        <v>415</v>
      </c>
      <c r="F24" s="320">
        <v>7594</v>
      </c>
      <c r="G24" s="320">
        <v>3730</v>
      </c>
      <c r="H24" s="320">
        <v>1052</v>
      </c>
      <c r="I24" s="320">
        <v>200</v>
      </c>
      <c r="J24" s="320">
        <v>0</v>
      </c>
      <c r="K24" s="320">
        <v>550</v>
      </c>
      <c r="L24" s="338">
        <v>0</v>
      </c>
      <c r="M24" s="320">
        <v>940</v>
      </c>
      <c r="N24" s="320">
        <v>895</v>
      </c>
      <c r="O24" s="320">
        <v>1370</v>
      </c>
      <c r="P24" s="320">
        <v>1900</v>
      </c>
      <c r="Q24" s="338">
        <v>1485</v>
      </c>
      <c r="R24" s="320">
        <v>2050</v>
      </c>
      <c r="S24" s="320">
        <v>1250</v>
      </c>
      <c r="T24" s="320">
        <v>150</v>
      </c>
      <c r="U24" s="329">
        <f t="shared" si="9"/>
        <v>10790</v>
      </c>
      <c r="V24" s="329">
        <f t="shared" si="8"/>
        <v>899.16666666666663</v>
      </c>
    </row>
    <row r="25" spans="1:22" ht="15.75" thickBot="1" x14ac:dyDescent="0.3">
      <c r="A25" s="302"/>
      <c r="B25" s="303"/>
      <c r="C25" s="304"/>
      <c r="D25" s="303"/>
      <c r="E25" s="304" t="s">
        <v>416</v>
      </c>
      <c r="F25" s="323">
        <v>0</v>
      </c>
      <c r="G25" s="323">
        <v>816</v>
      </c>
      <c r="H25" s="323">
        <v>1231</v>
      </c>
      <c r="I25" s="323">
        <v>1935</v>
      </c>
      <c r="J25" s="323">
        <v>1240</v>
      </c>
      <c r="K25" s="323">
        <v>3955</v>
      </c>
      <c r="L25" s="341">
        <v>1610</v>
      </c>
      <c r="M25" s="323">
        <v>1275</v>
      </c>
      <c r="N25" s="323">
        <v>4385</v>
      </c>
      <c r="O25" s="323">
        <v>2770</v>
      </c>
      <c r="P25" s="323">
        <v>2050</v>
      </c>
      <c r="Q25" s="338">
        <v>1720</v>
      </c>
      <c r="R25" s="323">
        <v>3189</v>
      </c>
      <c r="S25" s="320">
        <v>3526</v>
      </c>
      <c r="T25" s="320">
        <v>2570</v>
      </c>
      <c r="U25" s="329">
        <f>SUM(I25:T25)</f>
        <v>30225</v>
      </c>
      <c r="V25" s="329">
        <f t="shared" si="8"/>
        <v>2518.75</v>
      </c>
    </row>
    <row r="26" spans="1:22" s="16" customFormat="1" ht="15.75" thickBot="1" x14ac:dyDescent="0.3">
      <c r="A26" s="311"/>
      <c r="B26" s="312"/>
      <c r="C26" s="313"/>
      <c r="D26" s="312"/>
      <c r="E26" s="313"/>
      <c r="F26" s="321">
        <f t="shared" ref="F26:V26" si="10">SUM(F19:F25)</f>
        <v>20246</v>
      </c>
      <c r="G26" s="321">
        <f t="shared" si="10"/>
        <v>23658</v>
      </c>
      <c r="H26" s="321">
        <f t="shared" si="10"/>
        <v>44494</v>
      </c>
      <c r="I26" s="321">
        <f t="shared" si="10"/>
        <v>75348</v>
      </c>
      <c r="J26" s="321">
        <f t="shared" si="10"/>
        <v>81158</v>
      </c>
      <c r="K26" s="321">
        <f t="shared" si="10"/>
        <v>70157</v>
      </c>
      <c r="L26" s="340">
        <f t="shared" ref="L26:U26" si="11">SUM(L19:L25)</f>
        <v>60552</v>
      </c>
      <c r="M26" s="321">
        <f t="shared" si="11"/>
        <v>81883</v>
      </c>
      <c r="N26" s="321">
        <f t="shared" si="11"/>
        <v>89827</v>
      </c>
      <c r="O26" s="321">
        <f t="shared" si="11"/>
        <v>75810</v>
      </c>
      <c r="P26" s="321">
        <f t="shared" si="11"/>
        <v>62497</v>
      </c>
      <c r="Q26" s="340">
        <f t="shared" ref="Q26:R26" si="12">SUM(Q19:Q25)</f>
        <v>74856</v>
      </c>
      <c r="R26" s="321">
        <f t="shared" si="12"/>
        <v>86387</v>
      </c>
      <c r="S26" s="321">
        <f t="shared" ref="S26:T26" si="13">SUM(S19:S25)</f>
        <v>78456</v>
      </c>
      <c r="T26" s="321">
        <f t="shared" si="13"/>
        <v>97868</v>
      </c>
      <c r="U26" s="330">
        <f t="shared" si="11"/>
        <v>934799</v>
      </c>
      <c r="V26" s="330">
        <f t="shared" si="10"/>
        <v>77899.916666666672</v>
      </c>
    </row>
    <row r="27" spans="1:22" x14ac:dyDescent="0.25">
      <c r="A27" s="296"/>
      <c r="B27" s="297"/>
      <c r="C27" s="298"/>
      <c r="D27" s="297"/>
      <c r="E27" s="298"/>
      <c r="F27" s="322"/>
      <c r="G27" s="322"/>
      <c r="H27" s="322"/>
      <c r="I27" s="322"/>
      <c r="J27" s="322"/>
      <c r="K27" s="322"/>
      <c r="L27" s="339"/>
      <c r="M27" s="322"/>
      <c r="N27" s="322"/>
      <c r="O27" s="322"/>
      <c r="P27" s="322"/>
      <c r="Q27" s="339"/>
      <c r="R27" s="322"/>
      <c r="S27" s="322"/>
      <c r="T27" s="322"/>
      <c r="U27" s="328"/>
      <c r="V27" s="328"/>
    </row>
    <row r="28" spans="1:22" x14ac:dyDescent="0.25">
      <c r="A28" s="299">
        <v>3</v>
      </c>
      <c r="B28" s="300" t="s">
        <v>399</v>
      </c>
      <c r="C28" s="301" t="s">
        <v>418</v>
      </c>
      <c r="D28" s="309" t="s">
        <v>419</v>
      </c>
      <c r="E28" s="301"/>
      <c r="F28" s="319"/>
      <c r="G28" s="319"/>
      <c r="H28" s="319"/>
      <c r="I28" s="319"/>
      <c r="J28" s="319"/>
      <c r="K28" s="319"/>
      <c r="L28" s="337"/>
      <c r="M28" s="319"/>
      <c r="N28" s="319"/>
      <c r="O28" s="319"/>
      <c r="P28" s="319"/>
      <c r="Q28" s="337"/>
      <c r="R28" s="319"/>
      <c r="S28" s="319"/>
      <c r="T28" s="319"/>
      <c r="U28" s="329"/>
      <c r="V28" s="329"/>
    </row>
    <row r="29" spans="1:22" x14ac:dyDescent="0.25">
      <c r="A29" s="299"/>
      <c r="B29" s="300" t="s">
        <v>402</v>
      </c>
      <c r="C29" s="301" t="s">
        <v>420</v>
      </c>
      <c r="D29" s="300"/>
      <c r="E29" s="301" t="s">
        <v>421</v>
      </c>
      <c r="F29" s="320">
        <v>6236</v>
      </c>
      <c r="G29" s="320">
        <v>7076</v>
      </c>
      <c r="H29" s="320">
        <v>7821</v>
      </c>
      <c r="I29" s="320">
        <v>10233</v>
      </c>
      <c r="J29" s="320">
        <v>8872</v>
      </c>
      <c r="K29" s="320">
        <v>11347</v>
      </c>
      <c r="L29" s="338">
        <v>7537</v>
      </c>
      <c r="M29" s="320">
        <v>4990</v>
      </c>
      <c r="N29" s="320">
        <v>4142</v>
      </c>
      <c r="O29" s="320">
        <v>2651</v>
      </c>
      <c r="P29" s="320">
        <v>5711</v>
      </c>
      <c r="Q29" s="338">
        <v>8498</v>
      </c>
      <c r="R29" s="320">
        <v>6332</v>
      </c>
      <c r="S29" s="320">
        <v>6032</v>
      </c>
      <c r="T29" s="320">
        <v>7579</v>
      </c>
      <c r="U29" s="329">
        <f t="shared" ref="U29:U33" si="14">SUM(I29:T29)</f>
        <v>83924</v>
      </c>
      <c r="V29" s="329">
        <f t="shared" ref="V29:V33" si="15">U29/12</f>
        <v>6993.666666666667</v>
      </c>
    </row>
    <row r="30" spans="1:22" x14ac:dyDescent="0.25">
      <c r="A30" s="299"/>
      <c r="B30" s="300"/>
      <c r="C30" s="301"/>
      <c r="D30" s="300"/>
      <c r="E30" s="301" t="s">
        <v>422</v>
      </c>
      <c r="F30" s="320">
        <v>33789</v>
      </c>
      <c r="G30" s="320">
        <v>46387</v>
      </c>
      <c r="H30" s="320">
        <v>15417</v>
      </c>
      <c r="I30" s="320">
        <v>28652</v>
      </c>
      <c r="J30" s="320">
        <v>21052</v>
      </c>
      <c r="K30" s="320">
        <v>19265</v>
      </c>
      <c r="L30" s="338">
        <v>15356</v>
      </c>
      <c r="M30" s="320">
        <v>18102</v>
      </c>
      <c r="N30" s="320">
        <v>19359</v>
      </c>
      <c r="O30" s="320">
        <v>8428</v>
      </c>
      <c r="P30" s="320">
        <v>7685</v>
      </c>
      <c r="Q30" s="338">
        <v>15051</v>
      </c>
      <c r="R30" s="320">
        <v>15719</v>
      </c>
      <c r="S30" s="320">
        <v>11835</v>
      </c>
      <c r="T30" s="320">
        <v>17999</v>
      </c>
      <c r="U30" s="329">
        <f t="shared" si="14"/>
        <v>198503</v>
      </c>
      <c r="V30" s="329">
        <f t="shared" si="15"/>
        <v>16541.916666666668</v>
      </c>
    </row>
    <row r="31" spans="1:22" x14ac:dyDescent="0.25">
      <c r="A31" s="299"/>
      <c r="B31" s="300"/>
      <c r="C31" s="301"/>
      <c r="D31" s="300"/>
      <c r="E31" s="301" t="s">
        <v>423</v>
      </c>
      <c r="F31" s="320">
        <v>1122</v>
      </c>
      <c r="G31" s="320">
        <v>1057</v>
      </c>
      <c r="H31" s="320">
        <v>926</v>
      </c>
      <c r="I31" s="320">
        <v>1555</v>
      </c>
      <c r="J31" s="320">
        <v>2560</v>
      </c>
      <c r="K31" s="320">
        <v>2585</v>
      </c>
      <c r="L31" s="338">
        <v>1149</v>
      </c>
      <c r="M31" s="320">
        <v>2356</v>
      </c>
      <c r="N31" s="320">
        <v>1428</v>
      </c>
      <c r="O31" s="320">
        <v>719</v>
      </c>
      <c r="P31" s="320">
        <v>330</v>
      </c>
      <c r="Q31" s="338">
        <v>1281</v>
      </c>
      <c r="R31" s="320">
        <v>1306</v>
      </c>
      <c r="S31" s="320">
        <v>995</v>
      </c>
      <c r="T31" s="320">
        <v>2567</v>
      </c>
      <c r="U31" s="329">
        <f t="shared" si="14"/>
        <v>18831</v>
      </c>
      <c r="V31" s="329">
        <f t="shared" si="15"/>
        <v>1569.25</v>
      </c>
    </row>
    <row r="32" spans="1:22" x14ac:dyDescent="0.25">
      <c r="A32" s="302"/>
      <c r="B32" s="303"/>
      <c r="C32" s="304"/>
      <c r="D32" s="303"/>
      <c r="E32" s="304" t="s">
        <v>424</v>
      </c>
      <c r="F32" s="323">
        <v>1122</v>
      </c>
      <c r="G32" s="323">
        <v>2255</v>
      </c>
      <c r="H32" s="323">
        <v>2056</v>
      </c>
      <c r="I32" s="323">
        <v>3598</v>
      </c>
      <c r="J32" s="323">
        <v>2281</v>
      </c>
      <c r="K32" s="323">
        <v>2866</v>
      </c>
      <c r="L32" s="341">
        <v>2420</v>
      </c>
      <c r="M32" s="323">
        <v>1777</v>
      </c>
      <c r="N32" s="323">
        <v>1805</v>
      </c>
      <c r="O32" s="323">
        <v>2545</v>
      </c>
      <c r="P32" s="323">
        <v>1670</v>
      </c>
      <c r="Q32" s="338">
        <v>2005</v>
      </c>
      <c r="R32" s="323">
        <v>2040</v>
      </c>
      <c r="S32" s="320">
        <v>2556</v>
      </c>
      <c r="T32" s="320">
        <v>2242</v>
      </c>
      <c r="U32" s="329">
        <f t="shared" si="14"/>
        <v>27805</v>
      </c>
      <c r="V32" s="329">
        <f t="shared" si="15"/>
        <v>2317.0833333333335</v>
      </c>
    </row>
    <row r="33" spans="1:22" ht="15.75" thickBot="1" x14ac:dyDescent="0.3">
      <c r="A33" s="302"/>
      <c r="B33" s="303"/>
      <c r="C33" s="304"/>
      <c r="D33" s="303"/>
      <c r="E33" s="304" t="s">
        <v>417</v>
      </c>
      <c r="F33" s="323">
        <v>0</v>
      </c>
      <c r="G33" s="323">
        <v>3739</v>
      </c>
      <c r="H33" s="323">
        <v>776</v>
      </c>
      <c r="I33" s="323">
        <v>0</v>
      </c>
      <c r="J33" s="323">
        <v>0</v>
      </c>
      <c r="K33" s="323">
        <v>2486</v>
      </c>
      <c r="L33" s="341">
        <v>770</v>
      </c>
      <c r="M33" s="323">
        <v>600</v>
      </c>
      <c r="N33" s="323">
        <v>600</v>
      </c>
      <c r="O33" s="323">
        <v>0</v>
      </c>
      <c r="P33" s="323">
        <v>0</v>
      </c>
      <c r="Q33" s="338">
        <v>0</v>
      </c>
      <c r="R33" s="323">
        <v>0</v>
      </c>
      <c r="S33" s="320">
        <v>1300</v>
      </c>
      <c r="T33" s="320">
        <v>700</v>
      </c>
      <c r="U33" s="329">
        <f t="shared" si="14"/>
        <v>6456</v>
      </c>
      <c r="V33" s="329">
        <f t="shared" si="15"/>
        <v>538</v>
      </c>
    </row>
    <row r="34" spans="1:22" s="16" customFormat="1" ht="15.75" thickBot="1" x14ac:dyDescent="0.3">
      <c r="A34" s="311"/>
      <c r="B34" s="312"/>
      <c r="C34" s="313"/>
      <c r="D34" s="312"/>
      <c r="E34" s="313"/>
      <c r="F34" s="324">
        <f>SUM(F29:F33)</f>
        <v>42269</v>
      </c>
      <c r="G34" s="324">
        <f t="shared" ref="G34:I34" si="16">SUM(G29:G33)</f>
        <v>60514</v>
      </c>
      <c r="H34" s="324">
        <f t="shared" ref="H34" si="17">SUM(H29:H33)</f>
        <v>26996</v>
      </c>
      <c r="I34" s="324">
        <f t="shared" si="16"/>
        <v>44038</v>
      </c>
      <c r="J34" s="324">
        <f t="shared" ref="J34:K34" si="18">SUM(J29:J33)</f>
        <v>34765</v>
      </c>
      <c r="K34" s="324">
        <f t="shared" si="18"/>
        <v>38549</v>
      </c>
      <c r="L34" s="342">
        <f t="shared" ref="L34:U34" si="19">SUM(L29:L33)</f>
        <v>27232</v>
      </c>
      <c r="M34" s="324">
        <f t="shared" si="19"/>
        <v>27825</v>
      </c>
      <c r="N34" s="324">
        <f t="shared" si="19"/>
        <v>27334</v>
      </c>
      <c r="O34" s="324">
        <f t="shared" si="19"/>
        <v>14343</v>
      </c>
      <c r="P34" s="324">
        <f t="shared" ref="P34:Q34" si="20">SUM(P29:P33)</f>
        <v>15396</v>
      </c>
      <c r="Q34" s="342">
        <f t="shared" si="20"/>
        <v>26835</v>
      </c>
      <c r="R34" s="324">
        <f t="shared" ref="R34:S34" si="21">SUM(R29:R33)</f>
        <v>25397</v>
      </c>
      <c r="S34" s="324">
        <f t="shared" si="21"/>
        <v>22718</v>
      </c>
      <c r="T34" s="324">
        <f>SUM(T29:T33)</f>
        <v>31087</v>
      </c>
      <c r="U34" s="330">
        <f t="shared" si="19"/>
        <v>335519</v>
      </c>
      <c r="V34" s="330">
        <f>SUM(V29:V33)</f>
        <v>27959.916666666668</v>
      </c>
    </row>
    <row r="35" spans="1:22" x14ac:dyDescent="0.25">
      <c r="A35" s="296"/>
      <c r="B35" s="297"/>
      <c r="C35" s="298"/>
      <c r="D35" s="297"/>
      <c r="E35" s="298"/>
      <c r="F35" s="318"/>
      <c r="G35" s="318"/>
      <c r="H35" s="318"/>
      <c r="I35" s="318"/>
      <c r="J35" s="318"/>
      <c r="K35" s="318"/>
      <c r="L35" s="336"/>
      <c r="M35" s="318"/>
      <c r="N35" s="318"/>
      <c r="O35" s="318"/>
      <c r="P35" s="318"/>
      <c r="Q35" s="336"/>
      <c r="R35" s="318"/>
      <c r="S35" s="318"/>
      <c r="T35" s="318"/>
      <c r="U35" s="328"/>
      <c r="V35" s="328"/>
    </row>
    <row r="36" spans="1:22" x14ac:dyDescent="0.25">
      <c r="A36" s="299">
        <v>4</v>
      </c>
      <c r="B36" s="300" t="s">
        <v>399</v>
      </c>
      <c r="C36" s="301" t="s">
        <v>425</v>
      </c>
      <c r="D36" s="309" t="s">
        <v>426</v>
      </c>
      <c r="E36" s="301"/>
      <c r="F36" s="319"/>
      <c r="G36" s="319"/>
      <c r="H36" s="319"/>
      <c r="I36" s="319"/>
      <c r="J36" s="319"/>
      <c r="K36" s="319"/>
      <c r="L36" s="337"/>
      <c r="M36" s="319"/>
      <c r="N36" s="319"/>
      <c r="O36" s="319"/>
      <c r="P36" s="319"/>
      <c r="Q36" s="337"/>
      <c r="R36" s="319"/>
      <c r="S36" s="319"/>
      <c r="T36" s="319"/>
      <c r="U36" s="329"/>
      <c r="V36" s="329"/>
    </row>
    <row r="37" spans="1:22" x14ac:dyDescent="0.25">
      <c r="A37" s="299"/>
      <c r="B37" s="300" t="s">
        <v>402</v>
      </c>
      <c r="C37" s="301" t="s">
        <v>427</v>
      </c>
      <c r="D37" s="300"/>
      <c r="E37" s="301" t="s">
        <v>428</v>
      </c>
      <c r="F37" s="320">
        <v>27144</v>
      </c>
      <c r="G37" s="320">
        <v>19671</v>
      </c>
      <c r="H37" s="320">
        <v>24141</v>
      </c>
      <c r="I37" s="320">
        <v>21285</v>
      </c>
      <c r="J37" s="320">
        <v>26310</v>
      </c>
      <c r="K37" s="320">
        <v>29313</v>
      </c>
      <c r="L37" s="338">
        <v>22005</v>
      </c>
      <c r="M37" s="320">
        <v>16735</v>
      </c>
      <c r="N37" s="320">
        <v>22409</v>
      </c>
      <c r="O37" s="320">
        <v>14826</v>
      </c>
      <c r="P37" s="320">
        <v>17756</v>
      </c>
      <c r="Q37" s="338">
        <v>22500</v>
      </c>
      <c r="R37" s="320">
        <v>20032</v>
      </c>
      <c r="S37" s="320">
        <v>27799</v>
      </c>
      <c r="T37" s="320">
        <v>25125</v>
      </c>
      <c r="U37" s="329">
        <f t="shared" ref="U37:U44" si="22">SUM(I37:T37)</f>
        <v>266095</v>
      </c>
      <c r="V37" s="329">
        <f t="shared" ref="V37:V44" si="23">U37/12</f>
        <v>22174.583333333332</v>
      </c>
    </row>
    <row r="38" spans="1:22" x14ac:dyDescent="0.25">
      <c r="A38" s="299"/>
      <c r="B38" s="300"/>
      <c r="C38" s="301" t="s">
        <v>429</v>
      </c>
      <c r="D38" s="300"/>
      <c r="E38" s="301" t="s">
        <v>430</v>
      </c>
      <c r="F38" s="320">
        <v>43711</v>
      </c>
      <c r="G38" s="320">
        <v>42940</v>
      </c>
      <c r="H38" s="320">
        <v>24094</v>
      </c>
      <c r="I38" s="320">
        <v>37565</v>
      </c>
      <c r="J38" s="320">
        <v>26985</v>
      </c>
      <c r="K38" s="320">
        <v>23445</v>
      </c>
      <c r="L38" s="338">
        <v>21112</v>
      </c>
      <c r="M38" s="320">
        <v>20773</v>
      </c>
      <c r="N38" s="320">
        <v>28412</v>
      </c>
      <c r="O38" s="320">
        <v>24450</v>
      </c>
      <c r="P38" s="320">
        <v>30667</v>
      </c>
      <c r="Q38" s="338">
        <v>34145</v>
      </c>
      <c r="R38" s="320">
        <v>30759</v>
      </c>
      <c r="S38" s="320">
        <v>32967</v>
      </c>
      <c r="T38" s="320">
        <v>33477</v>
      </c>
      <c r="U38" s="329">
        <f t="shared" si="22"/>
        <v>344757</v>
      </c>
      <c r="V38" s="329">
        <f t="shared" si="23"/>
        <v>28729.75</v>
      </c>
    </row>
    <row r="39" spans="1:22" x14ac:dyDescent="0.25">
      <c r="A39" s="299"/>
      <c r="B39" s="300"/>
      <c r="C39" s="301" t="s">
        <v>431</v>
      </c>
      <c r="D39" s="300"/>
      <c r="E39" s="301" t="s">
        <v>432</v>
      </c>
      <c r="F39" s="320">
        <v>0</v>
      </c>
      <c r="G39" s="320">
        <v>133</v>
      </c>
      <c r="H39" s="320">
        <v>9443</v>
      </c>
      <c r="I39" s="320">
        <v>15005</v>
      </c>
      <c r="J39" s="320">
        <v>7902</v>
      </c>
      <c r="K39" s="320">
        <v>7981</v>
      </c>
      <c r="L39" s="338">
        <v>10465</v>
      </c>
      <c r="M39" s="320">
        <v>5755</v>
      </c>
      <c r="N39" s="320">
        <v>12771</v>
      </c>
      <c r="O39" s="320">
        <v>8341</v>
      </c>
      <c r="P39" s="320">
        <v>8667</v>
      </c>
      <c r="Q39" s="338">
        <v>10383</v>
      </c>
      <c r="R39" s="320">
        <v>13194</v>
      </c>
      <c r="S39" s="320">
        <v>19034</v>
      </c>
      <c r="T39" s="320">
        <v>14594</v>
      </c>
      <c r="U39" s="329">
        <f t="shared" si="22"/>
        <v>134092</v>
      </c>
      <c r="V39" s="329">
        <f t="shared" si="23"/>
        <v>11174.333333333334</v>
      </c>
    </row>
    <row r="40" spans="1:22" x14ac:dyDescent="0.25">
      <c r="A40" s="299"/>
      <c r="B40" s="300"/>
      <c r="C40" s="301"/>
      <c r="D40" s="300"/>
      <c r="E40" s="301" t="s">
        <v>343</v>
      </c>
      <c r="F40" s="320">
        <v>0</v>
      </c>
      <c r="G40" s="320">
        <v>2183</v>
      </c>
      <c r="H40" s="320">
        <v>339</v>
      </c>
      <c r="I40" s="320">
        <v>0</v>
      </c>
      <c r="J40" s="320">
        <v>0</v>
      </c>
      <c r="K40" s="320">
        <v>0</v>
      </c>
      <c r="L40" s="338">
        <v>0</v>
      </c>
      <c r="M40" s="320">
        <v>0</v>
      </c>
      <c r="N40" s="320">
        <v>0</v>
      </c>
      <c r="O40" s="320">
        <v>0</v>
      </c>
      <c r="P40" s="320">
        <v>0</v>
      </c>
      <c r="Q40" s="338">
        <v>0</v>
      </c>
      <c r="R40" s="320">
        <v>0</v>
      </c>
      <c r="S40" s="320">
        <v>0</v>
      </c>
      <c r="T40" s="320">
        <v>130</v>
      </c>
      <c r="U40" s="329">
        <f t="shared" si="22"/>
        <v>130</v>
      </c>
      <c r="V40" s="329">
        <f t="shared" si="23"/>
        <v>10.833333333333334</v>
      </c>
    </row>
    <row r="41" spans="1:22" x14ac:dyDescent="0.25">
      <c r="A41" s="299"/>
      <c r="B41" s="300"/>
      <c r="C41" s="301"/>
      <c r="D41" s="300"/>
      <c r="E41" s="301" t="s">
        <v>433</v>
      </c>
      <c r="F41" s="320">
        <v>0</v>
      </c>
      <c r="G41" s="320">
        <v>1125</v>
      </c>
      <c r="H41" s="320">
        <v>13201</v>
      </c>
      <c r="I41" s="320">
        <v>18070</v>
      </c>
      <c r="J41" s="320">
        <v>9848</v>
      </c>
      <c r="K41" s="320">
        <v>24446</v>
      </c>
      <c r="L41" s="338">
        <v>14203</v>
      </c>
      <c r="M41" s="320">
        <v>13339</v>
      </c>
      <c r="N41" s="320">
        <v>12588</v>
      </c>
      <c r="O41" s="320">
        <v>10570</v>
      </c>
      <c r="P41" s="320">
        <v>20585</v>
      </c>
      <c r="Q41" s="338">
        <v>15051</v>
      </c>
      <c r="R41" s="320">
        <v>15956</v>
      </c>
      <c r="S41" s="320">
        <v>14185</v>
      </c>
      <c r="T41" s="320">
        <v>13347</v>
      </c>
      <c r="U41" s="329">
        <f t="shared" si="22"/>
        <v>182188</v>
      </c>
      <c r="V41" s="329">
        <f t="shared" si="23"/>
        <v>15182.333333333334</v>
      </c>
    </row>
    <row r="42" spans="1:22" x14ac:dyDescent="0.25">
      <c r="A42" s="299"/>
      <c r="B42" s="300"/>
      <c r="C42" s="301"/>
      <c r="D42" s="300"/>
      <c r="E42" s="301" t="s">
        <v>434</v>
      </c>
      <c r="F42" s="320">
        <v>0</v>
      </c>
      <c r="G42" s="320">
        <v>0</v>
      </c>
      <c r="H42" s="320">
        <v>0</v>
      </c>
      <c r="I42" s="320">
        <v>0</v>
      </c>
      <c r="J42" s="320">
        <v>0</v>
      </c>
      <c r="K42" s="320">
        <v>0</v>
      </c>
      <c r="L42" s="338">
        <v>0</v>
      </c>
      <c r="M42" s="320">
        <v>0</v>
      </c>
      <c r="N42" s="320">
        <v>0</v>
      </c>
      <c r="O42" s="320">
        <v>0</v>
      </c>
      <c r="P42" s="320">
        <v>0</v>
      </c>
      <c r="Q42" s="338">
        <v>0</v>
      </c>
      <c r="R42" s="320">
        <v>0</v>
      </c>
      <c r="S42" s="320">
        <v>0</v>
      </c>
      <c r="T42" s="320">
        <v>0</v>
      </c>
      <c r="U42" s="329">
        <f t="shared" si="22"/>
        <v>0</v>
      </c>
      <c r="V42" s="329">
        <f t="shared" si="23"/>
        <v>0</v>
      </c>
    </row>
    <row r="43" spans="1:22" x14ac:dyDescent="0.25">
      <c r="A43" s="299"/>
      <c r="B43" s="300"/>
      <c r="C43" s="301"/>
      <c r="D43" s="300"/>
      <c r="E43" s="301" t="s">
        <v>435</v>
      </c>
      <c r="F43" s="320">
        <v>11478</v>
      </c>
      <c r="G43" s="320">
        <v>12392</v>
      </c>
      <c r="H43" s="320">
        <v>8003</v>
      </c>
      <c r="I43" s="320">
        <v>11720</v>
      </c>
      <c r="J43" s="320">
        <v>3555</v>
      </c>
      <c r="K43" s="320">
        <v>3775</v>
      </c>
      <c r="L43" s="338">
        <v>3490</v>
      </c>
      <c r="M43" s="320">
        <v>5370</v>
      </c>
      <c r="N43" s="320">
        <v>7248</v>
      </c>
      <c r="O43" s="320">
        <v>3195</v>
      </c>
      <c r="P43" s="320">
        <v>2760</v>
      </c>
      <c r="Q43" s="338">
        <v>4140</v>
      </c>
      <c r="R43" s="320">
        <v>4190</v>
      </c>
      <c r="S43" s="320">
        <v>6113</v>
      </c>
      <c r="T43" s="320">
        <v>3147</v>
      </c>
      <c r="U43" s="329">
        <f t="shared" si="22"/>
        <v>58703</v>
      </c>
      <c r="V43" s="329">
        <f>U43/12</f>
        <v>4891.916666666667</v>
      </c>
    </row>
    <row r="44" spans="1:22" ht="15.75" thickBot="1" x14ac:dyDescent="0.3">
      <c r="A44" s="302"/>
      <c r="B44" s="303"/>
      <c r="C44" s="304"/>
      <c r="D44" s="303"/>
      <c r="E44" s="304" t="s">
        <v>436</v>
      </c>
      <c r="F44" s="323">
        <v>0</v>
      </c>
      <c r="G44" s="323">
        <v>0</v>
      </c>
      <c r="H44" s="323">
        <v>166</v>
      </c>
      <c r="I44" s="323">
        <v>0</v>
      </c>
      <c r="J44" s="323">
        <v>0</v>
      </c>
      <c r="K44" s="323">
        <v>0</v>
      </c>
      <c r="L44" s="341">
        <v>0</v>
      </c>
      <c r="M44" s="323">
        <v>0</v>
      </c>
      <c r="N44" s="323">
        <v>0</v>
      </c>
      <c r="O44" s="323">
        <v>0</v>
      </c>
      <c r="P44" s="323"/>
      <c r="Q44" s="338">
        <v>0</v>
      </c>
      <c r="R44" s="323">
        <v>0</v>
      </c>
      <c r="S44" s="320">
        <v>0</v>
      </c>
      <c r="T44" s="320">
        <v>0</v>
      </c>
      <c r="U44" s="329">
        <f t="shared" si="22"/>
        <v>0</v>
      </c>
      <c r="V44" s="329">
        <f t="shared" si="23"/>
        <v>0</v>
      </c>
    </row>
    <row r="45" spans="1:22" s="16" customFormat="1" ht="15.75" thickBot="1" x14ac:dyDescent="0.3">
      <c r="A45" s="311"/>
      <c r="B45" s="312"/>
      <c r="C45" s="313"/>
      <c r="D45" s="312"/>
      <c r="E45" s="313"/>
      <c r="F45" s="321">
        <f t="shared" ref="F45:K45" si="24">SUM(F37:F44)</f>
        <v>82333</v>
      </c>
      <c r="G45" s="321">
        <f t="shared" si="24"/>
        <v>78444</v>
      </c>
      <c r="H45" s="321">
        <f t="shared" si="24"/>
        <v>79387</v>
      </c>
      <c r="I45" s="321">
        <f t="shared" si="24"/>
        <v>103645</v>
      </c>
      <c r="J45" s="321">
        <f t="shared" si="24"/>
        <v>74600</v>
      </c>
      <c r="K45" s="321">
        <f t="shared" si="24"/>
        <v>88960</v>
      </c>
      <c r="L45" s="340">
        <f t="shared" ref="L45:U45" si="25">SUM(L37:L44)</f>
        <v>71275</v>
      </c>
      <c r="M45" s="321">
        <f t="shared" si="25"/>
        <v>61972</v>
      </c>
      <c r="N45" s="321">
        <f t="shared" si="25"/>
        <v>83428</v>
      </c>
      <c r="O45" s="321">
        <f t="shared" si="25"/>
        <v>61382</v>
      </c>
      <c r="P45" s="321">
        <f t="shared" si="25"/>
        <v>80435</v>
      </c>
      <c r="Q45" s="340">
        <f t="shared" ref="Q45:R45" si="26">SUM(Q37:Q44)</f>
        <v>86219</v>
      </c>
      <c r="R45" s="321">
        <f t="shared" si="26"/>
        <v>84131</v>
      </c>
      <c r="S45" s="321">
        <f t="shared" ref="S45" si="27">SUM(S37:S44)</f>
        <v>100098</v>
      </c>
      <c r="T45" s="321">
        <f>SUM(T37:T44)</f>
        <v>89820</v>
      </c>
      <c r="U45" s="331">
        <f t="shared" si="25"/>
        <v>985965</v>
      </c>
      <c r="V45" s="331">
        <f t="shared" ref="V45" si="28">SUM(V37:V44)</f>
        <v>82163.75</v>
      </c>
    </row>
    <row r="46" spans="1:22" s="16" customFormat="1" ht="15.75" thickBot="1" x14ac:dyDescent="0.3">
      <c r="A46" s="314"/>
      <c r="B46" s="333"/>
      <c r="C46" s="334"/>
      <c r="D46" s="333"/>
      <c r="E46" s="334"/>
      <c r="F46" s="335">
        <f t="shared" ref="F46:V46" si="29">F16+F26+F34+F45</f>
        <v>185782</v>
      </c>
      <c r="G46" s="335">
        <f t="shared" si="29"/>
        <v>198470</v>
      </c>
      <c r="H46" s="335">
        <f t="shared" si="29"/>
        <v>194170</v>
      </c>
      <c r="I46" s="335">
        <f t="shared" si="29"/>
        <v>288886</v>
      </c>
      <c r="J46" s="335">
        <f t="shared" si="29"/>
        <v>247888</v>
      </c>
      <c r="K46" s="335">
        <f t="shared" ref="K46:U46" si="30">K16+K26+K34+K45</f>
        <v>252577</v>
      </c>
      <c r="L46" s="346">
        <f t="shared" si="30"/>
        <v>201563</v>
      </c>
      <c r="M46" s="335">
        <f t="shared" si="30"/>
        <v>217100</v>
      </c>
      <c r="N46" s="335">
        <f t="shared" si="30"/>
        <v>252342</v>
      </c>
      <c r="O46" s="335">
        <f t="shared" si="30"/>
        <v>188664</v>
      </c>
      <c r="P46" s="335">
        <f t="shared" ref="P46:R46" si="31">P16+P26+P34+P45</f>
        <v>199151</v>
      </c>
      <c r="Q46" s="349">
        <f>Q16+Q26+Q34+Q45</f>
        <v>236600</v>
      </c>
      <c r="R46" s="335">
        <f t="shared" si="31"/>
        <v>257501</v>
      </c>
      <c r="S46" s="335">
        <f t="shared" ref="S46" si="32">S16+S26+S34+S45</f>
        <v>252290</v>
      </c>
      <c r="T46" s="335">
        <f>T16+T26+T34+T45</f>
        <v>282402</v>
      </c>
      <c r="U46" s="346">
        <f t="shared" si="30"/>
        <v>2876964</v>
      </c>
      <c r="V46" s="327">
        <f t="shared" si="29"/>
        <v>239747</v>
      </c>
    </row>
    <row r="47" spans="1:22" x14ac:dyDescent="0.25">
      <c r="A47" s="296"/>
      <c r="B47" s="297"/>
      <c r="C47" s="298"/>
      <c r="D47" s="297"/>
      <c r="E47" s="298"/>
      <c r="F47" s="318"/>
      <c r="G47" s="318"/>
      <c r="H47" s="318"/>
      <c r="I47" s="318"/>
      <c r="J47" s="318"/>
      <c r="K47" s="318"/>
      <c r="L47" s="336"/>
      <c r="M47" s="318"/>
      <c r="N47" s="318"/>
      <c r="O47" s="318"/>
      <c r="P47" s="318"/>
      <c r="Q47" s="336"/>
      <c r="R47" s="318"/>
      <c r="S47" s="318"/>
      <c r="T47" s="318"/>
      <c r="U47" s="328"/>
      <c r="V47" s="328"/>
    </row>
    <row r="48" spans="1:22" x14ac:dyDescent="0.25">
      <c r="A48" s="299">
        <v>6</v>
      </c>
      <c r="B48" s="300" t="s">
        <v>399</v>
      </c>
      <c r="C48" s="301" t="s">
        <v>438</v>
      </c>
      <c r="D48" s="309" t="s">
        <v>439</v>
      </c>
      <c r="E48" s="301"/>
      <c r="F48" s="319"/>
      <c r="G48" s="319"/>
      <c r="H48" s="319"/>
      <c r="I48" s="319"/>
      <c r="J48" s="319"/>
      <c r="K48" s="319"/>
      <c r="L48" s="337"/>
      <c r="M48" s="319"/>
      <c r="N48" s="319"/>
      <c r="O48" s="319"/>
      <c r="P48" s="319"/>
      <c r="Q48" s="337"/>
      <c r="R48" s="319"/>
      <c r="S48" s="319"/>
      <c r="T48" s="319"/>
      <c r="U48" s="329"/>
      <c r="V48" s="329"/>
    </row>
    <row r="49" spans="1:23" x14ac:dyDescent="0.25">
      <c r="A49" s="299"/>
      <c r="B49" s="300"/>
      <c r="C49" s="301" t="s">
        <v>487</v>
      </c>
      <c r="D49" s="300"/>
      <c r="E49" s="301" t="s">
        <v>440</v>
      </c>
      <c r="F49" s="320">
        <v>731</v>
      </c>
      <c r="G49" s="320">
        <v>425</v>
      </c>
      <c r="H49" s="320">
        <v>499</v>
      </c>
      <c r="I49" s="320">
        <v>307</v>
      </c>
      <c r="J49" s="320">
        <v>220</v>
      </c>
      <c r="K49" s="320">
        <v>655</v>
      </c>
      <c r="L49" s="338">
        <v>337</v>
      </c>
      <c r="M49" s="320">
        <v>690</v>
      </c>
      <c r="N49" s="320">
        <v>710</v>
      </c>
      <c r="O49" s="320">
        <v>295</v>
      </c>
      <c r="P49" s="320">
        <v>455</v>
      </c>
      <c r="Q49" s="338">
        <v>280</v>
      </c>
      <c r="R49" s="320">
        <v>835</v>
      </c>
      <c r="S49" s="320">
        <v>400</v>
      </c>
      <c r="T49" s="320">
        <v>150</v>
      </c>
      <c r="U49" s="329">
        <f t="shared" ref="U49:U52" si="33">SUM(I49:T49)</f>
        <v>5334</v>
      </c>
      <c r="V49" s="329">
        <f t="shared" ref="V49:V52" si="34">U49/12</f>
        <v>444.5</v>
      </c>
    </row>
    <row r="50" spans="1:23" x14ac:dyDescent="0.25">
      <c r="A50" s="299"/>
      <c r="B50" s="300"/>
      <c r="C50" s="301"/>
      <c r="D50" s="300"/>
      <c r="E50" s="301" t="s">
        <v>441</v>
      </c>
      <c r="F50" s="320">
        <v>17861</v>
      </c>
      <c r="G50" s="320">
        <v>17056</v>
      </c>
      <c r="H50" s="320">
        <v>16980</v>
      </c>
      <c r="I50" s="320">
        <v>17073</v>
      </c>
      <c r="J50" s="320">
        <v>13340</v>
      </c>
      <c r="K50" s="320">
        <v>20023</v>
      </c>
      <c r="L50" s="338">
        <v>11284</v>
      </c>
      <c r="M50" s="320">
        <v>11120</v>
      </c>
      <c r="N50" s="320">
        <v>16472</v>
      </c>
      <c r="O50" s="320">
        <v>8690</v>
      </c>
      <c r="P50" s="320">
        <v>11369</v>
      </c>
      <c r="Q50" s="338">
        <v>32743</v>
      </c>
      <c r="R50" s="320">
        <v>25679</v>
      </c>
      <c r="S50" s="320">
        <v>33479</v>
      </c>
      <c r="T50" s="320">
        <v>8249</v>
      </c>
      <c r="U50" s="329">
        <f t="shared" si="33"/>
        <v>209521</v>
      </c>
      <c r="V50" s="329">
        <f t="shared" si="34"/>
        <v>17460.083333333332</v>
      </c>
    </row>
    <row r="51" spans="1:23" x14ac:dyDescent="0.25">
      <c r="A51" s="299"/>
      <c r="B51" s="300"/>
      <c r="C51" s="301"/>
      <c r="D51" s="300"/>
      <c r="E51" s="301" t="s">
        <v>442</v>
      </c>
      <c r="F51" s="320">
        <v>7714</v>
      </c>
      <c r="G51" s="320">
        <v>8012</v>
      </c>
      <c r="H51" s="320">
        <v>7765</v>
      </c>
      <c r="I51" s="320">
        <v>11870</v>
      </c>
      <c r="J51" s="320">
        <v>10675</v>
      </c>
      <c r="K51" s="320">
        <v>11735</v>
      </c>
      <c r="L51" s="338">
        <v>10229</v>
      </c>
      <c r="M51" s="320">
        <v>9237</v>
      </c>
      <c r="N51" s="320">
        <v>12756</v>
      </c>
      <c r="O51" s="320">
        <v>9000</v>
      </c>
      <c r="P51" s="320">
        <v>7586</v>
      </c>
      <c r="Q51" s="338">
        <v>9183</v>
      </c>
      <c r="R51" s="320">
        <v>18632</v>
      </c>
      <c r="S51" s="320">
        <v>12463</v>
      </c>
      <c r="T51" s="320">
        <v>7218</v>
      </c>
      <c r="U51" s="329">
        <f>SUM(I51:T51)</f>
        <v>130584</v>
      </c>
      <c r="V51" s="329">
        <f t="shared" si="34"/>
        <v>10882</v>
      </c>
    </row>
    <row r="52" spans="1:23" ht="15.75" thickBot="1" x14ac:dyDescent="0.3">
      <c r="A52" s="302"/>
      <c r="B52" s="303"/>
      <c r="C52" s="304"/>
      <c r="D52" s="303"/>
      <c r="E52" s="304" t="s">
        <v>443</v>
      </c>
      <c r="F52" s="323">
        <v>2339</v>
      </c>
      <c r="G52" s="323">
        <v>2105</v>
      </c>
      <c r="H52" s="323">
        <v>3053</v>
      </c>
      <c r="I52" s="323">
        <v>6071</v>
      </c>
      <c r="J52" s="323">
        <v>3822</v>
      </c>
      <c r="K52" s="323">
        <v>6847</v>
      </c>
      <c r="L52" s="341">
        <v>6981</v>
      </c>
      <c r="M52" s="323">
        <v>3548</v>
      </c>
      <c r="N52" s="323">
        <v>8795</v>
      </c>
      <c r="O52" s="323">
        <v>4144</v>
      </c>
      <c r="P52" s="323">
        <v>6827</v>
      </c>
      <c r="Q52" s="338">
        <v>8832</v>
      </c>
      <c r="R52" s="323">
        <v>10247</v>
      </c>
      <c r="S52" s="320">
        <v>10290</v>
      </c>
      <c r="T52" s="320">
        <v>1634</v>
      </c>
      <c r="U52" s="329">
        <f t="shared" si="33"/>
        <v>78038</v>
      </c>
      <c r="V52" s="329">
        <f t="shared" si="34"/>
        <v>6503.166666666667</v>
      </c>
    </row>
    <row r="53" spans="1:23" s="16" customFormat="1" ht="15.75" thickBot="1" x14ac:dyDescent="0.3">
      <c r="A53" s="311"/>
      <c r="B53" s="312"/>
      <c r="C53" s="313"/>
      <c r="D53" s="312"/>
      <c r="E53" s="313"/>
      <c r="F53" s="321">
        <f>SUM(F49:F52)</f>
        <v>28645</v>
      </c>
      <c r="G53" s="321">
        <f t="shared" ref="G53:I53" si="35">SUM(G49:G52)</f>
        <v>27598</v>
      </c>
      <c r="H53" s="321">
        <f t="shared" ref="H53" si="36">SUM(H49:H52)</f>
        <v>28297</v>
      </c>
      <c r="I53" s="321">
        <f t="shared" si="35"/>
        <v>35321</v>
      </c>
      <c r="J53" s="321">
        <f t="shared" ref="J53:K53" si="37">SUM(J49:J52)</f>
        <v>28057</v>
      </c>
      <c r="K53" s="321">
        <f t="shared" si="37"/>
        <v>39260</v>
      </c>
      <c r="L53" s="340">
        <f t="shared" ref="L53:V53" si="38">SUM(L49:L52)</f>
        <v>28831</v>
      </c>
      <c r="M53" s="321">
        <f t="shared" si="38"/>
        <v>24595</v>
      </c>
      <c r="N53" s="321">
        <f t="shared" si="38"/>
        <v>38733</v>
      </c>
      <c r="O53" s="321">
        <f t="shared" si="38"/>
        <v>22129</v>
      </c>
      <c r="P53" s="321">
        <f t="shared" ref="P53:Q53" si="39">SUM(P49:P52)</f>
        <v>26237</v>
      </c>
      <c r="Q53" s="340">
        <f t="shared" si="39"/>
        <v>51038</v>
      </c>
      <c r="R53" s="321">
        <f t="shared" ref="R53:S53" si="40">SUM(R49:R52)</f>
        <v>55393</v>
      </c>
      <c r="S53" s="321">
        <f t="shared" si="40"/>
        <v>56632</v>
      </c>
      <c r="T53" s="321">
        <f t="shared" ref="T53" si="41">SUM(T49:T52)</f>
        <v>17251</v>
      </c>
      <c r="U53" s="330">
        <f t="shared" si="38"/>
        <v>423477</v>
      </c>
      <c r="V53" s="330">
        <f t="shared" si="38"/>
        <v>35289.75</v>
      </c>
    </row>
    <row r="54" spans="1:23" x14ac:dyDescent="0.25">
      <c r="A54" s="296"/>
      <c r="B54" s="297"/>
      <c r="C54" s="298"/>
      <c r="D54" s="297"/>
      <c r="E54" s="298"/>
      <c r="F54" s="318"/>
      <c r="G54" s="318"/>
      <c r="H54" s="318"/>
      <c r="I54" s="318"/>
      <c r="J54" s="318"/>
      <c r="K54" s="318"/>
      <c r="L54" s="336"/>
      <c r="M54" s="318"/>
      <c r="N54" s="318"/>
      <c r="O54" s="318"/>
      <c r="P54" s="318"/>
      <c r="Q54" s="336"/>
      <c r="R54" s="318"/>
      <c r="S54" s="318"/>
      <c r="T54" s="318"/>
      <c r="U54" s="328"/>
      <c r="V54" s="328"/>
    </row>
    <row r="55" spans="1:23" x14ac:dyDescent="0.25">
      <c r="A55" s="299">
        <v>7</v>
      </c>
      <c r="B55" s="300" t="s">
        <v>399</v>
      </c>
      <c r="C55" s="301" t="s">
        <v>444</v>
      </c>
      <c r="D55" s="309" t="s">
        <v>439</v>
      </c>
      <c r="E55" s="301"/>
      <c r="F55" s="319"/>
      <c r="G55" s="319"/>
      <c r="H55" s="319"/>
      <c r="I55" s="319"/>
      <c r="J55" s="319"/>
      <c r="K55" s="319"/>
      <c r="L55" s="337"/>
      <c r="M55" s="319"/>
      <c r="N55" s="319"/>
      <c r="O55" s="319"/>
      <c r="P55" s="319"/>
      <c r="Q55" s="337"/>
      <c r="R55" s="319"/>
      <c r="S55" s="319"/>
      <c r="T55" s="319"/>
      <c r="U55" s="329"/>
      <c r="V55" s="329"/>
    </row>
    <row r="56" spans="1:23" x14ac:dyDescent="0.25">
      <c r="A56" s="299"/>
      <c r="B56" s="300"/>
      <c r="C56" s="301" t="s">
        <v>466</v>
      </c>
      <c r="D56" s="300"/>
      <c r="E56" s="301" t="s">
        <v>445</v>
      </c>
      <c r="F56" s="320">
        <v>1742</v>
      </c>
      <c r="G56" s="320">
        <v>2708</v>
      </c>
      <c r="H56" s="320">
        <v>5520</v>
      </c>
      <c r="I56" s="320">
        <v>13799</v>
      </c>
      <c r="J56" s="320">
        <v>13914</v>
      </c>
      <c r="K56" s="320">
        <v>19728</v>
      </c>
      <c r="L56" s="338">
        <v>9302</v>
      </c>
      <c r="M56" s="320">
        <v>5670</v>
      </c>
      <c r="N56" s="320">
        <v>5076</v>
      </c>
      <c r="O56" s="320">
        <v>5258</v>
      </c>
      <c r="P56" s="320">
        <v>11434</v>
      </c>
      <c r="Q56" s="338">
        <v>8885</v>
      </c>
      <c r="R56" s="320">
        <v>14128</v>
      </c>
      <c r="S56" s="320">
        <v>20320</v>
      </c>
      <c r="T56" s="320">
        <v>23283</v>
      </c>
      <c r="U56" s="329">
        <f t="shared" ref="U56:U59" si="42">SUM(I56:T56)</f>
        <v>150797</v>
      </c>
      <c r="V56" s="329">
        <f t="shared" ref="V56:V59" si="43">U56/12</f>
        <v>12566.416666666666</v>
      </c>
    </row>
    <row r="57" spans="1:23" x14ac:dyDescent="0.25">
      <c r="A57" s="299"/>
      <c r="B57" s="300"/>
      <c r="C57" s="301"/>
      <c r="D57" s="300"/>
      <c r="E57" s="301" t="s">
        <v>446</v>
      </c>
      <c r="F57" s="320">
        <v>682</v>
      </c>
      <c r="G57" s="320">
        <v>2450</v>
      </c>
      <c r="H57" s="320">
        <v>9924</v>
      </c>
      <c r="I57" s="320">
        <v>21558</v>
      </c>
      <c r="J57" s="320">
        <v>23770</v>
      </c>
      <c r="K57" s="320">
        <v>27686</v>
      </c>
      <c r="L57" s="338">
        <v>20248</v>
      </c>
      <c r="M57" s="320">
        <v>14995</v>
      </c>
      <c r="N57" s="320">
        <v>17995</v>
      </c>
      <c r="O57" s="320">
        <v>22477</v>
      </c>
      <c r="P57" s="320">
        <v>18255</v>
      </c>
      <c r="Q57" s="338">
        <v>17859</v>
      </c>
      <c r="R57" s="320">
        <v>27260</v>
      </c>
      <c r="S57" s="320">
        <v>28347</v>
      </c>
      <c r="T57" s="320">
        <v>28714</v>
      </c>
      <c r="U57" s="329">
        <f t="shared" si="42"/>
        <v>269164</v>
      </c>
      <c r="V57" s="329">
        <f t="shared" si="43"/>
        <v>22430.333333333332</v>
      </c>
    </row>
    <row r="58" spans="1:23" x14ac:dyDescent="0.25">
      <c r="A58" s="299"/>
      <c r="B58" s="300"/>
      <c r="C58" s="301"/>
      <c r="D58" s="300"/>
      <c r="E58" s="301" t="s">
        <v>447</v>
      </c>
      <c r="F58" s="320">
        <v>682</v>
      </c>
      <c r="G58" s="320">
        <v>721</v>
      </c>
      <c r="H58" s="320">
        <v>280</v>
      </c>
      <c r="I58" s="320">
        <v>210</v>
      </c>
      <c r="J58" s="320">
        <v>270</v>
      </c>
      <c r="K58" s="320">
        <v>805</v>
      </c>
      <c r="L58" s="338">
        <v>497</v>
      </c>
      <c r="M58" s="320">
        <v>485</v>
      </c>
      <c r="N58" s="320">
        <v>0</v>
      </c>
      <c r="O58" s="320">
        <v>270</v>
      </c>
      <c r="P58" s="320">
        <v>0</v>
      </c>
      <c r="Q58" s="338">
        <v>255</v>
      </c>
      <c r="R58" s="320">
        <v>60</v>
      </c>
      <c r="S58" s="320">
        <v>0</v>
      </c>
      <c r="T58" s="320">
        <v>0</v>
      </c>
      <c r="U58" s="329">
        <f t="shared" si="42"/>
        <v>2852</v>
      </c>
      <c r="V58" s="329">
        <f t="shared" si="43"/>
        <v>237.66666666666666</v>
      </c>
    </row>
    <row r="59" spans="1:23" ht="15.75" thickBot="1" x14ac:dyDescent="0.3">
      <c r="A59" s="299"/>
      <c r="B59" s="300"/>
      <c r="C59" s="301"/>
      <c r="D59" s="300"/>
      <c r="E59" s="304" t="s">
        <v>448</v>
      </c>
      <c r="F59" s="320">
        <v>832</v>
      </c>
      <c r="G59" s="320">
        <v>3023</v>
      </c>
      <c r="H59" s="320">
        <v>0</v>
      </c>
      <c r="I59" s="320">
        <v>265</v>
      </c>
      <c r="J59" s="320">
        <v>0</v>
      </c>
      <c r="K59" s="320">
        <v>150</v>
      </c>
      <c r="L59" s="338">
        <v>0</v>
      </c>
      <c r="M59" s="320">
        <v>0</v>
      </c>
      <c r="N59" s="320">
        <v>570</v>
      </c>
      <c r="O59" s="320">
        <v>800</v>
      </c>
      <c r="P59" s="320">
        <v>5290</v>
      </c>
      <c r="Q59" s="338">
        <v>800</v>
      </c>
      <c r="R59" s="320">
        <v>2660</v>
      </c>
      <c r="S59" s="320">
        <v>1200</v>
      </c>
      <c r="T59" s="320">
        <v>1655</v>
      </c>
      <c r="U59" s="329">
        <f t="shared" si="42"/>
        <v>13390</v>
      </c>
      <c r="V59" s="329">
        <f t="shared" si="43"/>
        <v>1115.8333333333333</v>
      </c>
    </row>
    <row r="60" spans="1:23" s="16" customFormat="1" ht="15.75" thickBot="1" x14ac:dyDescent="0.3">
      <c r="A60" s="311"/>
      <c r="B60" s="312"/>
      <c r="C60" s="313"/>
      <c r="D60" s="312"/>
      <c r="E60" s="313"/>
      <c r="F60" s="321">
        <f t="shared" ref="F60:V60" si="44">SUM(F56:F59)</f>
        <v>3938</v>
      </c>
      <c r="G60" s="321">
        <f t="shared" si="44"/>
        <v>8902</v>
      </c>
      <c r="H60" s="321">
        <f t="shared" si="44"/>
        <v>15724</v>
      </c>
      <c r="I60" s="321">
        <f t="shared" si="44"/>
        <v>35832</v>
      </c>
      <c r="J60" s="321">
        <f t="shared" si="44"/>
        <v>37954</v>
      </c>
      <c r="K60" s="321">
        <f t="shared" si="44"/>
        <v>48369</v>
      </c>
      <c r="L60" s="347">
        <f t="shared" si="44"/>
        <v>30047</v>
      </c>
      <c r="M60" s="321">
        <f t="shared" si="44"/>
        <v>21150</v>
      </c>
      <c r="N60" s="321">
        <f t="shared" si="44"/>
        <v>23641</v>
      </c>
      <c r="O60" s="321">
        <f t="shared" si="44"/>
        <v>28805</v>
      </c>
      <c r="P60" s="321">
        <f t="shared" si="44"/>
        <v>34979</v>
      </c>
      <c r="Q60" s="350">
        <f t="shared" si="44"/>
        <v>27799</v>
      </c>
      <c r="R60" s="321">
        <f t="shared" ref="R60:S60" si="45">SUM(R56:R59)</f>
        <v>44108</v>
      </c>
      <c r="S60" s="321">
        <f t="shared" si="45"/>
        <v>49867</v>
      </c>
      <c r="T60" s="321">
        <f t="shared" ref="T60" si="46">SUM(T56:T59)</f>
        <v>53652</v>
      </c>
      <c r="U60" s="347">
        <f t="shared" si="44"/>
        <v>436203</v>
      </c>
      <c r="V60" s="365">
        <f t="shared" si="44"/>
        <v>36350.25</v>
      </c>
      <c r="W60" s="310"/>
    </row>
    <row r="61" spans="1:23" x14ac:dyDescent="0.25">
      <c r="A61" s="296"/>
      <c r="B61" s="297"/>
      <c r="C61" s="298"/>
      <c r="D61" s="297"/>
      <c r="E61" s="298"/>
      <c r="F61" s="318"/>
      <c r="G61" s="318"/>
      <c r="H61" s="318"/>
      <c r="I61" s="318"/>
      <c r="J61" s="318"/>
      <c r="K61" s="318"/>
      <c r="L61" s="336"/>
      <c r="M61" s="318"/>
      <c r="N61" s="318"/>
      <c r="O61" s="318"/>
      <c r="P61" s="318"/>
      <c r="Q61" s="336"/>
      <c r="R61" s="318"/>
      <c r="S61" s="318"/>
      <c r="T61" s="318"/>
      <c r="U61" s="329"/>
      <c r="V61" s="329"/>
    </row>
    <row r="62" spans="1:23" x14ac:dyDescent="0.25">
      <c r="A62" s="296">
        <v>8</v>
      </c>
      <c r="B62" s="297"/>
      <c r="C62" s="298"/>
      <c r="D62" s="297" t="s">
        <v>451</v>
      </c>
      <c r="E62" s="298"/>
      <c r="F62" s="325">
        <v>4000</v>
      </c>
      <c r="G62" s="325">
        <v>2826</v>
      </c>
      <c r="H62" s="325">
        <v>1303</v>
      </c>
      <c r="I62" s="325">
        <v>0</v>
      </c>
      <c r="J62" s="325">
        <v>0</v>
      </c>
      <c r="K62" s="325">
        <v>0</v>
      </c>
      <c r="L62" s="343">
        <v>0</v>
      </c>
      <c r="M62" s="325">
        <v>0</v>
      </c>
      <c r="N62" s="325">
        <v>0</v>
      </c>
      <c r="O62" s="325">
        <v>0</v>
      </c>
      <c r="P62" s="325">
        <v>4779</v>
      </c>
      <c r="Q62" s="343">
        <v>0</v>
      </c>
      <c r="R62" s="325">
        <v>4101</v>
      </c>
      <c r="S62" s="325">
        <v>1250</v>
      </c>
      <c r="T62" s="325">
        <v>250</v>
      </c>
      <c r="U62" s="329">
        <f t="shared" ref="U62:U65" si="47">SUM(I62:T62)</f>
        <v>10380</v>
      </c>
      <c r="V62" s="329">
        <f t="shared" ref="V62:V65" si="48">U62/12</f>
        <v>865</v>
      </c>
    </row>
    <row r="63" spans="1:23" x14ac:dyDescent="0.25">
      <c r="A63" s="296"/>
      <c r="B63" s="297"/>
      <c r="C63" s="298"/>
      <c r="D63" s="297"/>
      <c r="E63" s="298" t="s">
        <v>450</v>
      </c>
      <c r="F63" s="325">
        <v>1558</v>
      </c>
      <c r="G63" s="325">
        <v>783</v>
      </c>
      <c r="H63" s="325">
        <v>178</v>
      </c>
      <c r="I63" s="325">
        <v>0</v>
      </c>
      <c r="J63" s="325">
        <v>0</v>
      </c>
      <c r="K63" s="325">
        <v>0</v>
      </c>
      <c r="L63" s="343">
        <v>0</v>
      </c>
      <c r="M63" s="325">
        <v>0</v>
      </c>
      <c r="N63" s="325">
        <v>0</v>
      </c>
      <c r="O63" s="325">
        <v>0</v>
      </c>
      <c r="P63" s="325">
        <v>0</v>
      </c>
      <c r="Q63" s="343">
        <v>0</v>
      </c>
      <c r="R63" s="325">
        <v>0</v>
      </c>
      <c r="S63" s="325">
        <v>0</v>
      </c>
      <c r="T63" s="325">
        <v>0</v>
      </c>
      <c r="U63" s="329">
        <f>SUM(I63:T63)</f>
        <v>0</v>
      </c>
      <c r="V63" s="329">
        <f>U63/12</f>
        <v>0</v>
      </c>
    </row>
    <row r="64" spans="1:23" x14ac:dyDescent="0.25">
      <c r="A64" s="296"/>
      <c r="B64" s="297"/>
      <c r="C64" s="298"/>
      <c r="D64" s="297"/>
      <c r="E64" s="298" t="s">
        <v>449</v>
      </c>
      <c r="F64" s="325">
        <v>0</v>
      </c>
      <c r="G64" s="325">
        <v>0</v>
      </c>
      <c r="H64" s="325">
        <v>2178</v>
      </c>
      <c r="I64" s="325">
        <v>15432</v>
      </c>
      <c r="J64" s="325">
        <v>1190</v>
      </c>
      <c r="K64" s="325">
        <v>980</v>
      </c>
      <c r="L64" s="343">
        <v>2755</v>
      </c>
      <c r="M64" s="325">
        <v>3204</v>
      </c>
      <c r="N64" s="325">
        <v>16853</v>
      </c>
      <c r="O64" s="325">
        <v>25823</v>
      </c>
      <c r="P64" s="325">
        <v>7650</v>
      </c>
      <c r="Q64" s="343">
        <v>5080</v>
      </c>
      <c r="R64" s="325">
        <v>4225</v>
      </c>
      <c r="S64" s="325">
        <v>12152</v>
      </c>
      <c r="T64" s="325">
        <v>29776</v>
      </c>
      <c r="U64" s="329">
        <f t="shared" si="47"/>
        <v>125120</v>
      </c>
      <c r="V64" s="329">
        <f t="shared" si="48"/>
        <v>10426.666666666666</v>
      </c>
    </row>
    <row r="65" spans="1:23" ht="15.75" thickBot="1" x14ac:dyDescent="0.3">
      <c r="A65" s="296"/>
      <c r="B65" s="297"/>
      <c r="C65" s="298"/>
      <c r="D65" s="297" t="s">
        <v>452</v>
      </c>
      <c r="E65" s="298"/>
      <c r="F65" s="325">
        <v>28</v>
      </c>
      <c r="G65" s="325">
        <v>0</v>
      </c>
      <c r="H65" s="325">
        <v>1</v>
      </c>
      <c r="I65" s="325">
        <v>0</v>
      </c>
      <c r="J65" s="325">
        <v>0</v>
      </c>
      <c r="K65" s="325">
        <v>0</v>
      </c>
      <c r="L65" s="343">
        <v>53</v>
      </c>
      <c r="M65" s="325">
        <v>10</v>
      </c>
      <c r="N65" s="325">
        <v>73</v>
      </c>
      <c r="O65" s="325">
        <v>150</v>
      </c>
      <c r="P65" s="325">
        <v>20</v>
      </c>
      <c r="Q65" s="343">
        <v>79</v>
      </c>
      <c r="R65" s="325">
        <v>0</v>
      </c>
      <c r="S65" s="325">
        <v>100</v>
      </c>
      <c r="T65" s="325">
        <v>0</v>
      </c>
      <c r="U65" s="329">
        <f t="shared" si="47"/>
        <v>485</v>
      </c>
      <c r="V65" s="329">
        <f t="shared" si="48"/>
        <v>40.416666666666664</v>
      </c>
    </row>
    <row r="66" spans="1:23" ht="15.75" thickBot="1" x14ac:dyDescent="0.3">
      <c r="A66" s="311"/>
      <c r="B66" s="312"/>
      <c r="C66" s="313"/>
      <c r="D66" s="312"/>
      <c r="E66" s="313"/>
      <c r="F66" s="324">
        <f t="shared" ref="F66:V66" si="49">SUM(F62:F65)</f>
        <v>5586</v>
      </c>
      <c r="G66" s="324">
        <f t="shared" si="49"/>
        <v>3609</v>
      </c>
      <c r="H66" s="324">
        <f t="shared" si="49"/>
        <v>3660</v>
      </c>
      <c r="I66" s="324">
        <f t="shared" si="49"/>
        <v>15432</v>
      </c>
      <c r="J66" s="324">
        <f t="shared" si="49"/>
        <v>1190</v>
      </c>
      <c r="K66" s="324">
        <f t="shared" ref="K66" si="50">SUM(K62:K65)</f>
        <v>980</v>
      </c>
      <c r="L66" s="348">
        <f t="shared" ref="L66:P66" si="51">SUM(L62:L65)</f>
        <v>2808</v>
      </c>
      <c r="M66" s="324">
        <f t="shared" si="51"/>
        <v>3214</v>
      </c>
      <c r="N66" s="324">
        <f t="shared" si="51"/>
        <v>16926</v>
      </c>
      <c r="O66" s="324">
        <f t="shared" si="51"/>
        <v>25973</v>
      </c>
      <c r="P66" s="324">
        <f t="shared" si="51"/>
        <v>12449</v>
      </c>
      <c r="Q66" s="351">
        <f>SUM(Q62:Q65)</f>
        <v>5159</v>
      </c>
      <c r="R66" s="324">
        <f t="shared" ref="R66:S66" si="52">SUM(R62:R65)</f>
        <v>8326</v>
      </c>
      <c r="S66" s="324">
        <f t="shared" si="52"/>
        <v>13502</v>
      </c>
      <c r="T66" s="324">
        <f t="shared" ref="T66" si="53">SUM(T62:T65)</f>
        <v>30026</v>
      </c>
      <c r="U66" s="348">
        <f>SUM(U62:U65)</f>
        <v>135985</v>
      </c>
      <c r="V66" s="330">
        <f t="shared" si="49"/>
        <v>11332.083333333332</v>
      </c>
    </row>
    <row r="67" spans="1:23" ht="15.75" thickBot="1" x14ac:dyDescent="0.3">
      <c r="A67" s="314"/>
      <c r="B67" s="333"/>
      <c r="C67" s="334"/>
      <c r="D67" s="333"/>
      <c r="E67" s="334"/>
      <c r="F67" s="335">
        <f t="shared" ref="F67:V67" si="54">F53+F60+F66</f>
        <v>38169</v>
      </c>
      <c r="G67" s="335">
        <f t="shared" si="54"/>
        <v>40109</v>
      </c>
      <c r="H67" s="335">
        <f t="shared" si="54"/>
        <v>47681</v>
      </c>
      <c r="I67" s="335">
        <f t="shared" si="54"/>
        <v>86585</v>
      </c>
      <c r="J67" s="335">
        <f t="shared" si="54"/>
        <v>67201</v>
      </c>
      <c r="K67" s="335">
        <f t="shared" si="54"/>
        <v>88609</v>
      </c>
      <c r="L67" s="346">
        <f t="shared" si="54"/>
        <v>61686</v>
      </c>
      <c r="M67" s="335">
        <f t="shared" si="54"/>
        <v>48959</v>
      </c>
      <c r="N67" s="335">
        <f t="shared" si="54"/>
        <v>79300</v>
      </c>
      <c r="O67" s="335">
        <f t="shared" si="54"/>
        <v>76907</v>
      </c>
      <c r="P67" s="335">
        <f t="shared" si="54"/>
        <v>73665</v>
      </c>
      <c r="Q67" s="349">
        <f t="shared" si="54"/>
        <v>83996</v>
      </c>
      <c r="R67" s="335">
        <f t="shared" ref="R67:S67" si="55">R53+R60+R66</f>
        <v>107827</v>
      </c>
      <c r="S67" s="335">
        <f t="shared" si="55"/>
        <v>120001</v>
      </c>
      <c r="T67" s="335">
        <f t="shared" ref="T67" si="56">T53+T60+T66</f>
        <v>100929</v>
      </c>
      <c r="U67" s="346">
        <f t="shared" si="54"/>
        <v>995665</v>
      </c>
      <c r="V67" s="366">
        <f t="shared" si="54"/>
        <v>82972.083333333328</v>
      </c>
      <c r="W67" s="12"/>
    </row>
    <row r="68" spans="1:23" x14ac:dyDescent="0.25">
      <c r="A68" s="296"/>
      <c r="B68" s="297"/>
      <c r="C68" s="298"/>
      <c r="D68" s="297"/>
      <c r="E68" s="298"/>
      <c r="F68" s="318"/>
      <c r="G68" s="318"/>
      <c r="H68" s="318"/>
      <c r="I68" s="318"/>
      <c r="J68" s="318"/>
      <c r="K68" s="318"/>
      <c r="L68" s="336"/>
      <c r="M68" s="318"/>
      <c r="N68" s="318"/>
      <c r="O68" s="318"/>
      <c r="P68" s="318"/>
      <c r="Q68" s="336"/>
      <c r="R68" s="318"/>
      <c r="S68" s="318"/>
      <c r="T68" s="318"/>
      <c r="U68" s="329"/>
      <c r="V68" s="329"/>
    </row>
    <row r="69" spans="1:23" x14ac:dyDescent="0.25">
      <c r="A69" s="299"/>
      <c r="B69" s="300"/>
      <c r="C69" s="301"/>
      <c r="D69" s="308" t="s">
        <v>453</v>
      </c>
      <c r="E69" s="301"/>
      <c r="F69" s="319"/>
      <c r="G69" s="319"/>
      <c r="H69" s="319"/>
      <c r="I69" s="319"/>
      <c r="J69" s="319"/>
      <c r="K69" s="319"/>
      <c r="L69" s="337"/>
      <c r="M69" s="319"/>
      <c r="N69" s="319"/>
      <c r="O69" s="319"/>
      <c r="P69" s="319"/>
      <c r="Q69" s="337"/>
      <c r="R69" s="319"/>
      <c r="S69" s="319"/>
      <c r="T69" s="319"/>
      <c r="U69" s="329"/>
      <c r="V69" s="329"/>
    </row>
    <row r="70" spans="1:23" x14ac:dyDescent="0.25">
      <c r="A70" s="299"/>
      <c r="B70" s="300"/>
      <c r="C70" s="301"/>
      <c r="D70" s="300"/>
      <c r="E70" s="316" t="s">
        <v>454</v>
      </c>
      <c r="F70" s="320">
        <v>369</v>
      </c>
      <c r="G70" s="320">
        <v>670</v>
      </c>
      <c r="H70" s="320">
        <v>1278</v>
      </c>
      <c r="I70" s="320">
        <v>2428</v>
      </c>
      <c r="J70" s="320">
        <v>4483</v>
      </c>
      <c r="K70" s="320">
        <v>442</v>
      </c>
      <c r="L70" s="338">
        <v>408</v>
      </c>
      <c r="M70" s="320">
        <v>0</v>
      </c>
      <c r="N70" s="320">
        <v>1489</v>
      </c>
      <c r="O70" s="320">
        <v>4311</v>
      </c>
      <c r="P70" s="320">
        <v>1750</v>
      </c>
      <c r="Q70" s="338">
        <v>4690</v>
      </c>
      <c r="R70" s="320">
        <v>675</v>
      </c>
      <c r="S70" s="320">
        <v>312</v>
      </c>
      <c r="T70" s="320">
        <v>3824</v>
      </c>
      <c r="U70" s="329">
        <f t="shared" ref="U70:U85" si="57">SUM(I70:T70)</f>
        <v>24812</v>
      </c>
      <c r="V70" s="329">
        <f t="shared" ref="V70:V85" si="58">U70/12</f>
        <v>2067.6666666666665</v>
      </c>
    </row>
    <row r="71" spans="1:23" x14ac:dyDescent="0.25">
      <c r="A71" s="299"/>
      <c r="B71" s="300"/>
      <c r="C71" s="301"/>
      <c r="D71" s="300"/>
      <c r="E71" s="316" t="s">
        <v>455</v>
      </c>
      <c r="F71" s="320">
        <v>7380</v>
      </c>
      <c r="G71" s="320">
        <v>11409</v>
      </c>
      <c r="H71" s="320">
        <v>20307</v>
      </c>
      <c r="I71" s="320">
        <v>18416</v>
      </c>
      <c r="J71" s="320">
        <v>12242</v>
      </c>
      <c r="K71" s="320">
        <v>16910</v>
      </c>
      <c r="L71" s="338">
        <v>9805</v>
      </c>
      <c r="M71" s="320">
        <v>26654</v>
      </c>
      <c r="N71" s="320">
        <v>18403</v>
      </c>
      <c r="O71" s="320">
        <v>7400</v>
      </c>
      <c r="P71" s="320">
        <v>2225</v>
      </c>
      <c r="Q71" s="338">
        <v>12298</v>
      </c>
      <c r="R71" s="320">
        <v>11783</v>
      </c>
      <c r="S71" s="320">
        <v>15376</v>
      </c>
      <c r="T71" s="320">
        <v>9958</v>
      </c>
      <c r="U71" s="329">
        <f t="shared" si="57"/>
        <v>161470</v>
      </c>
      <c r="V71" s="329">
        <f>U71/12</f>
        <v>13455.833333333334</v>
      </c>
    </row>
    <row r="72" spans="1:23" x14ac:dyDescent="0.25">
      <c r="A72" s="299"/>
      <c r="B72" s="300"/>
      <c r="C72" s="301"/>
      <c r="D72" s="300"/>
      <c r="E72" s="316" t="s">
        <v>456</v>
      </c>
      <c r="F72" s="320">
        <v>1069</v>
      </c>
      <c r="G72" s="320">
        <v>529</v>
      </c>
      <c r="H72" s="320">
        <v>868</v>
      </c>
      <c r="I72" s="320">
        <v>3150</v>
      </c>
      <c r="J72" s="320">
        <v>0</v>
      </c>
      <c r="K72" s="320">
        <v>550</v>
      </c>
      <c r="L72" s="338">
        <v>0</v>
      </c>
      <c r="M72" s="320">
        <v>0</v>
      </c>
      <c r="N72" s="320">
        <v>0</v>
      </c>
      <c r="O72" s="320">
        <v>0</v>
      </c>
      <c r="P72" s="320">
        <v>500</v>
      </c>
      <c r="Q72" s="338">
        <v>300</v>
      </c>
      <c r="R72" s="320">
        <v>40</v>
      </c>
      <c r="S72" s="320">
        <v>0</v>
      </c>
      <c r="T72" s="320">
        <v>5</v>
      </c>
      <c r="U72" s="329">
        <f t="shared" si="57"/>
        <v>4545</v>
      </c>
      <c r="V72" s="329">
        <f t="shared" si="58"/>
        <v>378.75</v>
      </c>
    </row>
    <row r="73" spans="1:23" x14ac:dyDescent="0.25">
      <c r="A73" s="299"/>
      <c r="B73" s="300"/>
      <c r="C73" s="301"/>
      <c r="D73" s="300"/>
      <c r="E73" s="316" t="s">
        <v>457</v>
      </c>
      <c r="F73" s="320">
        <v>0</v>
      </c>
      <c r="G73" s="320">
        <v>0</v>
      </c>
      <c r="H73" s="320">
        <v>0</v>
      </c>
      <c r="I73" s="320">
        <v>0</v>
      </c>
      <c r="J73" s="320">
        <v>0</v>
      </c>
      <c r="K73" s="320">
        <v>0</v>
      </c>
      <c r="L73" s="338">
        <v>0</v>
      </c>
      <c r="M73" s="320">
        <v>0</v>
      </c>
      <c r="N73" s="320">
        <v>0</v>
      </c>
      <c r="O73" s="320">
        <v>0</v>
      </c>
      <c r="P73" s="320">
        <v>0</v>
      </c>
      <c r="Q73" s="338">
        <v>0</v>
      </c>
      <c r="R73" s="320">
        <v>0</v>
      </c>
      <c r="S73" s="320">
        <v>0</v>
      </c>
      <c r="T73" s="320">
        <v>0</v>
      </c>
      <c r="U73" s="329">
        <f t="shared" si="57"/>
        <v>0</v>
      </c>
      <c r="V73" s="329">
        <f t="shared" si="58"/>
        <v>0</v>
      </c>
    </row>
    <row r="74" spans="1:23" x14ac:dyDescent="0.25">
      <c r="A74" s="299"/>
      <c r="B74" s="300"/>
      <c r="C74" s="301"/>
      <c r="D74" s="300"/>
      <c r="E74" s="316" t="s">
        <v>458</v>
      </c>
      <c r="F74" s="320">
        <v>1128</v>
      </c>
      <c r="G74" s="320">
        <v>0</v>
      </c>
      <c r="H74" s="320">
        <v>0</v>
      </c>
      <c r="I74" s="320">
        <v>0</v>
      </c>
      <c r="J74" s="320">
        <v>0</v>
      </c>
      <c r="K74" s="320">
        <v>0</v>
      </c>
      <c r="L74" s="338">
        <v>0</v>
      </c>
      <c r="M74" s="320">
        <v>0</v>
      </c>
      <c r="N74" s="320">
        <v>0</v>
      </c>
      <c r="O74" s="320"/>
      <c r="P74" s="320">
        <v>0</v>
      </c>
      <c r="Q74" s="338">
        <v>0</v>
      </c>
      <c r="R74" s="320">
        <v>0</v>
      </c>
      <c r="S74" s="320">
        <v>0</v>
      </c>
      <c r="T74" s="320">
        <v>0</v>
      </c>
      <c r="U74" s="329">
        <f t="shared" si="57"/>
        <v>0</v>
      </c>
      <c r="V74" s="329">
        <f t="shared" si="58"/>
        <v>0</v>
      </c>
    </row>
    <row r="75" spans="1:23" x14ac:dyDescent="0.25">
      <c r="A75" s="299"/>
      <c r="B75" s="300"/>
      <c r="C75" s="301"/>
      <c r="D75" s="300"/>
      <c r="E75" s="316" t="s">
        <v>473</v>
      </c>
      <c r="F75" s="320">
        <v>2206</v>
      </c>
      <c r="G75" s="320">
        <v>173</v>
      </c>
      <c r="H75" s="320">
        <v>1550</v>
      </c>
      <c r="I75" s="320">
        <v>0</v>
      </c>
      <c r="J75" s="320">
        <v>0</v>
      </c>
      <c r="K75" s="320">
        <v>0</v>
      </c>
      <c r="L75" s="338">
        <v>0</v>
      </c>
      <c r="M75" s="320">
        <v>0</v>
      </c>
      <c r="N75" s="320">
        <v>0</v>
      </c>
      <c r="O75" s="320">
        <v>0</v>
      </c>
      <c r="P75" s="320">
        <v>0</v>
      </c>
      <c r="Q75" s="338">
        <v>0</v>
      </c>
      <c r="R75" s="320"/>
      <c r="S75" s="320">
        <v>0</v>
      </c>
      <c r="T75" s="320">
        <v>0</v>
      </c>
      <c r="U75" s="329">
        <f t="shared" si="57"/>
        <v>0</v>
      </c>
      <c r="V75" s="329">
        <f t="shared" si="58"/>
        <v>0</v>
      </c>
    </row>
    <row r="76" spans="1:23" x14ac:dyDescent="0.25">
      <c r="A76" s="299"/>
      <c r="B76" s="300"/>
      <c r="C76" s="301"/>
      <c r="D76" s="300"/>
      <c r="E76" s="316" t="s">
        <v>459</v>
      </c>
      <c r="F76" s="320">
        <v>0</v>
      </c>
      <c r="G76" s="320">
        <v>1058</v>
      </c>
      <c r="H76" s="320">
        <v>275</v>
      </c>
      <c r="I76" s="320">
        <v>0</v>
      </c>
      <c r="J76" s="320">
        <v>0</v>
      </c>
      <c r="K76" s="320">
        <v>0</v>
      </c>
      <c r="L76" s="338">
        <v>0</v>
      </c>
      <c r="M76" s="320">
        <v>0</v>
      </c>
      <c r="N76" s="320">
        <v>0</v>
      </c>
      <c r="O76" s="320">
        <v>0</v>
      </c>
      <c r="P76" s="320">
        <v>0</v>
      </c>
      <c r="Q76" s="338">
        <v>0</v>
      </c>
      <c r="R76" s="320">
        <v>0</v>
      </c>
      <c r="S76" s="320">
        <v>0</v>
      </c>
      <c r="T76" s="320">
        <v>0</v>
      </c>
      <c r="U76" s="329">
        <f t="shared" si="57"/>
        <v>0</v>
      </c>
      <c r="V76" s="329">
        <f t="shared" si="58"/>
        <v>0</v>
      </c>
    </row>
    <row r="77" spans="1:23" x14ac:dyDescent="0.25">
      <c r="A77" s="299"/>
      <c r="B77" s="300"/>
      <c r="C77" s="301"/>
      <c r="D77" s="300"/>
      <c r="E77" s="316" t="s">
        <v>471</v>
      </c>
      <c r="F77" s="320">
        <v>232</v>
      </c>
      <c r="G77" s="320">
        <v>46</v>
      </c>
      <c r="H77" s="320">
        <v>30</v>
      </c>
      <c r="I77" s="320">
        <v>0</v>
      </c>
      <c r="J77" s="320">
        <v>247</v>
      </c>
      <c r="K77" s="320">
        <v>0</v>
      </c>
      <c r="L77" s="338">
        <v>0</v>
      </c>
      <c r="M77" s="320">
        <v>0</v>
      </c>
      <c r="N77" s="320">
        <v>0</v>
      </c>
      <c r="O77" s="320">
        <v>0</v>
      </c>
      <c r="P77" s="320">
        <v>0</v>
      </c>
      <c r="Q77" s="338">
        <v>0</v>
      </c>
      <c r="R77" s="320">
        <v>0</v>
      </c>
      <c r="S77" s="320">
        <v>0</v>
      </c>
      <c r="T77" s="320">
        <v>0</v>
      </c>
      <c r="U77" s="329">
        <f t="shared" si="57"/>
        <v>247</v>
      </c>
      <c r="V77" s="329">
        <f>U77/12</f>
        <v>20.583333333333332</v>
      </c>
    </row>
    <row r="78" spans="1:23" x14ac:dyDescent="0.25">
      <c r="A78" s="299"/>
      <c r="B78" s="300"/>
      <c r="C78" s="301"/>
      <c r="D78" s="300"/>
      <c r="E78" s="316" t="s">
        <v>481</v>
      </c>
      <c r="F78" s="320">
        <v>0</v>
      </c>
      <c r="G78" s="320">
        <v>0</v>
      </c>
      <c r="H78" s="320">
        <v>0</v>
      </c>
      <c r="I78" s="320">
        <v>0</v>
      </c>
      <c r="J78" s="320">
        <v>0</v>
      </c>
      <c r="K78" s="320">
        <v>0</v>
      </c>
      <c r="L78" s="338">
        <v>0</v>
      </c>
      <c r="M78" s="320">
        <v>0</v>
      </c>
      <c r="N78" s="320">
        <v>350</v>
      </c>
      <c r="O78" s="320">
        <v>6000</v>
      </c>
      <c r="P78" s="320">
        <v>0</v>
      </c>
      <c r="Q78" s="338">
        <v>0</v>
      </c>
      <c r="R78" s="320">
        <v>0</v>
      </c>
      <c r="S78" s="320">
        <v>0</v>
      </c>
      <c r="T78" s="320">
        <v>0</v>
      </c>
      <c r="U78" s="329">
        <f t="shared" si="57"/>
        <v>6350</v>
      </c>
      <c r="V78" s="329">
        <f t="shared" si="58"/>
        <v>529.16666666666663</v>
      </c>
    </row>
    <row r="79" spans="1:23" x14ac:dyDescent="0.25">
      <c r="A79" s="299"/>
      <c r="B79" s="300"/>
      <c r="C79" s="301"/>
      <c r="D79" s="300"/>
      <c r="E79" s="316" t="s">
        <v>472</v>
      </c>
      <c r="F79" s="320">
        <v>5146</v>
      </c>
      <c r="G79" s="320">
        <v>217</v>
      </c>
      <c r="H79" s="320">
        <v>78</v>
      </c>
      <c r="I79" s="320">
        <v>0</v>
      </c>
      <c r="J79" s="320">
        <v>0</v>
      </c>
      <c r="K79" s="320">
        <v>0</v>
      </c>
      <c r="L79" s="338">
        <v>0</v>
      </c>
      <c r="M79" s="320">
        <v>0</v>
      </c>
      <c r="N79" s="320">
        <v>400</v>
      </c>
      <c r="O79" s="320">
        <v>66</v>
      </c>
      <c r="P79" s="320">
        <v>0</v>
      </c>
      <c r="Q79" s="338">
        <v>0</v>
      </c>
      <c r="R79" s="320">
        <v>0</v>
      </c>
      <c r="S79" s="320">
        <v>0</v>
      </c>
      <c r="T79" s="320">
        <v>285</v>
      </c>
      <c r="U79" s="329">
        <f>SUM(I79:T79)</f>
        <v>751</v>
      </c>
      <c r="V79" s="329">
        <f t="shared" si="58"/>
        <v>62.583333333333336</v>
      </c>
    </row>
    <row r="80" spans="1:23" x14ac:dyDescent="0.25">
      <c r="A80" s="299"/>
      <c r="B80" s="300"/>
      <c r="C80" s="301"/>
      <c r="D80" s="300"/>
      <c r="E80" s="316" t="s">
        <v>483</v>
      </c>
      <c r="F80" s="320">
        <v>0</v>
      </c>
      <c r="G80" s="320">
        <v>0</v>
      </c>
      <c r="H80" s="320">
        <v>0</v>
      </c>
      <c r="I80" s="320">
        <v>0</v>
      </c>
      <c r="J80" s="320">
        <v>0</v>
      </c>
      <c r="K80" s="320">
        <v>0</v>
      </c>
      <c r="L80" s="338">
        <v>0</v>
      </c>
      <c r="M80" s="320">
        <v>0</v>
      </c>
      <c r="N80" s="320">
        <v>0</v>
      </c>
      <c r="O80" s="320">
        <v>70</v>
      </c>
      <c r="P80" s="320">
        <v>0</v>
      </c>
      <c r="Q80" s="338">
        <v>0</v>
      </c>
      <c r="R80" s="320">
        <v>0</v>
      </c>
      <c r="S80" s="320">
        <v>0</v>
      </c>
      <c r="T80" s="320">
        <v>0</v>
      </c>
      <c r="U80" s="329">
        <f t="shared" si="57"/>
        <v>70</v>
      </c>
      <c r="V80" s="329">
        <f t="shared" si="58"/>
        <v>5.833333333333333</v>
      </c>
    </row>
    <row r="81" spans="1:23" x14ac:dyDescent="0.25">
      <c r="A81" s="299"/>
      <c r="B81" s="300"/>
      <c r="C81" s="301"/>
      <c r="D81" s="300"/>
      <c r="E81" s="316" t="s">
        <v>460</v>
      </c>
      <c r="F81" s="320">
        <v>2835</v>
      </c>
      <c r="G81" s="320">
        <v>158</v>
      </c>
      <c r="H81" s="320">
        <v>138</v>
      </c>
      <c r="I81" s="320">
        <v>0</v>
      </c>
      <c r="J81" s="320">
        <v>0</v>
      </c>
      <c r="K81" s="320">
        <v>0</v>
      </c>
      <c r="L81" s="338">
        <v>0</v>
      </c>
      <c r="M81" s="320">
        <v>0</v>
      </c>
      <c r="N81" s="320">
        <v>0</v>
      </c>
      <c r="O81" s="320">
        <v>0</v>
      </c>
      <c r="P81" s="320">
        <v>0</v>
      </c>
      <c r="Q81" s="338">
        <v>0</v>
      </c>
      <c r="R81" s="320">
        <v>0</v>
      </c>
      <c r="S81" s="320">
        <v>0</v>
      </c>
      <c r="T81" s="320">
        <v>0</v>
      </c>
      <c r="U81" s="329">
        <f t="shared" si="57"/>
        <v>0</v>
      </c>
      <c r="V81" s="329">
        <f t="shared" si="58"/>
        <v>0</v>
      </c>
    </row>
    <row r="82" spans="1:23" x14ac:dyDescent="0.25">
      <c r="A82" s="299"/>
      <c r="B82" s="300"/>
      <c r="C82" s="301"/>
      <c r="D82" s="300"/>
      <c r="E82" s="316" t="s">
        <v>461</v>
      </c>
      <c r="F82" s="320">
        <v>0</v>
      </c>
      <c r="G82" s="320">
        <v>29</v>
      </c>
      <c r="H82" s="320">
        <v>58</v>
      </c>
      <c r="I82" s="320">
        <v>0</v>
      </c>
      <c r="J82" s="320">
        <v>0</v>
      </c>
      <c r="K82" s="320">
        <v>0</v>
      </c>
      <c r="L82" s="338">
        <v>0</v>
      </c>
      <c r="M82" s="320">
        <v>50</v>
      </c>
      <c r="N82" s="320">
        <v>400</v>
      </c>
      <c r="O82" s="320">
        <v>650</v>
      </c>
      <c r="P82" s="320">
        <v>0</v>
      </c>
      <c r="Q82" s="338">
        <v>0</v>
      </c>
      <c r="R82" s="320">
        <v>0</v>
      </c>
      <c r="S82" s="320">
        <v>0</v>
      </c>
      <c r="T82" s="320">
        <v>0</v>
      </c>
      <c r="U82" s="329">
        <f t="shared" si="57"/>
        <v>1100</v>
      </c>
      <c r="V82" s="329">
        <f t="shared" si="58"/>
        <v>91.666666666666671</v>
      </c>
    </row>
    <row r="83" spans="1:23" x14ac:dyDescent="0.25">
      <c r="A83" s="299"/>
      <c r="B83" s="300"/>
      <c r="C83" s="301"/>
      <c r="D83" s="300"/>
      <c r="E83" s="316" t="s">
        <v>462</v>
      </c>
      <c r="F83" s="320">
        <v>93</v>
      </c>
      <c r="G83" s="320">
        <v>0</v>
      </c>
      <c r="H83" s="320">
        <v>0</v>
      </c>
      <c r="I83" s="320">
        <v>0</v>
      </c>
      <c r="J83" s="320">
        <v>0</v>
      </c>
      <c r="K83" s="320">
        <v>0</v>
      </c>
      <c r="L83" s="338">
        <v>0</v>
      </c>
      <c r="M83" s="320">
        <v>0</v>
      </c>
      <c r="N83" s="320">
        <v>0</v>
      </c>
      <c r="O83" s="320">
        <v>0</v>
      </c>
      <c r="P83" s="320">
        <v>0</v>
      </c>
      <c r="Q83" s="338">
        <v>0</v>
      </c>
      <c r="R83" s="320">
        <v>0</v>
      </c>
      <c r="S83" s="320">
        <v>0</v>
      </c>
      <c r="T83" s="320">
        <v>0</v>
      </c>
      <c r="U83" s="329">
        <f t="shared" si="57"/>
        <v>0</v>
      </c>
      <c r="V83" s="329">
        <f t="shared" si="58"/>
        <v>0</v>
      </c>
    </row>
    <row r="84" spans="1:23" x14ac:dyDescent="0.25">
      <c r="A84" s="299"/>
      <c r="B84" s="300"/>
      <c r="C84" s="301"/>
      <c r="D84" s="300"/>
      <c r="E84" s="316" t="s">
        <v>463</v>
      </c>
      <c r="F84" s="320">
        <v>702</v>
      </c>
      <c r="G84" s="320">
        <v>335</v>
      </c>
      <c r="H84" s="320">
        <v>676</v>
      </c>
      <c r="I84" s="320">
        <v>0</v>
      </c>
      <c r="J84" s="320">
        <v>0</v>
      </c>
      <c r="K84" s="320">
        <v>300</v>
      </c>
      <c r="L84" s="338">
        <v>0</v>
      </c>
      <c r="M84" s="320">
        <v>0</v>
      </c>
      <c r="N84" s="320">
        <v>0</v>
      </c>
      <c r="O84" s="320">
        <v>0</v>
      </c>
      <c r="P84" s="320">
        <v>0</v>
      </c>
      <c r="Q84" s="338">
        <v>0</v>
      </c>
      <c r="R84" s="320">
        <v>0</v>
      </c>
      <c r="S84" s="320">
        <v>0</v>
      </c>
      <c r="T84" s="320">
        <v>1500</v>
      </c>
      <c r="U84" s="329">
        <f t="shared" si="57"/>
        <v>1800</v>
      </c>
      <c r="V84" s="329">
        <f t="shared" si="58"/>
        <v>150</v>
      </c>
    </row>
    <row r="85" spans="1:23" ht="15.75" thickBot="1" x14ac:dyDescent="0.3">
      <c r="A85" s="305"/>
      <c r="B85" s="306"/>
      <c r="C85" s="307"/>
      <c r="D85" s="306"/>
      <c r="E85" s="317" t="s">
        <v>464</v>
      </c>
      <c r="F85" s="323">
        <v>0</v>
      </c>
      <c r="G85" s="323">
        <v>0</v>
      </c>
      <c r="H85" s="323">
        <v>627</v>
      </c>
      <c r="I85" s="323">
        <v>0</v>
      </c>
      <c r="J85" s="323">
        <v>0</v>
      </c>
      <c r="K85" s="323">
        <v>0</v>
      </c>
      <c r="L85" s="341">
        <v>0</v>
      </c>
      <c r="M85" s="353">
        <v>0</v>
      </c>
      <c r="N85" s="353">
        <v>0</v>
      </c>
      <c r="O85" s="353">
        <v>0</v>
      </c>
      <c r="P85" s="353">
        <v>0</v>
      </c>
      <c r="Q85" s="338">
        <v>0</v>
      </c>
      <c r="R85" s="353">
        <v>150</v>
      </c>
      <c r="S85" s="320">
        <v>0</v>
      </c>
      <c r="T85" s="320">
        <v>0</v>
      </c>
      <c r="U85" s="329">
        <f t="shared" si="57"/>
        <v>150</v>
      </c>
      <c r="V85" s="329">
        <f t="shared" si="58"/>
        <v>12.5</v>
      </c>
    </row>
    <row r="86" spans="1:23" ht="15.75" thickBot="1" x14ac:dyDescent="0.3">
      <c r="A86" s="314"/>
      <c r="B86" s="315"/>
      <c r="C86" s="315"/>
      <c r="D86" s="315"/>
      <c r="E86" s="315"/>
      <c r="F86" s="327">
        <f t="shared" ref="F86:I86" si="59">SUM(F70:F85)</f>
        <v>21160</v>
      </c>
      <c r="G86" s="327">
        <f t="shared" si="59"/>
        <v>14624</v>
      </c>
      <c r="H86" s="327">
        <f t="shared" si="59"/>
        <v>25885</v>
      </c>
      <c r="I86" s="327">
        <f t="shared" si="59"/>
        <v>23994</v>
      </c>
      <c r="J86" s="327">
        <f t="shared" ref="J86:O86" si="60">SUM(J70:J85)</f>
        <v>16972</v>
      </c>
      <c r="K86" s="327">
        <f t="shared" si="60"/>
        <v>18202</v>
      </c>
      <c r="L86" s="327">
        <f t="shared" si="60"/>
        <v>10213</v>
      </c>
      <c r="M86" s="327">
        <f t="shared" si="60"/>
        <v>26704</v>
      </c>
      <c r="N86" s="327">
        <f t="shared" si="60"/>
        <v>21042</v>
      </c>
      <c r="O86" s="327">
        <f t="shared" si="60"/>
        <v>18497</v>
      </c>
      <c r="P86" s="327">
        <f t="shared" ref="P86:Q86" si="61">SUM(P70:P85)</f>
        <v>4475</v>
      </c>
      <c r="Q86" s="327">
        <f t="shared" si="61"/>
        <v>17288</v>
      </c>
      <c r="R86" s="327">
        <f t="shared" ref="R86:S86" si="62">SUM(R70:R85)</f>
        <v>12648</v>
      </c>
      <c r="S86" s="327">
        <f t="shared" si="62"/>
        <v>15688</v>
      </c>
      <c r="T86" s="327">
        <f t="shared" ref="T86" si="63">SUM(T70:T85)</f>
        <v>15572</v>
      </c>
      <c r="U86" s="327">
        <f>SUM(U70:U85)</f>
        <v>201295</v>
      </c>
      <c r="V86" s="366">
        <f>SUM(V70:V85)</f>
        <v>16774.583333333332</v>
      </c>
      <c r="W86" s="12"/>
    </row>
    <row r="87" spans="1:23" s="16" customFormat="1" ht="15.75" thickBot="1" x14ac:dyDescent="0.3">
      <c r="A87" s="455" t="s">
        <v>474</v>
      </c>
      <c r="B87" s="456"/>
      <c r="C87" s="456"/>
      <c r="D87" s="456"/>
      <c r="E87" s="457"/>
      <c r="F87" s="326">
        <f t="shared" ref="F87:V87" si="64">F46+F67+F86</f>
        <v>245111</v>
      </c>
      <c r="G87" s="326">
        <f t="shared" si="64"/>
        <v>253203</v>
      </c>
      <c r="H87" s="326">
        <f t="shared" si="64"/>
        <v>267736</v>
      </c>
      <c r="I87" s="326">
        <f t="shared" si="64"/>
        <v>399465</v>
      </c>
      <c r="J87" s="326">
        <f t="shared" si="64"/>
        <v>332061</v>
      </c>
      <c r="K87" s="326">
        <f t="shared" si="64"/>
        <v>359388</v>
      </c>
      <c r="L87" s="326">
        <f t="shared" si="64"/>
        <v>273462</v>
      </c>
      <c r="M87" s="326">
        <f t="shared" si="64"/>
        <v>292763</v>
      </c>
      <c r="N87" s="326">
        <f t="shared" si="64"/>
        <v>352684</v>
      </c>
      <c r="O87" s="326">
        <f t="shared" si="64"/>
        <v>284068</v>
      </c>
      <c r="P87" s="326">
        <f t="shared" si="64"/>
        <v>277291</v>
      </c>
      <c r="Q87" s="326">
        <f t="shared" si="64"/>
        <v>337884</v>
      </c>
      <c r="R87" s="326">
        <f t="shared" ref="R87:S87" si="65">R46+R67+R86</f>
        <v>377976</v>
      </c>
      <c r="S87" s="326">
        <f t="shared" si="65"/>
        <v>387979</v>
      </c>
      <c r="T87" s="326">
        <f t="shared" ref="T87" si="66">T46+T67+T86</f>
        <v>398903</v>
      </c>
      <c r="U87" s="326">
        <f t="shared" si="64"/>
        <v>4073924</v>
      </c>
      <c r="V87" s="367">
        <f t="shared" si="64"/>
        <v>339493.66666666663</v>
      </c>
      <c r="W87" s="310"/>
    </row>
    <row r="88" spans="1:23" s="16" customFormat="1" x14ac:dyDescent="0.25">
      <c r="A88"/>
      <c r="B88"/>
      <c r="C88"/>
      <c r="D88"/>
      <c r="E88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3" x14ac:dyDescent="0.25">
      <c r="U89" s="443" t="s">
        <v>491</v>
      </c>
      <c r="V89" s="443"/>
    </row>
    <row r="90" spans="1:23" x14ac:dyDescent="0.25">
      <c r="U90" s="332"/>
      <c r="V90" s="332"/>
    </row>
  </sheetData>
  <mergeCells count="11">
    <mergeCell ref="U89:V89"/>
    <mergeCell ref="A1:V1"/>
    <mergeCell ref="B5:C6"/>
    <mergeCell ref="D5:E6"/>
    <mergeCell ref="A2:V2"/>
    <mergeCell ref="A3:V3"/>
    <mergeCell ref="A5:A6"/>
    <mergeCell ref="U5:U6"/>
    <mergeCell ref="V5:V6"/>
    <mergeCell ref="A87:E87"/>
    <mergeCell ref="F5:T5"/>
  </mergeCells>
  <pageMargins left="0.11811023622047245" right="0.11811023622047245" top="0.11811023622047245" bottom="0.15748031496062992" header="0.12" footer="0.11811023622047245"/>
  <pageSetup paperSize="9" scale="70" orientation="portrait" r:id="rId1"/>
  <headerFoot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B2:Y1048576"/>
  <sheetViews>
    <sheetView topLeftCell="B43" zoomScale="65" zoomScaleNormal="65" workbookViewId="0">
      <selection activeCell="J10" sqref="J10"/>
    </sheetView>
  </sheetViews>
  <sheetFormatPr defaultRowHeight="15" x14ac:dyDescent="0.25"/>
  <cols>
    <col min="2" max="2" width="4.5703125" customWidth="1"/>
    <col min="3" max="3" width="15.7109375" customWidth="1"/>
    <col min="4" max="4" width="22.28515625" customWidth="1"/>
    <col min="5" max="5" width="2.7109375" customWidth="1"/>
    <col min="6" max="6" width="33.28515625" customWidth="1"/>
    <col min="7" max="18" width="15.7109375" customWidth="1"/>
    <col min="19" max="22" width="17.85546875" customWidth="1"/>
    <col min="23" max="23" width="15.7109375" customWidth="1"/>
    <col min="24" max="24" width="14.140625" customWidth="1"/>
  </cols>
  <sheetData>
    <row r="2" spans="2:24" ht="15.75" x14ac:dyDescent="0.25">
      <c r="B2" s="423" t="s">
        <v>90</v>
      </c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</row>
    <row r="3" spans="2:24" x14ac:dyDescent="0.25">
      <c r="B3" s="392" t="s">
        <v>511</v>
      </c>
      <c r="C3" s="392"/>
      <c r="D3" s="392"/>
      <c r="E3" s="392"/>
      <c r="F3" s="392"/>
      <c r="G3" s="392"/>
      <c r="H3" s="392"/>
      <c r="I3" s="392"/>
      <c r="J3" s="392"/>
      <c r="K3" s="392"/>
      <c r="L3" s="392"/>
      <c r="M3" s="392"/>
      <c r="N3" s="392"/>
      <c r="O3" s="392"/>
      <c r="P3" s="392"/>
      <c r="Q3" s="392"/>
      <c r="R3" s="392"/>
      <c r="S3" s="392"/>
      <c r="T3" s="392"/>
      <c r="U3" s="392"/>
      <c r="V3" s="392"/>
      <c r="W3" s="392"/>
      <c r="X3" s="392"/>
    </row>
    <row r="4" spans="2:24" ht="15.75" thickBot="1" x14ac:dyDescent="0.3">
      <c r="B4" s="450" t="s">
        <v>394</v>
      </c>
      <c r="C4" s="450"/>
      <c r="D4" s="450"/>
      <c r="E4" s="450"/>
      <c r="F4" s="450"/>
      <c r="G4" s="450"/>
      <c r="H4" s="450"/>
      <c r="I4" s="450"/>
      <c r="J4" s="450"/>
      <c r="K4" s="450"/>
      <c r="L4" s="450"/>
      <c r="M4" s="450"/>
      <c r="N4" s="450"/>
      <c r="O4" s="450"/>
      <c r="P4" s="450"/>
      <c r="Q4" s="450"/>
      <c r="R4" s="450"/>
      <c r="S4" s="450"/>
      <c r="T4" s="450"/>
      <c r="U4" s="450"/>
      <c r="V4" s="450"/>
      <c r="W4" s="450"/>
      <c r="X4" s="450"/>
    </row>
    <row r="5" spans="2:24" ht="16.5" thickTop="1" thickBot="1" x14ac:dyDescent="0.3"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2:24" ht="15.75" thickBot="1" x14ac:dyDescent="0.3">
      <c r="B6" s="444" t="s">
        <v>503</v>
      </c>
      <c r="C6" s="444" t="s">
        <v>397</v>
      </c>
      <c r="D6" s="445"/>
      <c r="E6" s="444" t="s">
        <v>398</v>
      </c>
      <c r="F6" s="448"/>
      <c r="G6" s="459" t="s">
        <v>5</v>
      </c>
      <c r="H6" s="458"/>
      <c r="I6" s="458"/>
      <c r="J6" s="458"/>
      <c r="K6" s="458"/>
      <c r="L6" s="458"/>
      <c r="M6" s="458"/>
      <c r="N6" s="458"/>
      <c r="O6" s="458"/>
      <c r="P6" s="458"/>
      <c r="Q6" s="458"/>
      <c r="R6" s="458"/>
      <c r="S6" s="458"/>
      <c r="T6" s="458"/>
      <c r="U6" s="458"/>
      <c r="V6" s="460"/>
      <c r="W6" s="451" t="s">
        <v>469</v>
      </c>
      <c r="X6" s="453" t="s">
        <v>470</v>
      </c>
    </row>
    <row r="7" spans="2:24" ht="15.75" thickBot="1" x14ac:dyDescent="0.3">
      <c r="B7" s="446"/>
      <c r="C7" s="446"/>
      <c r="D7" s="447"/>
      <c r="E7" s="446"/>
      <c r="F7" s="449"/>
      <c r="G7" s="372" t="s">
        <v>89</v>
      </c>
      <c r="H7" s="373" t="s">
        <v>138</v>
      </c>
      <c r="I7" s="361" t="s">
        <v>467</v>
      </c>
      <c r="J7" s="372" t="s">
        <v>493</v>
      </c>
      <c r="K7" s="374" t="s">
        <v>494</v>
      </c>
      <c r="L7" s="374" t="s">
        <v>500</v>
      </c>
      <c r="M7" s="374" t="s">
        <v>501</v>
      </c>
      <c r="N7" s="374" t="s">
        <v>502</v>
      </c>
      <c r="O7" s="374" t="s">
        <v>504</v>
      </c>
      <c r="P7" s="374" t="s">
        <v>505</v>
      </c>
      <c r="Q7" s="374" t="s">
        <v>506</v>
      </c>
      <c r="R7" s="374" t="s">
        <v>507</v>
      </c>
      <c r="S7" s="374" t="s">
        <v>508</v>
      </c>
      <c r="T7" s="374" t="s">
        <v>509</v>
      </c>
      <c r="U7" s="374" t="s">
        <v>510</v>
      </c>
      <c r="V7" s="374" t="s">
        <v>512</v>
      </c>
      <c r="W7" s="452"/>
      <c r="X7" s="454"/>
    </row>
    <row r="8" spans="2:24" x14ac:dyDescent="0.25">
      <c r="B8" s="296"/>
      <c r="C8" s="297"/>
      <c r="D8" s="298"/>
      <c r="E8" s="297"/>
      <c r="F8" s="298"/>
      <c r="G8" s="318"/>
      <c r="H8" s="318"/>
      <c r="I8" s="318"/>
      <c r="J8" s="318"/>
      <c r="K8" s="352"/>
      <c r="L8" s="375"/>
      <c r="M8" s="344"/>
      <c r="N8" s="344"/>
      <c r="O8" s="344"/>
      <c r="P8" s="344"/>
      <c r="Q8" s="344"/>
      <c r="R8" s="344"/>
      <c r="S8" s="344"/>
      <c r="T8" s="352"/>
      <c r="U8" s="375"/>
      <c r="V8" s="358"/>
      <c r="W8" s="328"/>
      <c r="X8" s="328"/>
    </row>
    <row r="9" spans="2:24" x14ac:dyDescent="0.25">
      <c r="B9" s="299">
        <v>1</v>
      </c>
      <c r="C9" s="300" t="s">
        <v>399</v>
      </c>
      <c r="D9" s="301" t="s">
        <v>400</v>
      </c>
      <c r="E9" s="309" t="s">
        <v>401</v>
      </c>
      <c r="F9" s="301"/>
      <c r="G9" s="319"/>
      <c r="H9" s="319"/>
      <c r="I9" s="319"/>
      <c r="J9" s="319"/>
      <c r="K9" s="319"/>
      <c r="L9" s="319"/>
      <c r="M9" s="345"/>
      <c r="N9" s="345"/>
      <c r="O9" s="345"/>
      <c r="P9" s="345"/>
      <c r="Q9" s="345"/>
      <c r="R9" s="345"/>
      <c r="S9" s="345"/>
      <c r="T9" s="319"/>
      <c r="U9" s="337"/>
      <c r="V9" s="356"/>
      <c r="W9" s="329"/>
      <c r="X9" s="329"/>
    </row>
    <row r="10" spans="2:24" x14ac:dyDescent="0.25">
      <c r="B10" s="299"/>
      <c r="C10" s="300" t="s">
        <v>402</v>
      </c>
      <c r="D10" s="301" t="s">
        <v>403</v>
      </c>
      <c r="E10" s="300"/>
      <c r="F10" s="301" t="s">
        <v>404</v>
      </c>
      <c r="G10" s="320">
        <v>0</v>
      </c>
      <c r="H10" s="320">
        <v>111</v>
      </c>
      <c r="I10" s="320">
        <v>310</v>
      </c>
      <c r="J10" s="320">
        <v>817</v>
      </c>
      <c r="K10" s="320">
        <v>2345</v>
      </c>
      <c r="L10" s="320">
        <v>2065</v>
      </c>
      <c r="M10" s="320">
        <v>1400</v>
      </c>
      <c r="N10" s="320">
        <v>1620</v>
      </c>
      <c r="O10" s="320">
        <v>2645</v>
      </c>
      <c r="P10" s="320">
        <v>1968</v>
      </c>
      <c r="Q10" s="320">
        <v>1175</v>
      </c>
      <c r="R10" s="320">
        <v>5075</v>
      </c>
      <c r="S10" s="320">
        <v>2565</v>
      </c>
      <c r="T10" s="320">
        <v>3950</v>
      </c>
      <c r="U10" s="320">
        <v>1000</v>
      </c>
      <c r="V10" s="320">
        <v>2580</v>
      </c>
      <c r="W10" s="329">
        <f>SUM(K10:V10)</f>
        <v>28388</v>
      </c>
      <c r="X10" s="329">
        <f>W10/12</f>
        <v>2365.6666666666665</v>
      </c>
    </row>
    <row r="11" spans="2:24" x14ac:dyDescent="0.25">
      <c r="B11" s="299"/>
      <c r="C11" s="300"/>
      <c r="D11" s="301" t="s">
        <v>465</v>
      </c>
      <c r="E11" s="300"/>
      <c r="F11" s="301" t="s">
        <v>405</v>
      </c>
      <c r="G11" s="320">
        <v>17169</v>
      </c>
      <c r="H11" s="320">
        <v>12906</v>
      </c>
      <c r="I11" s="320">
        <v>15554</v>
      </c>
      <c r="J11" s="320">
        <v>13094</v>
      </c>
      <c r="K11" s="320">
        <v>11374</v>
      </c>
      <c r="L11" s="320">
        <v>13279</v>
      </c>
      <c r="M11" s="320">
        <v>13352</v>
      </c>
      <c r="N11" s="320">
        <v>9082</v>
      </c>
      <c r="O11" s="320">
        <v>11309</v>
      </c>
      <c r="P11" s="320">
        <v>12383</v>
      </c>
      <c r="Q11" s="320">
        <v>12560</v>
      </c>
      <c r="R11" s="320">
        <v>7330</v>
      </c>
      <c r="S11" s="320">
        <v>8260</v>
      </c>
      <c r="T11" s="320">
        <v>12056</v>
      </c>
      <c r="U11" s="320">
        <v>11320</v>
      </c>
      <c r="V11" s="320">
        <v>8147</v>
      </c>
      <c r="W11" s="329">
        <f t="shared" ref="W11:W16" si="0">SUM(K11:V11)</f>
        <v>130452</v>
      </c>
      <c r="X11" s="329">
        <f t="shared" ref="X11:X16" si="1">W11/12</f>
        <v>10871</v>
      </c>
    </row>
    <row r="12" spans="2:24" x14ac:dyDescent="0.25">
      <c r="B12" s="299"/>
      <c r="C12" s="300"/>
      <c r="D12" s="301" t="s">
        <v>486</v>
      </c>
      <c r="E12" s="300"/>
      <c r="F12" s="301" t="s">
        <v>406</v>
      </c>
      <c r="G12" s="320">
        <v>2438</v>
      </c>
      <c r="H12" s="320">
        <v>5218</v>
      </c>
      <c r="I12" s="320">
        <v>8158</v>
      </c>
      <c r="J12" s="320">
        <v>10717</v>
      </c>
      <c r="K12" s="320">
        <v>12188</v>
      </c>
      <c r="L12" s="320">
        <v>12645</v>
      </c>
      <c r="M12" s="320">
        <v>11185</v>
      </c>
      <c r="N12" s="320">
        <v>12665</v>
      </c>
      <c r="O12" s="320">
        <v>7115</v>
      </c>
      <c r="P12" s="320">
        <v>10069</v>
      </c>
      <c r="Q12" s="320">
        <v>9967</v>
      </c>
      <c r="R12" s="320">
        <v>8502</v>
      </c>
      <c r="S12" s="320">
        <v>9559</v>
      </c>
      <c r="T12" s="320">
        <v>11446</v>
      </c>
      <c r="U12" s="320">
        <v>5942</v>
      </c>
      <c r="V12" s="320">
        <v>7659</v>
      </c>
      <c r="W12" s="329">
        <f t="shared" si="0"/>
        <v>118942</v>
      </c>
      <c r="X12" s="329">
        <f t="shared" si="1"/>
        <v>9911.8333333333339</v>
      </c>
    </row>
    <row r="13" spans="2:24" x14ac:dyDescent="0.25">
      <c r="B13" s="299"/>
      <c r="C13" s="300"/>
      <c r="D13" s="301"/>
      <c r="E13" s="300"/>
      <c r="F13" s="301" t="s">
        <v>407</v>
      </c>
      <c r="G13" s="320">
        <v>0</v>
      </c>
      <c r="H13" s="320">
        <v>3310</v>
      </c>
      <c r="I13" s="320">
        <v>5277</v>
      </c>
      <c r="J13" s="320">
        <v>6916</v>
      </c>
      <c r="K13" s="320">
        <v>6060</v>
      </c>
      <c r="L13" s="320">
        <v>10780</v>
      </c>
      <c r="M13" s="320">
        <v>10680</v>
      </c>
      <c r="N13" s="320">
        <v>8691</v>
      </c>
      <c r="O13" s="320">
        <v>9638</v>
      </c>
      <c r="P13" s="320">
        <v>10974</v>
      </c>
      <c r="Q13" s="320">
        <v>8875</v>
      </c>
      <c r="R13" s="320">
        <v>8549</v>
      </c>
      <c r="S13" s="320">
        <v>7263</v>
      </c>
      <c r="T13" s="320">
        <v>10394</v>
      </c>
      <c r="U13" s="320">
        <v>10327</v>
      </c>
      <c r="V13" s="320">
        <v>7250</v>
      </c>
      <c r="W13" s="329">
        <f t="shared" si="0"/>
        <v>109481</v>
      </c>
      <c r="X13" s="329">
        <f t="shared" si="1"/>
        <v>9123.4166666666661</v>
      </c>
    </row>
    <row r="14" spans="2:24" x14ac:dyDescent="0.25">
      <c r="B14" s="299"/>
      <c r="C14" s="300"/>
      <c r="D14" s="301"/>
      <c r="E14" s="300"/>
      <c r="F14" s="301" t="s">
        <v>408</v>
      </c>
      <c r="G14" s="320">
        <v>11736</v>
      </c>
      <c r="H14" s="320">
        <v>7021</v>
      </c>
      <c r="I14" s="320">
        <v>6964</v>
      </c>
      <c r="J14" s="320">
        <v>9029</v>
      </c>
      <c r="K14" s="320">
        <v>8349</v>
      </c>
      <c r="L14" s="320">
        <v>12212</v>
      </c>
      <c r="M14" s="320">
        <v>11707</v>
      </c>
      <c r="N14" s="320">
        <v>10514</v>
      </c>
      <c r="O14" s="320">
        <v>9953</v>
      </c>
      <c r="P14" s="320">
        <v>10564</v>
      </c>
      <c r="Q14" s="320">
        <v>11972</v>
      </c>
      <c r="R14" s="320">
        <v>6850</v>
      </c>
      <c r="S14" s="320">
        <v>11646</v>
      </c>
      <c r="T14" s="320">
        <v>15162</v>
      </c>
      <c r="U14" s="320">
        <v>9048</v>
      </c>
      <c r="V14" s="320">
        <v>7672</v>
      </c>
      <c r="W14" s="329">
        <f t="shared" si="0"/>
        <v>125649</v>
      </c>
      <c r="X14" s="329">
        <f t="shared" si="1"/>
        <v>10470.75</v>
      </c>
    </row>
    <row r="15" spans="2:24" x14ac:dyDescent="0.25">
      <c r="B15" s="299"/>
      <c r="C15" s="300"/>
      <c r="D15" s="301"/>
      <c r="E15" s="300"/>
      <c r="F15" s="301" t="s">
        <v>437</v>
      </c>
      <c r="G15" s="322">
        <v>9591</v>
      </c>
      <c r="H15" s="322">
        <v>7185</v>
      </c>
      <c r="I15" s="322">
        <v>6736</v>
      </c>
      <c r="J15" s="322">
        <v>10324</v>
      </c>
      <c r="K15" s="322">
        <v>8069</v>
      </c>
      <c r="L15" s="320">
        <v>15293</v>
      </c>
      <c r="M15" s="320">
        <v>12077</v>
      </c>
      <c r="N15" s="320">
        <v>9410</v>
      </c>
      <c r="O15" s="320">
        <v>9681</v>
      </c>
      <c r="P15" s="320">
        <v>12893</v>
      </c>
      <c r="Q15" s="320">
        <v>9224</v>
      </c>
      <c r="R15" s="320">
        <v>8746</v>
      </c>
      <c r="S15" s="320">
        <v>15332</v>
      </c>
      <c r="T15" s="320">
        <v>18271</v>
      </c>
      <c r="U15" s="320">
        <v>13336</v>
      </c>
      <c r="V15" s="320">
        <v>12085</v>
      </c>
      <c r="W15" s="329">
        <f t="shared" si="0"/>
        <v>144417</v>
      </c>
      <c r="X15" s="329">
        <f t="shared" si="1"/>
        <v>12034.75</v>
      </c>
    </row>
    <row r="16" spans="2:24" ht="15.75" thickBot="1" x14ac:dyDescent="0.3">
      <c r="B16" s="299"/>
      <c r="C16" s="300"/>
      <c r="D16" s="301"/>
      <c r="E16" s="300"/>
      <c r="F16" s="301" t="s">
        <v>409</v>
      </c>
      <c r="G16" s="320">
        <v>0</v>
      </c>
      <c r="H16" s="320">
        <v>103</v>
      </c>
      <c r="I16" s="320">
        <v>294</v>
      </c>
      <c r="J16" s="320">
        <v>826</v>
      </c>
      <c r="K16" s="320">
        <v>1590</v>
      </c>
      <c r="L16" s="320">
        <v>660</v>
      </c>
      <c r="M16" s="320">
        <v>613</v>
      </c>
      <c r="N16" s="320">
        <v>840</v>
      </c>
      <c r="O16" s="320">
        <v>515</v>
      </c>
      <c r="P16" s="320">
        <v>1100</v>
      </c>
      <c r="Q16" s="320">
        <v>1300</v>
      </c>
      <c r="R16" s="320">
        <v>1355</v>
      </c>
      <c r="S16" s="320">
        <v>1725</v>
      </c>
      <c r="T16" s="320">
        <v>1765</v>
      </c>
      <c r="U16" s="320">
        <v>720</v>
      </c>
      <c r="V16" s="320">
        <v>990</v>
      </c>
      <c r="W16" s="329">
        <f t="shared" si="0"/>
        <v>13173</v>
      </c>
      <c r="X16" s="329">
        <f t="shared" si="1"/>
        <v>1097.75</v>
      </c>
    </row>
    <row r="17" spans="2:24" ht="15.75" thickBot="1" x14ac:dyDescent="0.3">
      <c r="B17" s="311"/>
      <c r="C17" s="312"/>
      <c r="D17" s="313"/>
      <c r="E17" s="312"/>
      <c r="F17" s="313"/>
      <c r="G17" s="321">
        <f>SUM(G10:G16)</f>
        <v>40934</v>
      </c>
      <c r="H17" s="321">
        <f t="shared" ref="H17:X17" si="2">SUM(H10:H16)</f>
        <v>35854</v>
      </c>
      <c r="I17" s="321">
        <f t="shared" si="2"/>
        <v>43293</v>
      </c>
      <c r="J17" s="321">
        <f t="shared" si="2"/>
        <v>51723</v>
      </c>
      <c r="K17" s="321">
        <f t="shared" si="2"/>
        <v>49975</v>
      </c>
      <c r="L17" s="321">
        <f t="shared" ref="L17:M17" si="3">SUM(L10:L16)</f>
        <v>66934</v>
      </c>
      <c r="M17" s="321">
        <f t="shared" si="3"/>
        <v>61014</v>
      </c>
      <c r="N17" s="321">
        <f t="shared" ref="N17:S17" si="4">SUM(N10:N16)</f>
        <v>52822</v>
      </c>
      <c r="O17" s="321">
        <f t="shared" si="4"/>
        <v>50856</v>
      </c>
      <c r="P17" s="321">
        <f t="shared" si="4"/>
        <v>59951</v>
      </c>
      <c r="Q17" s="321">
        <f t="shared" si="4"/>
        <v>55073</v>
      </c>
      <c r="R17" s="321">
        <f t="shared" si="4"/>
        <v>46407</v>
      </c>
      <c r="S17" s="321">
        <f t="shared" si="4"/>
        <v>56350</v>
      </c>
      <c r="T17" s="321">
        <f t="shared" ref="T17:U17" si="5">SUM(T10:T16)</f>
        <v>73044</v>
      </c>
      <c r="U17" s="321">
        <f t="shared" si="5"/>
        <v>51693</v>
      </c>
      <c r="V17" s="321">
        <f t="shared" ref="V17" si="6">SUM(V10:V16)</f>
        <v>46383</v>
      </c>
      <c r="W17" s="330">
        <f t="shared" si="2"/>
        <v>670502</v>
      </c>
      <c r="X17" s="330">
        <f t="shared" si="2"/>
        <v>55875.166666666664</v>
      </c>
    </row>
    <row r="18" spans="2:24" x14ac:dyDescent="0.25">
      <c r="B18" s="296"/>
      <c r="C18" s="297"/>
      <c r="D18" s="298"/>
      <c r="E18" s="297"/>
      <c r="F18" s="298"/>
      <c r="G18" s="322"/>
      <c r="H18" s="322"/>
      <c r="I18" s="322"/>
      <c r="J18" s="322"/>
      <c r="K18" s="322"/>
      <c r="L18" s="322"/>
      <c r="M18" s="322"/>
      <c r="N18" s="322"/>
      <c r="O18" s="322"/>
      <c r="P18" s="322"/>
      <c r="Q18" s="322"/>
      <c r="R18" s="322"/>
      <c r="S18" s="322"/>
      <c r="T18" s="322"/>
      <c r="U18" s="322"/>
      <c r="V18" s="322"/>
      <c r="W18" s="328"/>
      <c r="X18" s="328"/>
    </row>
    <row r="19" spans="2:24" x14ac:dyDescent="0.25">
      <c r="B19" s="299">
        <v>2</v>
      </c>
      <c r="C19" s="300" t="s">
        <v>399</v>
      </c>
      <c r="D19" s="301" t="s">
        <v>410</v>
      </c>
      <c r="E19" s="309" t="s">
        <v>411</v>
      </c>
      <c r="F19" s="301"/>
      <c r="G19" s="319"/>
      <c r="H19" s="319"/>
      <c r="I19" s="319"/>
      <c r="J19" s="319"/>
      <c r="K19" s="319"/>
      <c r="L19" s="319"/>
      <c r="M19" s="319"/>
      <c r="N19" s="319"/>
      <c r="O19" s="319"/>
      <c r="P19" s="319"/>
      <c r="Q19" s="319"/>
      <c r="R19" s="319"/>
      <c r="S19" s="319"/>
      <c r="T19" s="319"/>
      <c r="U19" s="319"/>
      <c r="V19" s="319"/>
      <c r="W19" s="329"/>
      <c r="X19" s="329"/>
    </row>
    <row r="20" spans="2:24" x14ac:dyDescent="0.25">
      <c r="B20" s="299"/>
      <c r="C20" s="300" t="s">
        <v>402</v>
      </c>
      <c r="D20" s="301" t="s">
        <v>412</v>
      </c>
      <c r="E20" s="300"/>
      <c r="F20" s="301" t="s">
        <v>131</v>
      </c>
      <c r="G20" s="320">
        <v>0</v>
      </c>
      <c r="H20" s="320">
        <v>4126</v>
      </c>
      <c r="I20" s="320">
        <v>17782</v>
      </c>
      <c r="J20" s="320">
        <v>13746</v>
      </c>
      <c r="K20" s="320">
        <v>15737</v>
      </c>
      <c r="L20" s="320">
        <v>10892</v>
      </c>
      <c r="M20" s="320">
        <v>20529</v>
      </c>
      <c r="N20" s="320">
        <v>15583</v>
      </c>
      <c r="O20" s="320">
        <v>12695</v>
      </c>
      <c r="P20" s="319">
        <v>18039</v>
      </c>
      <c r="Q20" s="319">
        <v>13972</v>
      </c>
      <c r="R20" s="319">
        <v>14383</v>
      </c>
      <c r="S20" s="319">
        <v>14148</v>
      </c>
      <c r="T20" s="319">
        <v>21969</v>
      </c>
      <c r="U20" s="319">
        <v>16177</v>
      </c>
      <c r="V20" s="319">
        <v>18540</v>
      </c>
      <c r="W20" s="329">
        <f t="shared" ref="W20:W25" si="7">SUM(K20:V20)</f>
        <v>192664</v>
      </c>
      <c r="X20" s="329">
        <f t="shared" ref="X20:X25" si="8">W20/12</f>
        <v>16055.333333333334</v>
      </c>
    </row>
    <row r="21" spans="2:24" x14ac:dyDescent="0.25">
      <c r="B21" s="299"/>
      <c r="C21" s="300"/>
      <c r="D21" s="301" t="s">
        <v>413</v>
      </c>
      <c r="E21" s="300"/>
      <c r="F21" s="301" t="s">
        <v>320</v>
      </c>
      <c r="G21" s="320">
        <v>0</v>
      </c>
      <c r="H21" s="320">
        <v>0</v>
      </c>
      <c r="I21" s="320">
        <v>8995</v>
      </c>
      <c r="J21" s="320">
        <v>35001</v>
      </c>
      <c r="K21" s="320">
        <v>43321</v>
      </c>
      <c r="L21" s="320">
        <v>37225</v>
      </c>
      <c r="M21" s="320">
        <v>38553</v>
      </c>
      <c r="N21" s="320">
        <v>34315</v>
      </c>
      <c r="O21" s="320">
        <v>24430</v>
      </c>
      <c r="P21" s="319">
        <v>33755</v>
      </c>
      <c r="Q21" s="319">
        <v>36610</v>
      </c>
      <c r="R21" s="319">
        <v>35410</v>
      </c>
      <c r="S21" s="319">
        <v>35200</v>
      </c>
      <c r="T21" s="319">
        <v>15035</v>
      </c>
      <c r="U21" s="319">
        <v>28420</v>
      </c>
      <c r="V21" s="319">
        <v>32685</v>
      </c>
      <c r="W21" s="329">
        <f t="shared" si="7"/>
        <v>394959</v>
      </c>
      <c r="X21" s="329">
        <f t="shared" si="8"/>
        <v>32913.25</v>
      </c>
    </row>
    <row r="22" spans="2:24" x14ac:dyDescent="0.25">
      <c r="B22" s="299"/>
      <c r="C22" s="300"/>
      <c r="D22" s="301"/>
      <c r="E22" s="300"/>
      <c r="F22" s="301" t="s">
        <v>414</v>
      </c>
      <c r="G22" s="320">
        <v>0</v>
      </c>
      <c r="H22" s="320">
        <v>136</v>
      </c>
      <c r="I22" s="320">
        <v>303</v>
      </c>
      <c r="J22" s="320">
        <v>156</v>
      </c>
      <c r="K22" s="320">
        <v>0</v>
      </c>
      <c r="L22" s="320">
        <v>0</v>
      </c>
      <c r="M22" s="320">
        <v>340</v>
      </c>
      <c r="N22" s="320">
        <v>0</v>
      </c>
      <c r="O22" s="320">
        <v>0</v>
      </c>
      <c r="P22" s="319">
        <v>0</v>
      </c>
      <c r="Q22" s="319">
        <v>0</v>
      </c>
      <c r="R22" s="319">
        <v>0</v>
      </c>
      <c r="S22" s="319">
        <v>230</v>
      </c>
      <c r="T22" s="319">
        <v>0</v>
      </c>
      <c r="U22" s="319">
        <v>0</v>
      </c>
      <c r="V22" s="319">
        <v>30</v>
      </c>
      <c r="W22" s="329">
        <f t="shared" si="7"/>
        <v>600</v>
      </c>
      <c r="X22" s="329">
        <f t="shared" si="8"/>
        <v>50</v>
      </c>
    </row>
    <row r="23" spans="2:24" x14ac:dyDescent="0.25">
      <c r="B23" s="299"/>
      <c r="C23" s="300"/>
      <c r="D23" s="301"/>
      <c r="E23" s="300"/>
      <c r="F23" s="301" t="s">
        <v>125</v>
      </c>
      <c r="G23" s="320">
        <v>12652</v>
      </c>
      <c r="H23" s="320">
        <v>14850</v>
      </c>
      <c r="I23" s="320">
        <v>15131</v>
      </c>
      <c r="J23" s="320">
        <v>23958</v>
      </c>
      <c r="K23" s="320">
        <v>34988</v>
      </c>
      <c r="L23" s="320">
        <v>28945</v>
      </c>
      <c r="M23" s="320">
        <v>34416</v>
      </c>
      <c r="N23" s="320">
        <v>30890</v>
      </c>
      <c r="O23" s="320">
        <v>25007</v>
      </c>
      <c r="P23" s="319">
        <v>32802</v>
      </c>
      <c r="Q23" s="319">
        <v>27182</v>
      </c>
      <c r="R23" s="319">
        <v>26939</v>
      </c>
      <c r="S23" s="319">
        <v>34772</v>
      </c>
      <c r="T23" s="319">
        <v>45477</v>
      </c>
      <c r="U23" s="319">
        <v>27380</v>
      </c>
      <c r="V23" s="319">
        <v>31270</v>
      </c>
      <c r="W23" s="329">
        <f t="shared" si="7"/>
        <v>380068</v>
      </c>
      <c r="X23" s="329">
        <f t="shared" si="8"/>
        <v>31672.333333333332</v>
      </c>
    </row>
    <row r="24" spans="2:24" x14ac:dyDescent="0.25">
      <c r="B24" s="299"/>
      <c r="C24" s="300"/>
      <c r="D24" s="301"/>
      <c r="E24" s="300"/>
      <c r="F24" s="301" t="s">
        <v>415</v>
      </c>
      <c r="G24" s="320">
        <v>7594</v>
      </c>
      <c r="H24" s="320">
        <v>3730</v>
      </c>
      <c r="I24" s="320">
        <v>1052</v>
      </c>
      <c r="J24" s="320">
        <v>899</v>
      </c>
      <c r="K24" s="320">
        <v>390</v>
      </c>
      <c r="L24" s="320">
        <v>400</v>
      </c>
      <c r="M24" s="320">
        <v>100</v>
      </c>
      <c r="N24" s="320">
        <v>0</v>
      </c>
      <c r="O24" s="320">
        <v>200</v>
      </c>
      <c r="P24" s="319">
        <v>330</v>
      </c>
      <c r="Q24" s="319">
        <v>145</v>
      </c>
      <c r="R24" s="319">
        <v>900</v>
      </c>
      <c r="S24" s="319">
        <v>1645</v>
      </c>
      <c r="T24" s="319">
        <v>550</v>
      </c>
      <c r="U24" s="319">
        <v>884</v>
      </c>
      <c r="V24" s="319">
        <v>1000</v>
      </c>
      <c r="W24" s="329">
        <f t="shared" si="7"/>
        <v>6544</v>
      </c>
      <c r="X24" s="329">
        <f t="shared" si="8"/>
        <v>545.33333333333337</v>
      </c>
    </row>
    <row r="25" spans="2:24" ht="15.75" thickBot="1" x14ac:dyDescent="0.3">
      <c r="B25" s="302"/>
      <c r="C25" s="303"/>
      <c r="D25" s="304"/>
      <c r="E25" s="303"/>
      <c r="F25" s="304" t="s">
        <v>416</v>
      </c>
      <c r="G25" s="323">
        <v>0</v>
      </c>
      <c r="H25" s="323">
        <v>816</v>
      </c>
      <c r="I25" s="323">
        <v>1231</v>
      </c>
      <c r="J25" s="323">
        <v>2519</v>
      </c>
      <c r="K25" s="323">
        <v>6000</v>
      </c>
      <c r="L25" s="320">
        <v>2424</v>
      </c>
      <c r="M25" s="320">
        <v>3345</v>
      </c>
      <c r="N25" s="320">
        <v>3164</v>
      </c>
      <c r="O25" s="320">
        <v>3398</v>
      </c>
      <c r="P25" s="319">
        <v>6295</v>
      </c>
      <c r="Q25" s="319">
        <v>2460</v>
      </c>
      <c r="R25" s="319">
        <v>2980</v>
      </c>
      <c r="S25" s="319">
        <v>3920</v>
      </c>
      <c r="T25" s="319">
        <v>2425</v>
      </c>
      <c r="U25" s="319">
        <v>2635</v>
      </c>
      <c r="V25" s="319">
        <v>3205</v>
      </c>
      <c r="W25" s="329">
        <f t="shared" si="7"/>
        <v>42251</v>
      </c>
      <c r="X25" s="329">
        <f t="shared" si="8"/>
        <v>3520.9166666666665</v>
      </c>
    </row>
    <row r="26" spans="2:24" ht="15.75" thickBot="1" x14ac:dyDescent="0.3">
      <c r="B26" s="311"/>
      <c r="C26" s="312"/>
      <c r="D26" s="313"/>
      <c r="E26" s="312"/>
      <c r="F26" s="313"/>
      <c r="G26" s="321">
        <f t="shared" ref="G26:K26" si="9">SUM(G20:G25)</f>
        <v>20246</v>
      </c>
      <c r="H26" s="321">
        <f t="shared" si="9"/>
        <v>23658</v>
      </c>
      <c r="I26" s="321">
        <f t="shared" si="9"/>
        <v>44494</v>
      </c>
      <c r="J26" s="321">
        <f t="shared" si="9"/>
        <v>76279</v>
      </c>
      <c r="K26" s="321">
        <f t="shared" si="9"/>
        <v>100436</v>
      </c>
      <c r="L26" s="321">
        <f t="shared" ref="L26:M26" si="10">SUM(L20:L25)</f>
        <v>79886</v>
      </c>
      <c r="M26" s="321">
        <f t="shared" si="10"/>
        <v>97283</v>
      </c>
      <c r="N26" s="321">
        <f t="shared" ref="N26:W26" si="11">SUM(N20:N25)</f>
        <v>83952</v>
      </c>
      <c r="O26" s="321">
        <f t="shared" si="11"/>
        <v>65730</v>
      </c>
      <c r="P26" s="321">
        <f t="shared" si="11"/>
        <v>91221</v>
      </c>
      <c r="Q26" s="321">
        <f t="shared" si="11"/>
        <v>80369</v>
      </c>
      <c r="R26" s="321">
        <f t="shared" si="11"/>
        <v>80612</v>
      </c>
      <c r="S26" s="321">
        <f>SUM(S20:S25)</f>
        <v>89915</v>
      </c>
      <c r="T26" s="321">
        <f>SUM(T20:T25)</f>
        <v>85456</v>
      </c>
      <c r="U26" s="321">
        <f>SUM(U20:U25)</f>
        <v>75496</v>
      </c>
      <c r="V26" s="321">
        <f>SUM(V20:V25)</f>
        <v>86730</v>
      </c>
      <c r="W26" s="330">
        <f t="shared" si="11"/>
        <v>1017086</v>
      </c>
      <c r="X26" s="330">
        <f>SUM(X20:X25)</f>
        <v>84757.166666666672</v>
      </c>
    </row>
    <row r="27" spans="2:24" x14ac:dyDescent="0.25">
      <c r="B27" s="296"/>
      <c r="C27" s="297"/>
      <c r="D27" s="298"/>
      <c r="E27" s="297"/>
      <c r="F27" s="298"/>
      <c r="G27" s="322"/>
      <c r="H27" s="322"/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8"/>
      <c r="X27" s="328"/>
    </row>
    <row r="28" spans="2:24" x14ac:dyDescent="0.25">
      <c r="B28" s="299">
        <v>3</v>
      </c>
      <c r="C28" s="300" t="s">
        <v>399</v>
      </c>
      <c r="D28" s="301" t="s">
        <v>418</v>
      </c>
      <c r="E28" s="309" t="s">
        <v>419</v>
      </c>
      <c r="F28" s="301"/>
      <c r="G28" s="319"/>
      <c r="H28" s="319"/>
      <c r="I28" s="319"/>
      <c r="J28" s="319"/>
      <c r="K28" s="319"/>
      <c r="L28" s="319"/>
      <c r="M28" s="319"/>
      <c r="N28" s="319"/>
      <c r="O28" s="319"/>
      <c r="P28" s="319"/>
      <c r="Q28" s="319"/>
      <c r="R28" s="319"/>
      <c r="S28" s="319"/>
      <c r="T28" s="319"/>
      <c r="U28" s="319"/>
      <c r="V28" s="319"/>
      <c r="W28" s="329"/>
      <c r="X28" s="329"/>
    </row>
    <row r="29" spans="2:24" x14ac:dyDescent="0.25">
      <c r="B29" s="299"/>
      <c r="C29" s="300" t="s">
        <v>402</v>
      </c>
      <c r="D29" s="301" t="s">
        <v>420</v>
      </c>
      <c r="E29" s="300"/>
      <c r="F29" s="301" t="s">
        <v>421</v>
      </c>
      <c r="G29" s="320">
        <v>6236</v>
      </c>
      <c r="H29" s="320">
        <v>7076</v>
      </c>
      <c r="I29" s="320">
        <v>7821</v>
      </c>
      <c r="J29" s="320">
        <v>6994</v>
      </c>
      <c r="K29" s="320">
        <v>8558</v>
      </c>
      <c r="L29" s="320">
        <v>9620</v>
      </c>
      <c r="M29" s="320">
        <v>10795</v>
      </c>
      <c r="N29" s="320">
        <v>9269</v>
      </c>
      <c r="O29" s="320">
        <v>7802</v>
      </c>
      <c r="P29" s="319">
        <v>8552</v>
      </c>
      <c r="Q29" s="319">
        <v>8783</v>
      </c>
      <c r="R29" s="319">
        <v>7460</v>
      </c>
      <c r="S29" s="319">
        <v>5508</v>
      </c>
      <c r="T29" s="319">
        <v>11036</v>
      </c>
      <c r="U29" s="319">
        <v>5202</v>
      </c>
      <c r="V29" s="319">
        <v>5820</v>
      </c>
      <c r="W29" s="329">
        <f t="shared" ref="W29:W33" si="12">SUM(K29:V29)</f>
        <v>98405</v>
      </c>
      <c r="X29" s="329">
        <f t="shared" ref="X29:X33" si="13">W29/12</f>
        <v>8200.4166666666661</v>
      </c>
    </row>
    <row r="30" spans="2:24" x14ac:dyDescent="0.25">
      <c r="B30" s="299"/>
      <c r="C30" s="300"/>
      <c r="D30" s="301"/>
      <c r="E30" s="300"/>
      <c r="F30" s="301" t="s">
        <v>422</v>
      </c>
      <c r="G30" s="320">
        <v>33789</v>
      </c>
      <c r="H30" s="320">
        <v>46387</v>
      </c>
      <c r="I30" s="320">
        <v>15417</v>
      </c>
      <c r="J30" s="320">
        <v>16542</v>
      </c>
      <c r="K30" s="320">
        <v>24219</v>
      </c>
      <c r="L30" s="320">
        <v>17216</v>
      </c>
      <c r="M30" s="320">
        <v>22560</v>
      </c>
      <c r="N30" s="320">
        <v>15898</v>
      </c>
      <c r="O30" s="320">
        <v>10748</v>
      </c>
      <c r="P30" s="319">
        <v>13808</v>
      </c>
      <c r="Q30" s="319">
        <v>12106</v>
      </c>
      <c r="R30" s="319">
        <v>11967</v>
      </c>
      <c r="S30" s="319">
        <v>15311</v>
      </c>
      <c r="T30" s="319">
        <v>16135</v>
      </c>
      <c r="U30" s="319">
        <v>9199</v>
      </c>
      <c r="V30" s="319">
        <v>14522</v>
      </c>
      <c r="W30" s="329">
        <f t="shared" si="12"/>
        <v>183689</v>
      </c>
      <c r="X30" s="329">
        <f t="shared" si="13"/>
        <v>15307.416666666666</v>
      </c>
    </row>
    <row r="31" spans="2:24" x14ac:dyDescent="0.25">
      <c r="B31" s="299"/>
      <c r="C31" s="300"/>
      <c r="D31" s="301"/>
      <c r="E31" s="300"/>
      <c r="F31" s="301" t="s">
        <v>423</v>
      </c>
      <c r="G31" s="320">
        <v>1122</v>
      </c>
      <c r="H31" s="320">
        <v>1057</v>
      </c>
      <c r="I31" s="320">
        <v>926</v>
      </c>
      <c r="J31" s="320">
        <v>1569</v>
      </c>
      <c r="K31" s="320">
        <v>2762</v>
      </c>
      <c r="L31" s="320">
        <v>1530</v>
      </c>
      <c r="M31" s="320">
        <v>2995</v>
      </c>
      <c r="N31" s="320">
        <v>1957</v>
      </c>
      <c r="O31" s="320">
        <v>1934</v>
      </c>
      <c r="P31" s="319">
        <v>2422</v>
      </c>
      <c r="Q31" s="319">
        <v>1846</v>
      </c>
      <c r="R31" s="319">
        <v>3020</v>
      </c>
      <c r="S31" s="319">
        <v>3996</v>
      </c>
      <c r="T31" s="319">
        <v>3754</v>
      </c>
      <c r="U31" s="319">
        <v>2638</v>
      </c>
      <c r="V31" s="319">
        <v>3188</v>
      </c>
      <c r="W31" s="329">
        <f t="shared" si="12"/>
        <v>32042</v>
      </c>
      <c r="X31" s="329">
        <f t="shared" si="13"/>
        <v>2670.1666666666665</v>
      </c>
    </row>
    <row r="32" spans="2:24" x14ac:dyDescent="0.25">
      <c r="B32" s="302"/>
      <c r="C32" s="303"/>
      <c r="D32" s="304"/>
      <c r="E32" s="303"/>
      <c r="F32" s="304" t="s">
        <v>424</v>
      </c>
      <c r="G32" s="323">
        <v>1122</v>
      </c>
      <c r="H32" s="323">
        <v>2255</v>
      </c>
      <c r="I32" s="323">
        <v>2056</v>
      </c>
      <c r="J32" s="323">
        <v>2317</v>
      </c>
      <c r="K32" s="320">
        <v>2636</v>
      </c>
      <c r="L32" s="320">
        <v>2868</v>
      </c>
      <c r="M32" s="320">
        <v>4959</v>
      </c>
      <c r="N32" s="320">
        <v>2477</v>
      </c>
      <c r="O32" s="320">
        <v>2725</v>
      </c>
      <c r="P32" s="319">
        <v>2895</v>
      </c>
      <c r="Q32" s="319">
        <v>2505</v>
      </c>
      <c r="R32" s="319">
        <v>3791</v>
      </c>
      <c r="S32" s="319">
        <v>3737</v>
      </c>
      <c r="T32" s="319">
        <v>3747</v>
      </c>
      <c r="U32" s="319">
        <v>2809</v>
      </c>
      <c r="V32" s="319">
        <v>3059</v>
      </c>
      <c r="W32" s="329">
        <f t="shared" si="12"/>
        <v>38208</v>
      </c>
      <c r="X32" s="329">
        <f t="shared" si="13"/>
        <v>3184</v>
      </c>
    </row>
    <row r="33" spans="2:25" ht="15.75" thickBot="1" x14ac:dyDescent="0.3">
      <c r="B33" s="302"/>
      <c r="C33" s="303"/>
      <c r="D33" s="304"/>
      <c r="E33" s="303"/>
      <c r="F33" s="304" t="s">
        <v>417</v>
      </c>
      <c r="G33" s="323">
        <v>0</v>
      </c>
      <c r="H33" s="323">
        <v>3739</v>
      </c>
      <c r="I33" s="323">
        <v>776</v>
      </c>
      <c r="J33" s="323">
        <v>538</v>
      </c>
      <c r="K33" s="323">
        <v>500</v>
      </c>
      <c r="L33" s="323">
        <v>800</v>
      </c>
      <c r="M33" s="323">
        <v>330</v>
      </c>
      <c r="N33" s="323">
        <v>110</v>
      </c>
      <c r="O33" s="323">
        <v>0</v>
      </c>
      <c r="P33" s="319">
        <v>0</v>
      </c>
      <c r="Q33" s="319">
        <v>220</v>
      </c>
      <c r="R33" s="319">
        <v>825</v>
      </c>
      <c r="S33" s="319">
        <v>565</v>
      </c>
      <c r="T33" s="319">
        <v>420</v>
      </c>
      <c r="U33" s="319">
        <v>555</v>
      </c>
      <c r="V33" s="319">
        <v>365</v>
      </c>
      <c r="W33" s="329">
        <f t="shared" si="12"/>
        <v>4690</v>
      </c>
      <c r="X33" s="329">
        <f t="shared" si="13"/>
        <v>390.83333333333331</v>
      </c>
    </row>
    <row r="34" spans="2:25" ht="15.75" thickBot="1" x14ac:dyDescent="0.3">
      <c r="B34" s="311"/>
      <c r="C34" s="312"/>
      <c r="D34" s="313"/>
      <c r="E34" s="312"/>
      <c r="F34" s="313"/>
      <c r="G34" s="324">
        <f>SUM(G29:G33)</f>
        <v>42269</v>
      </c>
      <c r="H34" s="324">
        <f t="shared" ref="H34:W34" si="14">SUM(H29:H33)</f>
        <v>60514</v>
      </c>
      <c r="I34" s="324">
        <f t="shared" si="14"/>
        <v>26996</v>
      </c>
      <c r="J34" s="324">
        <f t="shared" si="14"/>
        <v>27960</v>
      </c>
      <c r="K34" s="324">
        <f t="shared" si="14"/>
        <v>38675</v>
      </c>
      <c r="L34" s="324">
        <f t="shared" ref="L34:M34" si="15">SUM(L29:L33)</f>
        <v>32034</v>
      </c>
      <c r="M34" s="324">
        <f t="shared" si="15"/>
        <v>41639</v>
      </c>
      <c r="N34" s="324">
        <f t="shared" ref="N34:S34" si="16">SUM(N29:N33)</f>
        <v>29711</v>
      </c>
      <c r="O34" s="324">
        <f t="shared" si="16"/>
        <v>23209</v>
      </c>
      <c r="P34" s="324">
        <f t="shared" si="16"/>
        <v>27677</v>
      </c>
      <c r="Q34" s="324">
        <f t="shared" si="16"/>
        <v>25460</v>
      </c>
      <c r="R34" s="324">
        <f t="shared" si="16"/>
        <v>27063</v>
      </c>
      <c r="S34" s="324">
        <f t="shared" si="16"/>
        <v>29117</v>
      </c>
      <c r="T34" s="324">
        <f t="shared" ref="T34:U34" si="17">SUM(T29:T33)</f>
        <v>35092</v>
      </c>
      <c r="U34" s="324">
        <f t="shared" si="17"/>
        <v>20403</v>
      </c>
      <c r="V34" s="324">
        <f t="shared" ref="V34" si="18">SUM(V29:V33)</f>
        <v>26954</v>
      </c>
      <c r="W34" s="330">
        <f t="shared" si="14"/>
        <v>357034</v>
      </c>
      <c r="X34" s="330">
        <f>SUM(X29:X33)</f>
        <v>29752.833333333332</v>
      </c>
    </row>
    <row r="35" spans="2:25" x14ac:dyDescent="0.25">
      <c r="B35" s="296"/>
      <c r="C35" s="297"/>
      <c r="D35" s="298"/>
      <c r="E35" s="297"/>
      <c r="F35" s="298"/>
      <c r="G35" s="318"/>
      <c r="H35" s="318"/>
      <c r="I35" s="318"/>
      <c r="J35" s="318"/>
      <c r="K35" s="318"/>
      <c r="L35" s="318"/>
      <c r="M35" s="318"/>
      <c r="N35" s="318"/>
      <c r="O35" s="318"/>
      <c r="P35" s="318"/>
      <c r="Q35" s="318"/>
      <c r="R35" s="318"/>
      <c r="S35" s="318"/>
      <c r="T35" s="318"/>
      <c r="U35" s="318"/>
      <c r="V35" s="318"/>
      <c r="W35" s="328"/>
      <c r="X35" s="328"/>
    </row>
    <row r="36" spans="2:25" x14ac:dyDescent="0.25">
      <c r="B36" s="299">
        <v>4</v>
      </c>
      <c r="C36" s="300" t="s">
        <v>399</v>
      </c>
      <c r="D36" s="301" t="s">
        <v>425</v>
      </c>
      <c r="E36" s="309" t="s">
        <v>426</v>
      </c>
      <c r="F36" s="301"/>
      <c r="G36" s="319"/>
      <c r="H36" s="319"/>
      <c r="I36" s="319"/>
      <c r="J36" s="319"/>
      <c r="K36" s="319"/>
      <c r="L36" s="319"/>
      <c r="M36" s="319"/>
      <c r="N36" s="319"/>
      <c r="O36" s="319"/>
      <c r="P36" s="319"/>
      <c r="Q36" s="319"/>
      <c r="R36" s="319"/>
      <c r="S36" s="319"/>
      <c r="T36" s="319"/>
      <c r="U36" s="319"/>
      <c r="V36" s="319"/>
      <c r="W36" s="329"/>
      <c r="X36" s="329"/>
    </row>
    <row r="37" spans="2:25" x14ac:dyDescent="0.25">
      <c r="B37" s="299"/>
      <c r="C37" s="300" t="s">
        <v>402</v>
      </c>
      <c r="D37" s="301" t="s">
        <v>427</v>
      </c>
      <c r="E37" s="300"/>
      <c r="F37" s="301" t="s">
        <v>428</v>
      </c>
      <c r="G37" s="320">
        <v>27144</v>
      </c>
      <c r="H37" s="320">
        <v>19671</v>
      </c>
      <c r="I37" s="320">
        <v>24141</v>
      </c>
      <c r="J37" s="320">
        <v>22175</v>
      </c>
      <c r="K37" s="320">
        <v>21205</v>
      </c>
      <c r="L37" s="320">
        <v>23612</v>
      </c>
      <c r="M37" s="320">
        <v>24806</v>
      </c>
      <c r="N37" s="320">
        <v>25935</v>
      </c>
      <c r="O37" s="320">
        <v>24360</v>
      </c>
      <c r="P37" s="320">
        <v>29412</v>
      </c>
      <c r="Q37" s="320">
        <v>32685</v>
      </c>
      <c r="R37" s="320">
        <v>33475</v>
      </c>
      <c r="S37" s="320">
        <v>25160</v>
      </c>
      <c r="T37" s="320">
        <v>32240</v>
      </c>
      <c r="U37" s="320">
        <v>25396</v>
      </c>
      <c r="V37" s="320">
        <v>25662</v>
      </c>
      <c r="W37" s="329">
        <f t="shared" ref="W37:W44" si="19">SUM(K37:V37)</f>
        <v>323948</v>
      </c>
      <c r="X37" s="329">
        <f t="shared" ref="X37:X44" si="20">W37/12</f>
        <v>26995.666666666668</v>
      </c>
    </row>
    <row r="38" spans="2:25" x14ac:dyDescent="0.25">
      <c r="B38" s="299"/>
      <c r="C38" s="300"/>
      <c r="D38" s="301" t="s">
        <v>429</v>
      </c>
      <c r="E38" s="300"/>
      <c r="F38" s="301" t="s">
        <v>430</v>
      </c>
      <c r="G38" s="320">
        <v>43711</v>
      </c>
      <c r="H38" s="320">
        <v>42940</v>
      </c>
      <c r="I38" s="320">
        <v>24094</v>
      </c>
      <c r="J38" s="320">
        <v>28730</v>
      </c>
      <c r="K38" s="320">
        <v>29345</v>
      </c>
      <c r="L38" s="320">
        <v>25390</v>
      </c>
      <c r="M38" s="320">
        <v>20392</v>
      </c>
      <c r="N38" s="320">
        <v>24105</v>
      </c>
      <c r="O38" s="320">
        <v>25522</v>
      </c>
      <c r="P38" s="320">
        <v>20768</v>
      </c>
      <c r="Q38" s="320">
        <v>25802</v>
      </c>
      <c r="R38" s="320">
        <v>18595</v>
      </c>
      <c r="S38" s="320">
        <v>23462</v>
      </c>
      <c r="T38" s="320">
        <v>26249</v>
      </c>
      <c r="U38" s="320">
        <v>30725</v>
      </c>
      <c r="V38" s="320">
        <v>16539</v>
      </c>
      <c r="W38" s="329">
        <f t="shared" si="19"/>
        <v>286894</v>
      </c>
      <c r="X38" s="329">
        <f t="shared" si="20"/>
        <v>23907.833333333332</v>
      </c>
    </row>
    <row r="39" spans="2:25" x14ac:dyDescent="0.25">
      <c r="B39" s="299"/>
      <c r="C39" s="300"/>
      <c r="D39" s="301" t="s">
        <v>431</v>
      </c>
      <c r="E39" s="300"/>
      <c r="F39" s="301" t="s">
        <v>432</v>
      </c>
      <c r="G39" s="320">
        <v>0</v>
      </c>
      <c r="H39" s="320">
        <v>133</v>
      </c>
      <c r="I39" s="320">
        <v>9443</v>
      </c>
      <c r="J39" s="320">
        <v>11174</v>
      </c>
      <c r="K39" s="320">
        <v>20632</v>
      </c>
      <c r="L39" s="320">
        <v>10824</v>
      </c>
      <c r="M39" s="320">
        <v>16310</v>
      </c>
      <c r="N39" s="320">
        <v>13865</v>
      </c>
      <c r="O39" s="320">
        <v>15470</v>
      </c>
      <c r="P39" s="320">
        <v>13095</v>
      </c>
      <c r="Q39" s="320">
        <v>6066</v>
      </c>
      <c r="R39" s="320">
        <v>9867</v>
      </c>
      <c r="S39" s="320">
        <v>10880</v>
      </c>
      <c r="T39" s="320">
        <v>18362</v>
      </c>
      <c r="U39" s="320">
        <v>19031</v>
      </c>
      <c r="V39" s="320">
        <v>13673</v>
      </c>
      <c r="W39" s="329">
        <f t="shared" si="19"/>
        <v>168075</v>
      </c>
      <c r="X39" s="329">
        <f t="shared" si="20"/>
        <v>14006.25</v>
      </c>
    </row>
    <row r="40" spans="2:25" x14ac:dyDescent="0.25">
      <c r="B40" s="299"/>
      <c r="C40" s="300"/>
      <c r="D40" s="301"/>
      <c r="E40" s="300"/>
      <c r="F40" s="301" t="s">
        <v>343</v>
      </c>
      <c r="G40" s="320">
        <v>0</v>
      </c>
      <c r="H40" s="320">
        <v>2183</v>
      </c>
      <c r="I40" s="320">
        <v>339</v>
      </c>
      <c r="J40" s="320">
        <v>11</v>
      </c>
      <c r="K40" s="320">
        <v>620</v>
      </c>
      <c r="L40" s="320"/>
      <c r="M40" s="320">
        <v>2260</v>
      </c>
      <c r="N40" s="320">
        <v>0</v>
      </c>
      <c r="O40" s="320">
        <v>0</v>
      </c>
      <c r="P40" s="320">
        <v>1000</v>
      </c>
      <c r="Q40" s="320">
        <v>0</v>
      </c>
      <c r="R40" s="320">
        <v>1420</v>
      </c>
      <c r="S40" s="320">
        <v>2100</v>
      </c>
      <c r="T40" s="320">
        <v>1760</v>
      </c>
      <c r="U40" s="320">
        <v>0</v>
      </c>
      <c r="V40" s="320"/>
      <c r="W40" s="329">
        <f t="shared" si="19"/>
        <v>9160</v>
      </c>
      <c r="X40" s="329">
        <f t="shared" si="20"/>
        <v>763.33333333333337</v>
      </c>
    </row>
    <row r="41" spans="2:25" x14ac:dyDescent="0.25">
      <c r="B41" s="299"/>
      <c r="C41" s="300"/>
      <c r="D41" s="301"/>
      <c r="E41" s="300"/>
      <c r="F41" s="301" t="s">
        <v>433</v>
      </c>
      <c r="G41" s="320">
        <v>0</v>
      </c>
      <c r="H41" s="320">
        <v>1125</v>
      </c>
      <c r="I41" s="320">
        <v>13201</v>
      </c>
      <c r="J41" s="320">
        <v>15182</v>
      </c>
      <c r="K41" s="320">
        <v>16106</v>
      </c>
      <c r="L41" s="320">
        <v>13150</v>
      </c>
      <c r="M41" s="320">
        <v>13365</v>
      </c>
      <c r="N41" s="320">
        <v>20262</v>
      </c>
      <c r="O41" s="320">
        <v>21017</v>
      </c>
      <c r="P41" s="320">
        <v>21847</v>
      </c>
      <c r="Q41" s="320">
        <v>23246</v>
      </c>
      <c r="R41" s="320">
        <v>25590</v>
      </c>
      <c r="S41" s="320">
        <v>19490</v>
      </c>
      <c r="T41" s="320">
        <v>21615</v>
      </c>
      <c r="U41" s="320">
        <v>24898</v>
      </c>
      <c r="V41" s="320">
        <v>21683</v>
      </c>
      <c r="W41" s="329">
        <f t="shared" si="19"/>
        <v>242269</v>
      </c>
      <c r="X41" s="329">
        <f t="shared" si="20"/>
        <v>20189.083333333332</v>
      </c>
    </row>
    <row r="42" spans="2:25" x14ac:dyDescent="0.25">
      <c r="B42" s="299"/>
      <c r="C42" s="300"/>
      <c r="D42" s="301"/>
      <c r="E42" s="300"/>
      <c r="F42" s="301" t="s">
        <v>434</v>
      </c>
      <c r="G42" s="320">
        <v>0</v>
      </c>
      <c r="H42" s="320">
        <v>0</v>
      </c>
      <c r="I42" s="320">
        <v>0</v>
      </c>
      <c r="J42" s="320">
        <v>0</v>
      </c>
      <c r="K42" s="320">
        <v>0</v>
      </c>
      <c r="L42" s="320"/>
      <c r="M42" s="320">
        <v>0</v>
      </c>
      <c r="N42" s="320">
        <v>0</v>
      </c>
      <c r="O42" s="320">
        <v>0</v>
      </c>
      <c r="P42" s="320">
        <v>0</v>
      </c>
      <c r="Q42" s="320">
        <v>0</v>
      </c>
      <c r="R42" s="320">
        <v>0</v>
      </c>
      <c r="S42" s="320">
        <v>0</v>
      </c>
      <c r="T42" s="320">
        <v>0</v>
      </c>
      <c r="U42" s="320">
        <v>0</v>
      </c>
      <c r="V42" s="320"/>
      <c r="W42" s="329">
        <f t="shared" si="19"/>
        <v>0</v>
      </c>
      <c r="X42" s="329">
        <f t="shared" si="20"/>
        <v>0</v>
      </c>
    </row>
    <row r="43" spans="2:25" x14ac:dyDescent="0.25">
      <c r="B43" s="299"/>
      <c r="C43" s="300"/>
      <c r="D43" s="301"/>
      <c r="E43" s="300"/>
      <c r="F43" s="301" t="s">
        <v>435</v>
      </c>
      <c r="G43" s="320">
        <v>11478</v>
      </c>
      <c r="H43" s="320">
        <v>12392</v>
      </c>
      <c r="I43" s="320">
        <v>8003</v>
      </c>
      <c r="J43" s="320">
        <v>4892</v>
      </c>
      <c r="K43" s="320">
        <v>8072</v>
      </c>
      <c r="L43" s="320">
        <v>4825</v>
      </c>
      <c r="M43" s="320">
        <v>2450</v>
      </c>
      <c r="N43" s="320">
        <v>3505</v>
      </c>
      <c r="O43" s="320">
        <v>1795</v>
      </c>
      <c r="P43" s="320">
        <v>2880</v>
      </c>
      <c r="Q43" s="320">
        <v>3795</v>
      </c>
      <c r="R43" s="320">
        <v>1990</v>
      </c>
      <c r="S43" s="320">
        <v>2435</v>
      </c>
      <c r="T43" s="320">
        <v>2175</v>
      </c>
      <c r="U43" s="320">
        <v>3495</v>
      </c>
      <c r="V43" s="320">
        <v>1560</v>
      </c>
      <c r="W43" s="329">
        <f t="shared" si="19"/>
        <v>38977</v>
      </c>
      <c r="X43" s="329">
        <f t="shared" si="20"/>
        <v>3248.0833333333335</v>
      </c>
    </row>
    <row r="44" spans="2:25" ht="15.75" thickBot="1" x14ac:dyDescent="0.3">
      <c r="B44" s="302"/>
      <c r="C44" s="303"/>
      <c r="D44" s="304"/>
      <c r="E44" s="303"/>
      <c r="F44" s="304" t="s">
        <v>436</v>
      </c>
      <c r="G44" s="323">
        <v>0</v>
      </c>
      <c r="H44" s="323">
        <v>0</v>
      </c>
      <c r="I44" s="323">
        <v>166</v>
      </c>
      <c r="J44" s="323">
        <v>0</v>
      </c>
      <c r="K44" s="320">
        <v>0</v>
      </c>
      <c r="L44" s="320"/>
      <c r="M44" s="320">
        <v>0</v>
      </c>
      <c r="N44" s="320">
        <v>0</v>
      </c>
      <c r="O44" s="320">
        <v>0</v>
      </c>
      <c r="P44" s="320">
        <v>0</v>
      </c>
      <c r="Q44" s="320">
        <v>0</v>
      </c>
      <c r="R44" s="320">
        <v>0</v>
      </c>
      <c r="S44" s="320">
        <v>0</v>
      </c>
      <c r="T44" s="320">
        <v>0</v>
      </c>
      <c r="U44" s="320">
        <v>0</v>
      </c>
      <c r="V44" s="320"/>
      <c r="W44" s="329">
        <f t="shared" si="19"/>
        <v>0</v>
      </c>
      <c r="X44" s="329">
        <f t="shared" si="20"/>
        <v>0</v>
      </c>
    </row>
    <row r="45" spans="2:25" ht="15.75" thickBot="1" x14ac:dyDescent="0.3">
      <c r="B45" s="311"/>
      <c r="C45" s="312"/>
      <c r="D45" s="313"/>
      <c r="E45" s="312"/>
      <c r="F45" s="313"/>
      <c r="G45" s="321">
        <f t="shared" ref="G45:W45" si="21">SUM(G37:G44)</f>
        <v>82333</v>
      </c>
      <c r="H45" s="321">
        <f t="shared" si="21"/>
        <v>78444</v>
      </c>
      <c r="I45" s="321">
        <f t="shared" si="21"/>
        <v>79387</v>
      </c>
      <c r="J45" s="321">
        <f t="shared" si="21"/>
        <v>82164</v>
      </c>
      <c r="K45" s="321">
        <f t="shared" si="21"/>
        <v>95980</v>
      </c>
      <c r="L45" s="321">
        <f t="shared" ref="L45:M45" si="22">SUM(L37:L44)</f>
        <v>77801</v>
      </c>
      <c r="M45" s="321">
        <f t="shared" si="22"/>
        <v>79583</v>
      </c>
      <c r="N45" s="321">
        <f t="shared" ref="N45:O45" si="23">SUM(N37:N44)</f>
        <v>87672</v>
      </c>
      <c r="O45" s="321">
        <f t="shared" si="23"/>
        <v>88164</v>
      </c>
      <c r="P45" s="321">
        <f t="shared" ref="P45:Q45" si="24">SUM(P37:P44)</f>
        <v>89002</v>
      </c>
      <c r="Q45" s="321">
        <f t="shared" si="24"/>
        <v>91594</v>
      </c>
      <c r="R45" s="321">
        <f t="shared" ref="R45:S45" si="25">SUM(R37:R44)</f>
        <v>90937</v>
      </c>
      <c r="S45" s="321">
        <f t="shared" si="25"/>
        <v>83527</v>
      </c>
      <c r="T45" s="321">
        <f t="shared" ref="T45:U45" si="26">SUM(T37:T44)</f>
        <v>102401</v>
      </c>
      <c r="U45" s="321">
        <f t="shared" si="26"/>
        <v>103545</v>
      </c>
      <c r="V45" s="321">
        <f t="shared" ref="V45" si="27">SUM(V37:V44)</f>
        <v>79117</v>
      </c>
      <c r="W45" s="331">
        <f t="shared" si="21"/>
        <v>1069323</v>
      </c>
      <c r="X45" s="331">
        <f>SUM(X37:X44)</f>
        <v>89110.249999999985</v>
      </c>
    </row>
    <row r="46" spans="2:25" ht="15.75" thickBot="1" x14ac:dyDescent="0.3">
      <c r="B46" s="314"/>
      <c r="C46" s="333"/>
      <c r="D46" s="334"/>
      <c r="E46" s="333"/>
      <c r="F46" s="334"/>
      <c r="G46" s="335">
        <f>G17+G26+G34+G45</f>
        <v>185782</v>
      </c>
      <c r="H46" s="335">
        <f>H17+H26+H34+H45</f>
        <v>198470</v>
      </c>
      <c r="I46" s="335">
        <f t="shared" ref="I46:W46" si="28">I17+I26+I34+I45</f>
        <v>194170</v>
      </c>
      <c r="J46" s="335">
        <f t="shared" si="28"/>
        <v>238126</v>
      </c>
      <c r="K46" s="335">
        <f t="shared" si="28"/>
        <v>285066</v>
      </c>
      <c r="L46" s="335">
        <f t="shared" ref="L46:M46" si="29">L17+L26+L34+L45</f>
        <v>256655</v>
      </c>
      <c r="M46" s="335">
        <f t="shared" si="29"/>
        <v>279519</v>
      </c>
      <c r="N46" s="335">
        <f t="shared" ref="N46:S46" si="30">N17+N26+N34+N45</f>
        <v>254157</v>
      </c>
      <c r="O46" s="335">
        <f t="shared" si="30"/>
        <v>227959</v>
      </c>
      <c r="P46" s="335">
        <f t="shared" si="30"/>
        <v>267851</v>
      </c>
      <c r="Q46" s="335">
        <f t="shared" si="30"/>
        <v>252496</v>
      </c>
      <c r="R46" s="335">
        <f t="shared" si="30"/>
        <v>245019</v>
      </c>
      <c r="S46" s="335">
        <f t="shared" si="30"/>
        <v>258909</v>
      </c>
      <c r="T46" s="335">
        <f t="shared" ref="T46:U46" si="31">T17+T26+T34+T45</f>
        <v>295993</v>
      </c>
      <c r="U46" s="335">
        <f t="shared" si="31"/>
        <v>251137</v>
      </c>
      <c r="V46" s="335">
        <f t="shared" ref="V46" si="32">V17+V26+V34+V45</f>
        <v>239184</v>
      </c>
      <c r="W46" s="346">
        <f t="shared" si="28"/>
        <v>3113945</v>
      </c>
      <c r="X46" s="366">
        <f>X17+X26+X34+X45</f>
        <v>259495.41666666669</v>
      </c>
      <c r="Y46" s="12"/>
    </row>
    <row r="47" spans="2:25" x14ac:dyDescent="0.25">
      <c r="B47" s="296"/>
      <c r="C47" s="297"/>
      <c r="D47" s="298"/>
      <c r="E47" s="297"/>
      <c r="F47" s="298"/>
      <c r="G47" s="318"/>
      <c r="H47" s="318"/>
      <c r="I47" s="318"/>
      <c r="J47" s="318"/>
      <c r="K47" s="318"/>
      <c r="L47" s="318"/>
      <c r="M47" s="318"/>
      <c r="N47" s="318"/>
      <c r="O47" s="318"/>
      <c r="P47" s="318"/>
      <c r="Q47" s="318"/>
      <c r="R47" s="318"/>
      <c r="S47" s="318"/>
      <c r="T47" s="318"/>
      <c r="U47" s="318"/>
      <c r="V47" s="318"/>
      <c r="W47" s="328"/>
      <c r="X47" s="328"/>
    </row>
    <row r="48" spans="2:25" x14ac:dyDescent="0.25">
      <c r="B48" s="299">
        <v>5</v>
      </c>
      <c r="C48" s="300" t="s">
        <v>399</v>
      </c>
      <c r="D48" s="301" t="s">
        <v>438</v>
      </c>
      <c r="E48" s="309" t="s">
        <v>439</v>
      </c>
      <c r="F48" s="301"/>
      <c r="G48" s="319"/>
      <c r="H48" s="319"/>
      <c r="I48" s="319"/>
      <c r="J48" s="319"/>
      <c r="K48" s="319"/>
      <c r="L48" s="319"/>
      <c r="M48" s="319"/>
      <c r="N48" s="319"/>
      <c r="O48" s="319"/>
      <c r="P48" s="319"/>
      <c r="Q48" s="319"/>
      <c r="R48" s="319"/>
      <c r="S48" s="319"/>
      <c r="T48" s="319"/>
      <c r="U48" s="319"/>
      <c r="V48" s="319"/>
      <c r="W48" s="329"/>
      <c r="X48" s="329"/>
    </row>
    <row r="49" spans="2:25" x14ac:dyDescent="0.25">
      <c r="B49" s="299"/>
      <c r="C49" s="300"/>
      <c r="D49" s="301" t="s">
        <v>487</v>
      </c>
      <c r="E49" s="300"/>
      <c r="F49" s="301" t="s">
        <v>440</v>
      </c>
      <c r="G49" s="320">
        <v>731</v>
      </c>
      <c r="H49" s="320">
        <v>425</v>
      </c>
      <c r="I49" s="320">
        <v>499</v>
      </c>
      <c r="J49" s="320">
        <v>445</v>
      </c>
      <c r="K49" s="320">
        <v>160</v>
      </c>
      <c r="L49" s="320">
        <v>553</v>
      </c>
      <c r="M49" s="320">
        <v>700</v>
      </c>
      <c r="N49" s="320">
        <v>0</v>
      </c>
      <c r="O49" s="320">
        <v>397</v>
      </c>
      <c r="P49" s="320">
        <v>100</v>
      </c>
      <c r="Q49" s="320">
        <v>210</v>
      </c>
      <c r="R49" s="320">
        <v>122</v>
      </c>
      <c r="S49" s="320">
        <v>410</v>
      </c>
      <c r="T49" s="320">
        <v>210</v>
      </c>
      <c r="U49" s="320">
        <v>180</v>
      </c>
      <c r="V49" s="320">
        <v>160</v>
      </c>
      <c r="W49" s="329">
        <f t="shared" ref="W49:W52" si="33">SUM(K49:V49)</f>
        <v>3202</v>
      </c>
      <c r="X49" s="329">
        <f t="shared" ref="X49:X52" si="34">W49/12</f>
        <v>266.83333333333331</v>
      </c>
    </row>
    <row r="50" spans="2:25" x14ac:dyDescent="0.25">
      <c r="B50" s="299"/>
      <c r="C50" s="300"/>
      <c r="D50" s="301"/>
      <c r="E50" s="300"/>
      <c r="F50" s="301" t="s">
        <v>441</v>
      </c>
      <c r="G50" s="320">
        <v>17861</v>
      </c>
      <c r="H50" s="320">
        <v>17056</v>
      </c>
      <c r="I50" s="320">
        <v>16980</v>
      </c>
      <c r="J50" s="320">
        <v>17460</v>
      </c>
      <c r="K50" s="320">
        <v>12002</v>
      </c>
      <c r="L50" s="320">
        <v>14383</v>
      </c>
      <c r="M50" s="320">
        <v>10365</v>
      </c>
      <c r="N50" s="320">
        <v>12284</v>
      </c>
      <c r="O50" s="320">
        <v>12318</v>
      </c>
      <c r="P50" s="320">
        <v>13092</v>
      </c>
      <c r="Q50" s="320">
        <v>9913</v>
      </c>
      <c r="R50" s="320">
        <v>11147</v>
      </c>
      <c r="S50" s="320">
        <v>24223</v>
      </c>
      <c r="T50" s="320">
        <v>18165</v>
      </c>
      <c r="U50" s="320">
        <v>12142</v>
      </c>
      <c r="V50" s="320">
        <v>5335</v>
      </c>
      <c r="W50" s="329">
        <f t="shared" si="33"/>
        <v>155369</v>
      </c>
      <c r="X50" s="329">
        <f t="shared" si="34"/>
        <v>12947.416666666666</v>
      </c>
    </row>
    <row r="51" spans="2:25" x14ac:dyDescent="0.25">
      <c r="B51" s="299"/>
      <c r="C51" s="300"/>
      <c r="D51" s="301"/>
      <c r="E51" s="300"/>
      <c r="F51" s="301" t="s">
        <v>442</v>
      </c>
      <c r="G51" s="320">
        <v>7714</v>
      </c>
      <c r="H51" s="320">
        <v>8012</v>
      </c>
      <c r="I51" s="320">
        <v>7765</v>
      </c>
      <c r="J51" s="320">
        <v>10882</v>
      </c>
      <c r="K51" s="320">
        <v>8612</v>
      </c>
      <c r="L51" s="320">
        <v>8826</v>
      </c>
      <c r="M51" s="320">
        <v>8785</v>
      </c>
      <c r="N51" s="320">
        <v>6656</v>
      </c>
      <c r="O51" s="320">
        <v>8677</v>
      </c>
      <c r="P51" s="320">
        <v>10353</v>
      </c>
      <c r="Q51" s="320">
        <v>10592</v>
      </c>
      <c r="R51" s="320">
        <v>9087</v>
      </c>
      <c r="S51" s="320">
        <v>15314</v>
      </c>
      <c r="T51" s="320">
        <v>17888</v>
      </c>
      <c r="U51" s="320">
        <v>13236</v>
      </c>
      <c r="V51" s="320">
        <v>6799</v>
      </c>
      <c r="W51" s="329">
        <f t="shared" si="33"/>
        <v>124825</v>
      </c>
      <c r="X51" s="329">
        <f t="shared" si="34"/>
        <v>10402.083333333334</v>
      </c>
    </row>
    <row r="52" spans="2:25" ht="15.75" thickBot="1" x14ac:dyDescent="0.3">
      <c r="B52" s="302"/>
      <c r="C52" s="303"/>
      <c r="D52" s="304"/>
      <c r="E52" s="303"/>
      <c r="F52" s="304" t="s">
        <v>443</v>
      </c>
      <c r="G52" s="323">
        <v>2339</v>
      </c>
      <c r="H52" s="323">
        <v>2105</v>
      </c>
      <c r="I52" s="323">
        <v>3053</v>
      </c>
      <c r="J52" s="323">
        <v>6503</v>
      </c>
      <c r="K52" s="323">
        <v>4549</v>
      </c>
      <c r="L52" s="320">
        <v>9679</v>
      </c>
      <c r="M52" s="320">
        <v>10363</v>
      </c>
      <c r="N52" s="320">
        <v>9690</v>
      </c>
      <c r="O52" s="320">
        <v>12701</v>
      </c>
      <c r="P52" s="320">
        <v>13032</v>
      </c>
      <c r="Q52" s="320">
        <v>13756</v>
      </c>
      <c r="R52" s="320">
        <v>13093</v>
      </c>
      <c r="S52" s="320">
        <v>15892</v>
      </c>
      <c r="T52" s="320">
        <v>12817</v>
      </c>
      <c r="U52" s="320">
        <v>6881</v>
      </c>
      <c r="V52" s="320">
        <v>3149</v>
      </c>
      <c r="W52" s="329">
        <f t="shared" si="33"/>
        <v>125602</v>
      </c>
      <c r="X52" s="329">
        <f t="shared" si="34"/>
        <v>10466.833333333334</v>
      </c>
    </row>
    <row r="53" spans="2:25" ht="15.75" thickBot="1" x14ac:dyDescent="0.3">
      <c r="B53" s="311"/>
      <c r="C53" s="312"/>
      <c r="D53" s="313"/>
      <c r="E53" s="312"/>
      <c r="F53" s="313"/>
      <c r="G53" s="321">
        <f>SUM(G49:G52)</f>
        <v>28645</v>
      </c>
      <c r="H53" s="321">
        <f t="shared" ref="H53:X53" si="35">SUM(H49:H52)</f>
        <v>27598</v>
      </c>
      <c r="I53" s="321">
        <f t="shared" si="35"/>
        <v>28297</v>
      </c>
      <c r="J53" s="321">
        <f t="shared" si="35"/>
        <v>35290</v>
      </c>
      <c r="K53" s="321">
        <f t="shared" si="35"/>
        <v>25323</v>
      </c>
      <c r="L53" s="321">
        <f t="shared" ref="L53:M53" si="36">SUM(L49:L52)</f>
        <v>33441</v>
      </c>
      <c r="M53" s="321">
        <f t="shared" si="36"/>
        <v>30213</v>
      </c>
      <c r="N53" s="321">
        <f t="shared" ref="N53:O53" si="37">SUM(N49:N52)</f>
        <v>28630</v>
      </c>
      <c r="O53" s="321">
        <f t="shared" si="37"/>
        <v>34093</v>
      </c>
      <c r="P53" s="321">
        <f t="shared" ref="P53:Q53" si="38">SUM(P49:P52)</f>
        <v>36577</v>
      </c>
      <c r="Q53" s="321">
        <f t="shared" si="38"/>
        <v>34471</v>
      </c>
      <c r="R53" s="321">
        <f t="shared" ref="R53:S53" si="39">SUM(R49:R52)</f>
        <v>33449</v>
      </c>
      <c r="S53" s="321">
        <f t="shared" si="39"/>
        <v>55839</v>
      </c>
      <c r="T53" s="321">
        <f t="shared" ref="T53:U53" si="40">SUM(T49:T52)</f>
        <v>49080</v>
      </c>
      <c r="U53" s="321">
        <f t="shared" si="40"/>
        <v>32439</v>
      </c>
      <c r="V53" s="321">
        <f t="shared" ref="V53" si="41">SUM(V49:V52)</f>
        <v>15443</v>
      </c>
      <c r="W53" s="330">
        <f t="shared" si="35"/>
        <v>408998</v>
      </c>
      <c r="X53" s="330">
        <f t="shared" si="35"/>
        <v>34083.166666666672</v>
      </c>
    </row>
    <row r="54" spans="2:25" x14ac:dyDescent="0.25">
      <c r="B54" s="296"/>
      <c r="C54" s="297"/>
      <c r="D54" s="298"/>
      <c r="E54" s="297"/>
      <c r="F54" s="298"/>
      <c r="G54" s="318"/>
      <c r="H54" s="318"/>
      <c r="I54" s="318"/>
      <c r="J54" s="318"/>
      <c r="K54" s="318"/>
      <c r="L54" s="318"/>
      <c r="M54" s="318"/>
      <c r="N54" s="318"/>
      <c r="O54" s="318"/>
      <c r="P54" s="318"/>
      <c r="Q54" s="318"/>
      <c r="R54" s="318"/>
      <c r="S54" s="318"/>
      <c r="T54" s="318"/>
      <c r="U54" s="318"/>
      <c r="V54" s="318"/>
      <c r="W54" s="328"/>
      <c r="X54" s="328"/>
    </row>
    <row r="55" spans="2:25" x14ac:dyDescent="0.25">
      <c r="B55" s="299">
        <v>6</v>
      </c>
      <c r="C55" s="300" t="s">
        <v>399</v>
      </c>
      <c r="D55" s="301" t="s">
        <v>444</v>
      </c>
      <c r="E55" s="309" t="s">
        <v>439</v>
      </c>
      <c r="F55" s="301"/>
      <c r="G55" s="319"/>
      <c r="H55" s="319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29"/>
      <c r="X55" s="329"/>
    </row>
    <row r="56" spans="2:25" x14ac:dyDescent="0.25">
      <c r="B56" s="299"/>
      <c r="C56" s="300"/>
      <c r="D56" s="301" t="s">
        <v>466</v>
      </c>
      <c r="E56" s="300"/>
      <c r="F56" s="301" t="s">
        <v>445</v>
      </c>
      <c r="G56" s="320">
        <v>1742</v>
      </c>
      <c r="H56" s="320">
        <v>2708</v>
      </c>
      <c r="I56" s="320">
        <v>5520</v>
      </c>
      <c r="J56" s="320">
        <v>12566</v>
      </c>
      <c r="K56" s="320">
        <v>24036</v>
      </c>
      <c r="L56" s="320">
        <v>28369</v>
      </c>
      <c r="M56" s="320">
        <v>25493</v>
      </c>
      <c r="N56" s="320">
        <v>23470</v>
      </c>
      <c r="O56" s="320">
        <v>11165</v>
      </c>
      <c r="P56" s="320">
        <v>27092</v>
      </c>
      <c r="Q56" s="320">
        <v>21679</v>
      </c>
      <c r="R56" s="320">
        <v>22741</v>
      </c>
      <c r="S56" s="320">
        <v>21454</v>
      </c>
      <c r="T56" s="320">
        <v>29476</v>
      </c>
      <c r="U56" s="320">
        <v>31255</v>
      </c>
      <c r="V56" s="320">
        <v>31914</v>
      </c>
      <c r="W56" s="329">
        <f t="shared" ref="W56:W59" si="42">SUM(K56:V56)</f>
        <v>298144</v>
      </c>
      <c r="X56" s="329">
        <f t="shared" ref="X56:X59" si="43">W56/12</f>
        <v>24845.333333333332</v>
      </c>
    </row>
    <row r="57" spans="2:25" x14ac:dyDescent="0.25">
      <c r="B57" s="299"/>
      <c r="C57" s="300"/>
      <c r="D57" s="301"/>
      <c r="E57" s="300"/>
      <c r="F57" s="301" t="s">
        <v>446</v>
      </c>
      <c r="G57" s="320">
        <v>682</v>
      </c>
      <c r="H57" s="320">
        <v>2450</v>
      </c>
      <c r="I57" s="320">
        <v>9924</v>
      </c>
      <c r="J57" s="320">
        <v>22430</v>
      </c>
      <c r="K57" s="320">
        <v>33242</v>
      </c>
      <c r="L57" s="320">
        <v>27705</v>
      </c>
      <c r="M57" s="320">
        <v>36642</v>
      </c>
      <c r="N57" s="320">
        <v>32472</v>
      </c>
      <c r="O57" s="320">
        <v>22759</v>
      </c>
      <c r="P57" s="320">
        <v>36732</v>
      </c>
      <c r="Q57" s="320">
        <v>36276</v>
      </c>
      <c r="R57" s="320">
        <v>38295</v>
      </c>
      <c r="S57" s="320">
        <v>41368</v>
      </c>
      <c r="T57" s="320">
        <v>46271</v>
      </c>
      <c r="U57" s="320">
        <v>40005</v>
      </c>
      <c r="V57" s="320">
        <v>38260</v>
      </c>
      <c r="W57" s="329">
        <f t="shared" si="42"/>
        <v>430027</v>
      </c>
      <c r="X57" s="329">
        <f t="shared" si="43"/>
        <v>35835.583333333336</v>
      </c>
    </row>
    <row r="58" spans="2:25" x14ac:dyDescent="0.25">
      <c r="B58" s="299"/>
      <c r="C58" s="300"/>
      <c r="D58" s="301"/>
      <c r="E58" s="300"/>
      <c r="F58" s="301" t="s">
        <v>447</v>
      </c>
      <c r="G58" s="320">
        <v>682</v>
      </c>
      <c r="H58" s="320">
        <v>721</v>
      </c>
      <c r="I58" s="320">
        <v>280</v>
      </c>
      <c r="J58" s="320">
        <v>238</v>
      </c>
      <c r="K58" s="320">
        <v>0</v>
      </c>
      <c r="L58" s="320">
        <v>1943</v>
      </c>
      <c r="M58" s="320">
        <v>0</v>
      </c>
      <c r="N58" s="320">
        <v>0</v>
      </c>
      <c r="O58" s="320">
        <v>0</v>
      </c>
      <c r="P58" s="320">
        <v>75</v>
      </c>
      <c r="Q58" s="320">
        <v>100</v>
      </c>
      <c r="R58" s="320">
        <v>0</v>
      </c>
      <c r="S58" s="320">
        <v>0</v>
      </c>
      <c r="T58" s="320">
        <v>0</v>
      </c>
      <c r="U58" s="320">
        <v>0</v>
      </c>
      <c r="V58" s="320"/>
      <c r="W58" s="329">
        <f t="shared" si="42"/>
        <v>2118</v>
      </c>
      <c r="X58" s="329">
        <f t="shared" si="43"/>
        <v>176.5</v>
      </c>
    </row>
    <row r="59" spans="2:25" ht="15.75" thickBot="1" x14ac:dyDescent="0.3">
      <c r="B59" s="299"/>
      <c r="C59" s="300"/>
      <c r="D59" s="301"/>
      <c r="E59" s="300"/>
      <c r="F59" s="304" t="s">
        <v>448</v>
      </c>
      <c r="G59" s="320">
        <v>832</v>
      </c>
      <c r="H59" s="320">
        <v>3023</v>
      </c>
      <c r="I59" s="320">
        <v>0</v>
      </c>
      <c r="J59" s="320">
        <v>1116</v>
      </c>
      <c r="K59" s="320">
        <v>6791</v>
      </c>
      <c r="L59" s="320"/>
      <c r="M59" s="320">
        <v>4090</v>
      </c>
      <c r="N59" s="320">
        <v>1780</v>
      </c>
      <c r="O59" s="320">
        <v>492</v>
      </c>
      <c r="P59" s="320">
        <v>3530</v>
      </c>
      <c r="Q59" s="320">
        <v>3250</v>
      </c>
      <c r="R59" s="320">
        <v>6910</v>
      </c>
      <c r="S59" s="320">
        <v>2445</v>
      </c>
      <c r="T59" s="320">
        <v>9055</v>
      </c>
      <c r="U59" s="320">
        <v>3777</v>
      </c>
      <c r="V59" s="320">
        <v>2470</v>
      </c>
      <c r="W59" s="329">
        <f t="shared" si="42"/>
        <v>44590</v>
      </c>
      <c r="X59" s="329">
        <f t="shared" si="43"/>
        <v>3715.8333333333335</v>
      </c>
    </row>
    <row r="60" spans="2:25" ht="15.75" thickBot="1" x14ac:dyDescent="0.3">
      <c r="B60" s="311"/>
      <c r="C60" s="312"/>
      <c r="D60" s="313"/>
      <c r="E60" s="312"/>
      <c r="F60" s="313"/>
      <c r="G60" s="321">
        <f t="shared" ref="G60:X60" si="44">SUM(G56:G59)</f>
        <v>3938</v>
      </c>
      <c r="H60" s="321">
        <f t="shared" si="44"/>
        <v>8902</v>
      </c>
      <c r="I60" s="321">
        <f t="shared" si="44"/>
        <v>15724</v>
      </c>
      <c r="J60" s="321">
        <f t="shared" si="44"/>
        <v>36350</v>
      </c>
      <c r="K60" s="321">
        <f t="shared" si="44"/>
        <v>64069</v>
      </c>
      <c r="L60" s="321">
        <f t="shared" ref="L60:M60" si="45">SUM(L56:L59)</f>
        <v>58017</v>
      </c>
      <c r="M60" s="321">
        <f t="shared" si="45"/>
        <v>66225</v>
      </c>
      <c r="N60" s="321">
        <f t="shared" ref="N60:O60" si="46">SUM(N56:N59)</f>
        <v>57722</v>
      </c>
      <c r="O60" s="321">
        <f t="shared" si="46"/>
        <v>34416</v>
      </c>
      <c r="P60" s="321">
        <f t="shared" ref="P60:Q60" si="47">SUM(P56:P59)</f>
        <v>67429</v>
      </c>
      <c r="Q60" s="321">
        <f t="shared" si="47"/>
        <v>61305</v>
      </c>
      <c r="R60" s="321">
        <f t="shared" ref="R60:S60" si="48">SUM(R56:R59)</f>
        <v>67946</v>
      </c>
      <c r="S60" s="321">
        <f t="shared" si="48"/>
        <v>65267</v>
      </c>
      <c r="T60" s="321">
        <f t="shared" ref="T60:U60" si="49">SUM(T56:T59)</f>
        <v>84802</v>
      </c>
      <c r="U60" s="321">
        <f t="shared" si="49"/>
        <v>75037</v>
      </c>
      <c r="V60" s="321">
        <f t="shared" ref="V60" si="50">SUM(V56:V59)</f>
        <v>72644</v>
      </c>
      <c r="W60" s="347">
        <f t="shared" si="44"/>
        <v>774879</v>
      </c>
      <c r="X60" s="365">
        <f t="shared" si="44"/>
        <v>64573.250000000007</v>
      </c>
      <c r="Y60" s="12"/>
    </row>
    <row r="61" spans="2:25" ht="15.75" thickBot="1" x14ac:dyDescent="0.3">
      <c r="B61" s="314"/>
      <c r="C61" s="333"/>
      <c r="D61" s="334"/>
      <c r="E61" s="333"/>
      <c r="F61" s="334"/>
      <c r="G61" s="335">
        <f t="shared" ref="G61:X61" si="51">G53+G60</f>
        <v>32583</v>
      </c>
      <c r="H61" s="335">
        <f t="shared" si="51"/>
        <v>36500</v>
      </c>
      <c r="I61" s="335">
        <f t="shared" si="51"/>
        <v>44021</v>
      </c>
      <c r="J61" s="335">
        <f t="shared" si="51"/>
        <v>71640</v>
      </c>
      <c r="K61" s="335">
        <f t="shared" si="51"/>
        <v>89392</v>
      </c>
      <c r="L61" s="335">
        <f t="shared" ref="L61:M61" si="52">L53+L60</f>
        <v>91458</v>
      </c>
      <c r="M61" s="335">
        <f t="shared" si="52"/>
        <v>96438</v>
      </c>
      <c r="N61" s="335">
        <f t="shared" ref="N61:O61" si="53">N53+N60</f>
        <v>86352</v>
      </c>
      <c r="O61" s="335">
        <f t="shared" si="53"/>
        <v>68509</v>
      </c>
      <c r="P61" s="335">
        <f t="shared" ref="P61:Q61" si="54">P53+P60</f>
        <v>104006</v>
      </c>
      <c r="Q61" s="335">
        <f t="shared" si="54"/>
        <v>95776</v>
      </c>
      <c r="R61" s="335">
        <f t="shared" ref="R61:S61" si="55">R53+R60</f>
        <v>101395</v>
      </c>
      <c r="S61" s="335">
        <f t="shared" si="55"/>
        <v>121106</v>
      </c>
      <c r="T61" s="335">
        <f t="shared" ref="T61:U61" si="56">T53+T60</f>
        <v>133882</v>
      </c>
      <c r="U61" s="335">
        <f t="shared" si="56"/>
        <v>107476</v>
      </c>
      <c r="V61" s="335">
        <f t="shared" ref="V61" si="57">V53+V60</f>
        <v>88087</v>
      </c>
      <c r="W61" s="346">
        <f t="shared" si="51"/>
        <v>1183877</v>
      </c>
      <c r="X61" s="366">
        <f t="shared" si="51"/>
        <v>98656.416666666686</v>
      </c>
      <c r="Y61" s="12"/>
    </row>
    <row r="62" spans="2:25" x14ac:dyDescent="0.25">
      <c r="B62" s="296"/>
      <c r="C62" s="297"/>
      <c r="D62" s="298"/>
      <c r="E62" s="297"/>
      <c r="F62" s="298"/>
      <c r="G62" s="318"/>
      <c r="H62" s="318"/>
      <c r="I62" s="318"/>
      <c r="J62" s="318"/>
      <c r="K62" s="318"/>
      <c r="L62" s="318"/>
      <c r="M62" s="318"/>
      <c r="N62" s="318"/>
      <c r="O62" s="318"/>
      <c r="P62" s="318"/>
      <c r="Q62" s="318"/>
      <c r="R62" s="318"/>
      <c r="S62" s="318"/>
      <c r="T62" s="318"/>
      <c r="U62" s="318"/>
      <c r="V62" s="318"/>
      <c r="W62" s="329"/>
      <c r="X62" s="329"/>
    </row>
    <row r="63" spans="2:25" x14ac:dyDescent="0.25">
      <c r="B63" s="296">
        <v>7</v>
      </c>
      <c r="C63" s="297"/>
      <c r="D63" s="298"/>
      <c r="E63" s="309" t="s">
        <v>499</v>
      </c>
      <c r="F63" s="301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8"/>
      <c r="R63" s="318"/>
      <c r="S63" s="318"/>
      <c r="T63" s="318"/>
      <c r="U63" s="318"/>
      <c r="V63" s="318"/>
      <c r="W63" s="329"/>
      <c r="X63" s="329"/>
    </row>
    <row r="64" spans="2:25" x14ac:dyDescent="0.25">
      <c r="B64" s="296"/>
      <c r="C64" s="297"/>
      <c r="D64" s="298"/>
      <c r="E64" s="370"/>
      <c r="F64" s="369" t="s">
        <v>451</v>
      </c>
      <c r="G64" s="325">
        <v>4000</v>
      </c>
      <c r="H64" s="325">
        <v>2826</v>
      </c>
      <c r="I64" s="325">
        <v>1303</v>
      </c>
      <c r="J64" s="325">
        <v>865</v>
      </c>
      <c r="K64" s="325">
        <v>0</v>
      </c>
      <c r="L64" s="325"/>
      <c r="M64" s="325">
        <v>0</v>
      </c>
      <c r="N64" s="325">
        <v>0</v>
      </c>
      <c r="O64" s="325">
        <v>0</v>
      </c>
      <c r="P64" s="325">
        <v>0</v>
      </c>
      <c r="Q64" s="325">
        <v>0</v>
      </c>
      <c r="R64" s="325">
        <v>55</v>
      </c>
      <c r="S64" s="325">
        <v>0</v>
      </c>
      <c r="T64" s="325">
        <v>0</v>
      </c>
      <c r="U64" s="325">
        <v>0</v>
      </c>
      <c r="V64" s="325"/>
      <c r="W64" s="329">
        <f t="shared" ref="W64:W73" si="58">SUM(K64:V64)</f>
        <v>55</v>
      </c>
      <c r="X64" s="329">
        <f t="shared" ref="X64:X73" si="59">W64/12</f>
        <v>4.583333333333333</v>
      </c>
    </row>
    <row r="65" spans="2:25" x14ac:dyDescent="0.25">
      <c r="B65" s="296"/>
      <c r="C65" s="297"/>
      <c r="D65" s="298"/>
      <c r="E65" s="300"/>
      <c r="F65" s="298" t="s">
        <v>449</v>
      </c>
      <c r="G65" s="325">
        <v>1558</v>
      </c>
      <c r="H65" s="325">
        <v>783</v>
      </c>
      <c r="I65" s="325">
        <v>178</v>
      </c>
      <c r="J65" s="325">
        <v>10427</v>
      </c>
      <c r="K65" s="325">
        <v>7660</v>
      </c>
      <c r="L65" s="325"/>
      <c r="M65" s="325">
        <v>0</v>
      </c>
      <c r="N65" s="325">
        <v>11500</v>
      </c>
      <c r="O65" s="325">
        <v>9100</v>
      </c>
      <c r="P65" s="325">
        <v>8474</v>
      </c>
      <c r="Q65" s="325">
        <v>14568</v>
      </c>
      <c r="R65" s="325">
        <v>3900</v>
      </c>
      <c r="S65" s="325">
        <v>5650</v>
      </c>
      <c r="T65" s="325">
        <v>7950</v>
      </c>
      <c r="U65" s="325">
        <v>10300</v>
      </c>
      <c r="V65" s="325">
        <v>10668</v>
      </c>
      <c r="W65" s="329">
        <f t="shared" si="58"/>
        <v>89770</v>
      </c>
      <c r="X65" s="329">
        <f t="shared" si="59"/>
        <v>7480.833333333333</v>
      </c>
    </row>
    <row r="66" spans="2:25" x14ac:dyDescent="0.25">
      <c r="B66" s="296"/>
      <c r="C66" s="297"/>
      <c r="D66" s="298"/>
      <c r="E66" s="297"/>
      <c r="F66" s="298" t="s">
        <v>450</v>
      </c>
      <c r="G66" s="325">
        <v>0</v>
      </c>
      <c r="H66" s="325">
        <v>0</v>
      </c>
      <c r="I66" s="325">
        <v>2178</v>
      </c>
      <c r="J66" s="325">
        <v>0</v>
      </c>
      <c r="K66" s="325">
        <v>0</v>
      </c>
      <c r="L66" s="325"/>
      <c r="M66" s="325">
        <v>0</v>
      </c>
      <c r="N66" s="325">
        <v>0</v>
      </c>
      <c r="O66" s="325">
        <v>0</v>
      </c>
      <c r="P66" s="325">
        <v>250</v>
      </c>
      <c r="Q66" s="325">
        <v>130</v>
      </c>
      <c r="R66" s="325">
        <v>0</v>
      </c>
      <c r="S66" s="325">
        <v>0</v>
      </c>
      <c r="T66" s="325">
        <v>0</v>
      </c>
      <c r="U66" s="325">
        <v>420</v>
      </c>
      <c r="V66" s="325"/>
      <c r="W66" s="329">
        <f t="shared" si="58"/>
        <v>800</v>
      </c>
      <c r="X66" s="329">
        <f t="shared" si="59"/>
        <v>66.666666666666671</v>
      </c>
    </row>
    <row r="67" spans="2:25" x14ac:dyDescent="0.25">
      <c r="B67" s="296"/>
      <c r="C67" s="297"/>
      <c r="D67" s="298"/>
      <c r="E67" s="297"/>
      <c r="F67" s="298" t="s">
        <v>480</v>
      </c>
      <c r="G67" s="325">
        <v>0</v>
      </c>
      <c r="H67" s="325">
        <v>0</v>
      </c>
      <c r="I67" s="325">
        <v>0</v>
      </c>
      <c r="J67" s="325">
        <v>1621</v>
      </c>
      <c r="K67" s="325">
        <v>1850</v>
      </c>
      <c r="L67" s="325">
        <v>2100</v>
      </c>
      <c r="M67" s="325">
        <v>2160</v>
      </c>
      <c r="N67" s="325">
        <v>1800</v>
      </c>
      <c r="O67" s="325">
        <v>4320</v>
      </c>
      <c r="P67" s="325">
        <v>0</v>
      </c>
      <c r="Q67" s="325">
        <v>860</v>
      </c>
      <c r="R67" s="325">
        <v>12190</v>
      </c>
      <c r="S67" s="325">
        <v>0</v>
      </c>
      <c r="T67" s="325">
        <v>0</v>
      </c>
      <c r="U67" s="325">
        <v>0</v>
      </c>
      <c r="V67" s="325"/>
      <c r="W67" s="329">
        <f t="shared" si="58"/>
        <v>25280</v>
      </c>
      <c r="X67" s="329">
        <f t="shared" si="59"/>
        <v>2106.6666666666665</v>
      </c>
    </row>
    <row r="68" spans="2:25" x14ac:dyDescent="0.25">
      <c r="B68" s="296"/>
      <c r="C68" s="297"/>
      <c r="D68" s="298"/>
      <c r="E68" s="297"/>
      <c r="F68" s="298" t="s">
        <v>495</v>
      </c>
      <c r="G68" s="325">
        <v>0</v>
      </c>
      <c r="H68" s="325">
        <v>0</v>
      </c>
      <c r="I68" s="325">
        <v>0</v>
      </c>
      <c r="J68" s="325">
        <v>0</v>
      </c>
      <c r="K68" s="325">
        <v>0</v>
      </c>
      <c r="L68" s="325"/>
      <c r="M68" s="325">
        <v>0</v>
      </c>
      <c r="N68" s="325">
        <v>0</v>
      </c>
      <c r="O68" s="325">
        <v>0</v>
      </c>
      <c r="P68" s="325">
        <v>0</v>
      </c>
      <c r="Q68" s="325">
        <v>0</v>
      </c>
      <c r="R68" s="325">
        <v>0</v>
      </c>
      <c r="S68" s="325">
        <v>0</v>
      </c>
      <c r="T68" s="325">
        <v>0</v>
      </c>
      <c r="U68" s="325">
        <v>4400</v>
      </c>
      <c r="V68" s="325">
        <v>2500</v>
      </c>
      <c r="W68" s="329">
        <f t="shared" si="58"/>
        <v>6900</v>
      </c>
      <c r="X68" s="329">
        <f t="shared" si="59"/>
        <v>575</v>
      </c>
    </row>
    <row r="69" spans="2:25" x14ac:dyDescent="0.25">
      <c r="B69" s="296"/>
      <c r="C69" s="297"/>
      <c r="D69" s="298"/>
      <c r="E69" s="297"/>
      <c r="F69" s="298" t="s">
        <v>496</v>
      </c>
      <c r="G69" s="325">
        <v>0</v>
      </c>
      <c r="H69" s="325">
        <v>0</v>
      </c>
      <c r="I69" s="325">
        <v>0</v>
      </c>
      <c r="J69" s="325">
        <v>0</v>
      </c>
      <c r="K69" s="325">
        <v>0</v>
      </c>
      <c r="L69" s="325">
        <v>720</v>
      </c>
      <c r="M69" s="325">
        <v>860</v>
      </c>
      <c r="N69" s="325">
        <v>0</v>
      </c>
      <c r="O69" s="325">
        <v>0</v>
      </c>
      <c r="P69" s="325">
        <v>0</v>
      </c>
      <c r="Q69" s="325">
        <v>0</v>
      </c>
      <c r="R69" s="325">
        <v>0</v>
      </c>
      <c r="S69" s="325">
        <v>0</v>
      </c>
      <c r="T69" s="325">
        <v>0</v>
      </c>
      <c r="U69" s="325">
        <v>0</v>
      </c>
      <c r="V69" s="325"/>
      <c r="W69" s="329">
        <f t="shared" si="58"/>
        <v>1580</v>
      </c>
      <c r="X69" s="329">
        <f t="shared" si="59"/>
        <v>131.66666666666666</v>
      </c>
    </row>
    <row r="70" spans="2:25" x14ac:dyDescent="0.25">
      <c r="B70" s="296"/>
      <c r="C70" s="297"/>
      <c r="D70" s="298"/>
      <c r="E70" s="297"/>
      <c r="F70" s="298" t="s">
        <v>497</v>
      </c>
      <c r="G70" s="325">
        <v>0</v>
      </c>
      <c r="H70" s="325">
        <v>0</v>
      </c>
      <c r="I70" s="325">
        <v>0</v>
      </c>
      <c r="J70" s="325">
        <v>0</v>
      </c>
      <c r="K70" s="325">
        <v>0</v>
      </c>
      <c r="L70" s="325"/>
      <c r="M70" s="325">
        <v>0</v>
      </c>
      <c r="N70" s="325">
        <v>2727</v>
      </c>
      <c r="O70" s="325">
        <v>0</v>
      </c>
      <c r="P70" s="325">
        <v>0</v>
      </c>
      <c r="Q70" s="325">
        <v>0</v>
      </c>
      <c r="R70" s="325">
        <v>1800</v>
      </c>
      <c r="S70" s="325">
        <v>0</v>
      </c>
      <c r="T70" s="325">
        <v>0</v>
      </c>
      <c r="U70" s="325">
        <v>0</v>
      </c>
      <c r="V70" s="325"/>
      <c r="W70" s="329">
        <f t="shared" si="58"/>
        <v>4527</v>
      </c>
      <c r="X70" s="329">
        <f t="shared" si="59"/>
        <v>377.25</v>
      </c>
    </row>
    <row r="71" spans="2:25" x14ac:dyDescent="0.25">
      <c r="B71" s="296"/>
      <c r="C71" s="297"/>
      <c r="D71" s="298"/>
      <c r="E71" s="297"/>
      <c r="F71" s="298" t="s">
        <v>498</v>
      </c>
      <c r="G71" s="325">
        <v>0</v>
      </c>
      <c r="H71" s="325">
        <v>0</v>
      </c>
      <c r="I71" s="325">
        <v>0</v>
      </c>
      <c r="J71" s="325">
        <v>0</v>
      </c>
      <c r="K71" s="325">
        <v>0</v>
      </c>
      <c r="L71" s="325"/>
      <c r="M71" s="325">
        <v>0</v>
      </c>
      <c r="N71" s="325">
        <v>0</v>
      </c>
      <c r="O71" s="325">
        <v>0</v>
      </c>
      <c r="P71" s="325">
        <v>0</v>
      </c>
      <c r="Q71" s="325">
        <v>0</v>
      </c>
      <c r="R71" s="325">
        <v>0</v>
      </c>
      <c r="S71" s="325">
        <v>0</v>
      </c>
      <c r="T71" s="325">
        <v>0</v>
      </c>
      <c r="U71" s="325">
        <v>0</v>
      </c>
      <c r="V71" s="325"/>
      <c r="W71" s="329">
        <f t="shared" si="58"/>
        <v>0</v>
      </c>
      <c r="X71" s="329">
        <f t="shared" si="59"/>
        <v>0</v>
      </c>
    </row>
    <row r="72" spans="2:25" x14ac:dyDescent="0.25">
      <c r="B72" s="299"/>
      <c r="C72" s="300"/>
      <c r="D72" s="301"/>
      <c r="E72" s="300"/>
      <c r="F72" s="371" t="s">
        <v>454</v>
      </c>
      <c r="G72" s="320">
        <v>369</v>
      </c>
      <c r="H72" s="320">
        <v>670</v>
      </c>
      <c r="I72" s="320">
        <v>1278</v>
      </c>
      <c r="J72" s="320">
        <v>2068</v>
      </c>
      <c r="K72" s="320">
        <v>6181</v>
      </c>
      <c r="L72" s="325">
        <v>9610</v>
      </c>
      <c r="M72" s="325">
        <v>215</v>
      </c>
      <c r="N72" s="325">
        <v>663</v>
      </c>
      <c r="O72" s="325">
        <v>305</v>
      </c>
      <c r="P72" s="325">
        <v>1880</v>
      </c>
      <c r="Q72" s="325">
        <v>110</v>
      </c>
      <c r="R72" s="325">
        <v>210</v>
      </c>
      <c r="S72" s="325">
        <v>11367</v>
      </c>
      <c r="T72" s="325">
        <v>6035</v>
      </c>
      <c r="U72" s="325">
        <v>857</v>
      </c>
      <c r="V72" s="325">
        <v>670</v>
      </c>
      <c r="W72" s="329">
        <f t="shared" si="58"/>
        <v>38103</v>
      </c>
      <c r="X72" s="329">
        <f t="shared" si="59"/>
        <v>3175.25</v>
      </c>
    </row>
    <row r="73" spans="2:25" ht="15.75" thickBot="1" x14ac:dyDescent="0.3">
      <c r="B73" s="296"/>
      <c r="C73" s="297"/>
      <c r="D73" s="298"/>
      <c r="F73" s="307" t="s">
        <v>452</v>
      </c>
      <c r="G73" s="325">
        <v>28</v>
      </c>
      <c r="H73" s="325">
        <v>0</v>
      </c>
      <c r="I73" s="325">
        <v>1</v>
      </c>
      <c r="J73" s="325">
        <v>40</v>
      </c>
      <c r="K73" s="325">
        <v>0</v>
      </c>
      <c r="L73" s="325"/>
      <c r="M73" s="325">
        <v>0</v>
      </c>
      <c r="N73" s="325">
        <v>0</v>
      </c>
      <c r="O73" s="325">
        <v>0</v>
      </c>
      <c r="P73" s="325">
        <v>6</v>
      </c>
      <c r="Q73" s="325">
        <v>3</v>
      </c>
      <c r="R73" s="325">
        <v>210</v>
      </c>
      <c r="S73" s="325">
        <v>105</v>
      </c>
      <c r="T73" s="325">
        <v>500</v>
      </c>
      <c r="U73" s="325">
        <v>0</v>
      </c>
      <c r="V73" s="325"/>
      <c r="W73" s="329">
        <f t="shared" si="58"/>
        <v>824</v>
      </c>
      <c r="X73" s="329">
        <f t="shared" si="59"/>
        <v>68.666666666666671</v>
      </c>
    </row>
    <row r="74" spans="2:25" ht="15.75" thickBot="1" x14ac:dyDescent="0.3">
      <c r="B74" s="314"/>
      <c r="C74" s="333"/>
      <c r="D74" s="334"/>
      <c r="E74" s="333"/>
      <c r="F74" s="334"/>
      <c r="G74" s="335">
        <f t="shared" ref="G74:X74" si="60">SUM(G64:G73)</f>
        <v>5955</v>
      </c>
      <c r="H74" s="335">
        <f t="shared" si="60"/>
        <v>4279</v>
      </c>
      <c r="I74" s="335">
        <f t="shared" si="60"/>
        <v>4938</v>
      </c>
      <c r="J74" s="335">
        <f t="shared" si="60"/>
        <v>15021</v>
      </c>
      <c r="K74" s="335">
        <f t="shared" si="60"/>
        <v>15691</v>
      </c>
      <c r="L74" s="335">
        <f t="shared" ref="L74:Q74" si="61">SUM(L64:L73)</f>
        <v>12430</v>
      </c>
      <c r="M74" s="335">
        <f t="shared" si="61"/>
        <v>3235</v>
      </c>
      <c r="N74" s="335">
        <f t="shared" si="61"/>
        <v>16690</v>
      </c>
      <c r="O74" s="335">
        <f t="shared" si="61"/>
        <v>13725</v>
      </c>
      <c r="P74" s="335">
        <f t="shared" si="61"/>
        <v>10610</v>
      </c>
      <c r="Q74" s="335">
        <f t="shared" si="61"/>
        <v>15671</v>
      </c>
      <c r="R74" s="335">
        <f t="shared" ref="R74:S74" si="62">SUM(R64:R73)</f>
        <v>18365</v>
      </c>
      <c r="S74" s="335">
        <f t="shared" si="62"/>
        <v>17122</v>
      </c>
      <c r="T74" s="335">
        <f t="shared" ref="T74:U74" si="63">SUM(T64:T73)</f>
        <v>14485</v>
      </c>
      <c r="U74" s="335">
        <f t="shared" si="63"/>
        <v>15977</v>
      </c>
      <c r="V74" s="335">
        <f t="shared" ref="V74" si="64">SUM(V64:V73)</f>
        <v>13838</v>
      </c>
      <c r="W74" s="346">
        <f t="shared" si="60"/>
        <v>167839</v>
      </c>
      <c r="X74" s="366">
        <f t="shared" si="60"/>
        <v>13986.583333333332</v>
      </c>
      <c r="Y74" s="12"/>
    </row>
    <row r="75" spans="2:25" x14ac:dyDescent="0.25">
      <c r="B75" s="296"/>
      <c r="C75" s="297"/>
      <c r="D75" s="298"/>
      <c r="E75" s="297"/>
      <c r="F75" s="298"/>
      <c r="G75" s="318"/>
      <c r="H75" s="318"/>
      <c r="I75" s="318"/>
      <c r="J75" s="318"/>
      <c r="K75" s="318"/>
      <c r="L75" s="318"/>
      <c r="M75" s="318"/>
      <c r="N75" s="318"/>
      <c r="O75" s="318"/>
      <c r="P75" s="318"/>
      <c r="Q75" s="318"/>
      <c r="R75" s="318"/>
      <c r="S75" s="318"/>
      <c r="T75" s="318"/>
      <c r="U75" s="318"/>
      <c r="V75" s="318"/>
      <c r="W75" s="329"/>
      <c r="X75" s="329"/>
    </row>
    <row r="76" spans="2:25" x14ac:dyDescent="0.25">
      <c r="B76" s="299">
        <v>8</v>
      </c>
      <c r="C76" s="300"/>
      <c r="D76" s="301"/>
      <c r="E76" s="308" t="s">
        <v>453</v>
      </c>
      <c r="F76" s="301"/>
      <c r="G76" s="319"/>
      <c r="H76" s="319"/>
      <c r="I76" s="319"/>
      <c r="J76" s="319"/>
      <c r="K76" s="319"/>
      <c r="L76" s="319"/>
      <c r="M76" s="319"/>
      <c r="N76" s="319"/>
      <c r="O76" s="319"/>
      <c r="P76" s="319"/>
      <c r="Q76" s="319"/>
      <c r="R76" s="319"/>
      <c r="S76" s="319"/>
      <c r="T76" s="319"/>
      <c r="U76" s="319"/>
      <c r="V76" s="319"/>
      <c r="W76" s="329"/>
      <c r="X76" s="329"/>
    </row>
    <row r="77" spans="2:25" x14ac:dyDescent="0.25">
      <c r="B77" s="299"/>
      <c r="C77" s="300"/>
      <c r="D77" s="301"/>
      <c r="E77" s="300"/>
      <c r="F77" s="316" t="s">
        <v>455</v>
      </c>
      <c r="G77" s="320">
        <v>7380</v>
      </c>
      <c r="H77" s="320">
        <v>11409</v>
      </c>
      <c r="I77" s="320">
        <v>20307</v>
      </c>
      <c r="J77" s="320">
        <v>13456</v>
      </c>
      <c r="K77" s="320">
        <v>16202</v>
      </c>
      <c r="L77" s="320">
        <v>18296</v>
      </c>
      <c r="M77" s="320">
        <v>14752</v>
      </c>
      <c r="N77" s="320">
        <v>15415</v>
      </c>
      <c r="O77" s="320">
        <v>12501</v>
      </c>
      <c r="P77" s="320">
        <v>12974</v>
      </c>
      <c r="Q77" s="320">
        <v>16429</v>
      </c>
      <c r="R77" s="320">
        <v>13224</v>
      </c>
      <c r="S77" s="320">
        <v>21228</v>
      </c>
      <c r="T77" s="320">
        <v>22662</v>
      </c>
      <c r="U77" s="320">
        <v>14731</v>
      </c>
      <c r="V77" s="320">
        <v>16881</v>
      </c>
      <c r="W77" s="329">
        <f t="shared" ref="W77:W91" si="65">SUM(K77:V77)</f>
        <v>195295</v>
      </c>
      <c r="X77" s="329">
        <f>W77/12</f>
        <v>16274.583333333334</v>
      </c>
    </row>
    <row r="78" spans="2:25" x14ac:dyDescent="0.25">
      <c r="B78" s="299"/>
      <c r="C78" s="300"/>
      <c r="D78" s="301"/>
      <c r="E78" s="300"/>
      <c r="F78" s="316" t="s">
        <v>456</v>
      </c>
      <c r="G78" s="320">
        <v>1069</v>
      </c>
      <c r="H78" s="320">
        <v>529</v>
      </c>
      <c r="I78" s="320">
        <v>868</v>
      </c>
      <c r="J78" s="320">
        <v>379</v>
      </c>
      <c r="K78" s="320">
        <v>100</v>
      </c>
      <c r="L78" s="320">
        <v>75</v>
      </c>
      <c r="M78" s="320">
        <v>5</v>
      </c>
      <c r="N78" s="320">
        <v>0</v>
      </c>
      <c r="O78" s="320">
        <v>800</v>
      </c>
      <c r="P78" s="320">
        <v>0</v>
      </c>
      <c r="Q78" s="320">
        <v>0</v>
      </c>
      <c r="R78" s="320">
        <v>0</v>
      </c>
      <c r="S78" s="320">
        <v>0</v>
      </c>
      <c r="T78" s="320">
        <v>0</v>
      </c>
      <c r="U78" s="320">
        <v>0</v>
      </c>
      <c r="V78" s="320">
        <v>100</v>
      </c>
      <c r="W78" s="329">
        <f t="shared" si="65"/>
        <v>1080</v>
      </c>
      <c r="X78" s="329">
        <f t="shared" ref="X78:X91" si="66">W78/12</f>
        <v>90</v>
      </c>
    </row>
    <row r="79" spans="2:25" x14ac:dyDescent="0.25">
      <c r="B79" s="299"/>
      <c r="C79" s="300"/>
      <c r="D79" s="301"/>
      <c r="E79" s="300"/>
      <c r="F79" s="316" t="s">
        <v>457</v>
      </c>
      <c r="G79" s="320">
        <v>0</v>
      </c>
      <c r="H79" s="320">
        <v>0</v>
      </c>
      <c r="I79" s="320">
        <v>0</v>
      </c>
      <c r="J79" s="320">
        <v>0</v>
      </c>
      <c r="K79" s="320">
        <v>0</v>
      </c>
      <c r="L79" s="320"/>
      <c r="M79" s="320">
        <v>0</v>
      </c>
      <c r="N79" s="320">
        <v>0</v>
      </c>
      <c r="O79" s="320">
        <v>0</v>
      </c>
      <c r="P79" s="320">
        <v>0</v>
      </c>
      <c r="Q79" s="320">
        <v>0</v>
      </c>
      <c r="R79" s="320">
        <v>0</v>
      </c>
      <c r="S79" s="320">
        <v>0</v>
      </c>
      <c r="T79" s="320">
        <v>0</v>
      </c>
      <c r="U79" s="320">
        <v>0</v>
      </c>
      <c r="V79" s="320"/>
      <c r="W79" s="329">
        <f t="shared" si="65"/>
        <v>0</v>
      </c>
      <c r="X79" s="329">
        <f t="shared" si="66"/>
        <v>0</v>
      </c>
    </row>
    <row r="80" spans="2:25" x14ac:dyDescent="0.25">
      <c r="B80" s="299"/>
      <c r="C80" s="300"/>
      <c r="D80" s="301"/>
      <c r="E80" s="300"/>
      <c r="F80" s="316" t="s">
        <v>458</v>
      </c>
      <c r="G80" s="320">
        <v>1128</v>
      </c>
      <c r="H80" s="320">
        <v>0</v>
      </c>
      <c r="I80" s="320">
        <v>0</v>
      </c>
      <c r="J80" s="320">
        <v>0</v>
      </c>
      <c r="K80" s="320">
        <v>0</v>
      </c>
      <c r="L80" s="320"/>
      <c r="M80" s="320">
        <v>0</v>
      </c>
      <c r="N80" s="320">
        <v>0</v>
      </c>
      <c r="O80" s="320">
        <v>0</v>
      </c>
      <c r="P80" s="320">
        <v>0</v>
      </c>
      <c r="Q80" s="320">
        <v>0</v>
      </c>
      <c r="R80" s="320">
        <v>0</v>
      </c>
      <c r="S80" s="320">
        <v>0</v>
      </c>
      <c r="T80" s="320">
        <v>0</v>
      </c>
      <c r="U80" s="320">
        <v>0</v>
      </c>
      <c r="V80" s="320"/>
      <c r="W80" s="329">
        <f t="shared" si="65"/>
        <v>0</v>
      </c>
      <c r="X80" s="329">
        <f t="shared" si="66"/>
        <v>0</v>
      </c>
    </row>
    <row r="81" spans="2:24" x14ac:dyDescent="0.25">
      <c r="B81" s="299"/>
      <c r="C81" s="300"/>
      <c r="D81" s="301"/>
      <c r="E81" s="300"/>
      <c r="F81" s="316" t="s">
        <v>473</v>
      </c>
      <c r="G81" s="320">
        <v>2206</v>
      </c>
      <c r="H81" s="320">
        <v>173</v>
      </c>
      <c r="I81" s="320">
        <v>1550</v>
      </c>
      <c r="J81" s="320">
        <v>0</v>
      </c>
      <c r="K81" s="320">
        <v>0</v>
      </c>
      <c r="L81" s="320"/>
      <c r="M81" s="320">
        <v>0</v>
      </c>
      <c r="N81" s="320">
        <v>0</v>
      </c>
      <c r="O81" s="320">
        <v>0</v>
      </c>
      <c r="P81" s="320">
        <v>0</v>
      </c>
      <c r="Q81" s="320">
        <v>0</v>
      </c>
      <c r="R81" s="320">
        <v>0</v>
      </c>
      <c r="S81" s="320">
        <v>0</v>
      </c>
      <c r="T81" s="320">
        <v>0</v>
      </c>
      <c r="U81" s="320">
        <v>0</v>
      </c>
      <c r="V81" s="320"/>
      <c r="W81" s="329">
        <f t="shared" si="65"/>
        <v>0</v>
      </c>
      <c r="X81" s="329">
        <f t="shared" si="66"/>
        <v>0</v>
      </c>
    </row>
    <row r="82" spans="2:24" x14ac:dyDescent="0.25">
      <c r="B82" s="299"/>
      <c r="C82" s="300"/>
      <c r="D82" s="301"/>
      <c r="E82" s="300"/>
      <c r="F82" s="316" t="s">
        <v>459</v>
      </c>
      <c r="G82" s="320">
        <v>0</v>
      </c>
      <c r="H82" s="320">
        <v>1058</v>
      </c>
      <c r="I82" s="320">
        <v>275</v>
      </c>
      <c r="J82" s="320">
        <v>0</v>
      </c>
      <c r="K82" s="320">
        <v>0</v>
      </c>
      <c r="L82" s="320"/>
      <c r="M82" s="320">
        <v>0</v>
      </c>
      <c r="N82" s="320">
        <v>0</v>
      </c>
      <c r="O82" s="320">
        <v>0</v>
      </c>
      <c r="P82" s="320">
        <v>0</v>
      </c>
      <c r="Q82" s="320">
        <v>0</v>
      </c>
      <c r="R82" s="320">
        <v>0</v>
      </c>
      <c r="S82" s="320">
        <v>0</v>
      </c>
      <c r="T82" s="320">
        <v>0</v>
      </c>
      <c r="U82" s="320">
        <v>0</v>
      </c>
      <c r="V82" s="320"/>
      <c r="W82" s="329">
        <f t="shared" si="65"/>
        <v>0</v>
      </c>
      <c r="X82" s="329">
        <f t="shared" si="66"/>
        <v>0</v>
      </c>
    </row>
    <row r="83" spans="2:24" x14ac:dyDescent="0.25">
      <c r="B83" s="299"/>
      <c r="C83" s="300"/>
      <c r="D83" s="301"/>
      <c r="E83" s="300"/>
      <c r="F83" s="316" t="s">
        <v>471</v>
      </c>
      <c r="G83" s="320">
        <v>232</v>
      </c>
      <c r="H83" s="320">
        <v>46</v>
      </c>
      <c r="I83" s="320">
        <v>30</v>
      </c>
      <c r="J83" s="320">
        <v>21</v>
      </c>
      <c r="K83" s="320">
        <v>0</v>
      </c>
      <c r="L83" s="320"/>
      <c r="M83" s="320">
        <v>0</v>
      </c>
      <c r="N83" s="320">
        <v>0</v>
      </c>
      <c r="O83" s="320">
        <v>0</v>
      </c>
      <c r="P83" s="320">
        <v>0</v>
      </c>
      <c r="Q83" s="320">
        <v>0</v>
      </c>
      <c r="R83" s="320">
        <v>0</v>
      </c>
      <c r="S83" s="320">
        <v>0</v>
      </c>
      <c r="T83" s="320">
        <v>0</v>
      </c>
      <c r="U83" s="320">
        <v>0</v>
      </c>
      <c r="V83" s="320"/>
      <c r="W83" s="329">
        <f t="shared" si="65"/>
        <v>0</v>
      </c>
      <c r="X83" s="329">
        <f t="shared" si="66"/>
        <v>0</v>
      </c>
    </row>
    <row r="84" spans="2:24" x14ac:dyDescent="0.25">
      <c r="B84" s="299"/>
      <c r="C84" s="300"/>
      <c r="D84" s="301"/>
      <c r="E84" s="300"/>
      <c r="F84" s="316" t="s">
        <v>481</v>
      </c>
      <c r="G84" s="320">
        <v>0</v>
      </c>
      <c r="H84" s="320">
        <v>0</v>
      </c>
      <c r="I84" s="320">
        <v>0</v>
      </c>
      <c r="J84" s="320">
        <v>529</v>
      </c>
      <c r="K84" s="320">
        <v>0</v>
      </c>
      <c r="L84" s="320"/>
      <c r="M84" s="320">
        <v>0</v>
      </c>
      <c r="N84" s="320">
        <v>0</v>
      </c>
      <c r="O84" s="320">
        <v>0</v>
      </c>
      <c r="P84" s="320">
        <v>0</v>
      </c>
      <c r="Q84" s="320">
        <v>0</v>
      </c>
      <c r="R84" s="320">
        <v>0</v>
      </c>
      <c r="S84" s="320">
        <v>0</v>
      </c>
      <c r="T84" s="320">
        <v>0</v>
      </c>
      <c r="U84" s="320">
        <v>0</v>
      </c>
      <c r="V84" s="320"/>
      <c r="W84" s="329">
        <f t="shared" si="65"/>
        <v>0</v>
      </c>
      <c r="X84" s="329">
        <f t="shared" si="66"/>
        <v>0</v>
      </c>
    </row>
    <row r="85" spans="2:24" x14ac:dyDescent="0.25">
      <c r="B85" s="299"/>
      <c r="C85" s="300"/>
      <c r="D85" s="301"/>
      <c r="E85" s="300"/>
      <c r="F85" s="316" t="s">
        <v>472</v>
      </c>
      <c r="G85" s="320">
        <v>5146</v>
      </c>
      <c r="H85" s="320">
        <v>217</v>
      </c>
      <c r="I85" s="320">
        <v>78</v>
      </c>
      <c r="J85" s="320">
        <v>63</v>
      </c>
      <c r="K85" s="320">
        <v>0</v>
      </c>
      <c r="L85" s="320"/>
      <c r="M85" s="320">
        <v>0</v>
      </c>
      <c r="N85" s="320">
        <v>0</v>
      </c>
      <c r="O85" s="320">
        <v>0</v>
      </c>
      <c r="P85" s="320">
        <v>0</v>
      </c>
      <c r="Q85" s="320">
        <v>0</v>
      </c>
      <c r="R85" s="320">
        <v>0</v>
      </c>
      <c r="S85" s="320">
        <v>0</v>
      </c>
      <c r="T85" s="320">
        <v>2</v>
      </c>
      <c r="U85" s="320">
        <v>0</v>
      </c>
      <c r="V85" s="320"/>
      <c r="W85" s="329">
        <f t="shared" si="65"/>
        <v>2</v>
      </c>
      <c r="X85" s="329">
        <f t="shared" si="66"/>
        <v>0.16666666666666666</v>
      </c>
    </row>
    <row r="86" spans="2:24" x14ac:dyDescent="0.25">
      <c r="B86" s="299"/>
      <c r="C86" s="300"/>
      <c r="D86" s="301"/>
      <c r="E86" s="300"/>
      <c r="F86" s="316" t="s">
        <v>483</v>
      </c>
      <c r="G86" s="320">
        <v>0</v>
      </c>
      <c r="H86" s="320">
        <v>0</v>
      </c>
      <c r="I86" s="320">
        <v>0</v>
      </c>
      <c r="J86" s="320">
        <v>6</v>
      </c>
      <c r="K86" s="320">
        <v>0</v>
      </c>
      <c r="L86" s="320"/>
      <c r="M86" s="320">
        <v>0</v>
      </c>
      <c r="N86" s="320">
        <v>0</v>
      </c>
      <c r="O86" s="320">
        <v>0</v>
      </c>
      <c r="P86" s="320">
        <v>0</v>
      </c>
      <c r="Q86" s="320">
        <v>0</v>
      </c>
      <c r="R86" s="320">
        <v>0</v>
      </c>
      <c r="S86" s="320">
        <v>0</v>
      </c>
      <c r="T86" s="320">
        <v>0</v>
      </c>
      <c r="U86" s="320">
        <v>0</v>
      </c>
      <c r="V86" s="320"/>
      <c r="W86" s="329">
        <f t="shared" si="65"/>
        <v>0</v>
      </c>
      <c r="X86" s="329">
        <f t="shared" si="66"/>
        <v>0</v>
      </c>
    </row>
    <row r="87" spans="2:24" x14ac:dyDescent="0.25">
      <c r="B87" s="299"/>
      <c r="C87" s="300"/>
      <c r="D87" s="301"/>
      <c r="E87" s="300"/>
      <c r="F87" s="316" t="s">
        <v>460</v>
      </c>
      <c r="G87" s="320">
        <v>2835</v>
      </c>
      <c r="H87" s="320">
        <v>158</v>
      </c>
      <c r="I87" s="320">
        <v>138</v>
      </c>
      <c r="J87" s="320">
        <v>0</v>
      </c>
      <c r="K87" s="320">
        <v>0</v>
      </c>
      <c r="L87" s="320"/>
      <c r="M87" s="320">
        <v>0</v>
      </c>
      <c r="N87" s="320">
        <v>0</v>
      </c>
      <c r="O87" s="320">
        <v>0</v>
      </c>
      <c r="P87" s="320">
        <v>0</v>
      </c>
      <c r="Q87" s="320">
        <v>0</v>
      </c>
      <c r="R87" s="320">
        <v>150</v>
      </c>
      <c r="S87" s="320">
        <v>0</v>
      </c>
      <c r="T87" s="320">
        <v>0</v>
      </c>
      <c r="U87" s="320">
        <v>0</v>
      </c>
      <c r="V87" s="320"/>
      <c r="W87" s="329">
        <f t="shared" si="65"/>
        <v>150</v>
      </c>
      <c r="X87" s="329">
        <f t="shared" si="66"/>
        <v>12.5</v>
      </c>
    </row>
    <row r="88" spans="2:24" x14ac:dyDescent="0.25">
      <c r="B88" s="299"/>
      <c r="C88" s="300"/>
      <c r="D88" s="301"/>
      <c r="E88" s="300"/>
      <c r="F88" s="316" t="s">
        <v>461</v>
      </c>
      <c r="G88" s="320">
        <v>0</v>
      </c>
      <c r="H88" s="320">
        <v>29</v>
      </c>
      <c r="I88" s="320">
        <v>58</v>
      </c>
      <c r="J88" s="320">
        <v>92</v>
      </c>
      <c r="K88" s="320">
        <v>0</v>
      </c>
      <c r="L88" s="320"/>
      <c r="M88" s="320">
        <v>0</v>
      </c>
      <c r="N88" s="320">
        <v>0</v>
      </c>
      <c r="O88" s="320">
        <v>0</v>
      </c>
      <c r="P88" s="320">
        <v>150</v>
      </c>
      <c r="Q88" s="320">
        <v>0</v>
      </c>
      <c r="R88" s="320">
        <v>0</v>
      </c>
      <c r="S88" s="320">
        <v>0</v>
      </c>
      <c r="T88" s="320">
        <v>10</v>
      </c>
      <c r="U88" s="320">
        <v>0</v>
      </c>
      <c r="V88" s="320"/>
      <c r="W88" s="329">
        <f t="shared" si="65"/>
        <v>160</v>
      </c>
      <c r="X88" s="329">
        <f t="shared" si="66"/>
        <v>13.333333333333334</v>
      </c>
    </row>
    <row r="89" spans="2:24" x14ac:dyDescent="0.25">
      <c r="B89" s="299"/>
      <c r="C89" s="300"/>
      <c r="D89" s="301"/>
      <c r="E89" s="300"/>
      <c r="F89" s="316" t="s">
        <v>462</v>
      </c>
      <c r="G89" s="320">
        <v>93</v>
      </c>
      <c r="H89" s="320">
        <v>0</v>
      </c>
      <c r="I89" s="320">
        <v>0</v>
      </c>
      <c r="J89" s="320">
        <v>0</v>
      </c>
      <c r="K89" s="320">
        <v>0</v>
      </c>
      <c r="L89" s="320">
        <v>3530</v>
      </c>
      <c r="M89" s="320">
        <v>0</v>
      </c>
      <c r="N89" s="320">
        <v>0</v>
      </c>
      <c r="O89" s="320">
        <v>0</v>
      </c>
      <c r="P89" s="320">
        <v>0</v>
      </c>
      <c r="Q89" s="320">
        <v>0</v>
      </c>
      <c r="R89" s="320">
        <v>0</v>
      </c>
      <c r="S89" s="320">
        <v>0</v>
      </c>
      <c r="T89" s="320">
        <v>0</v>
      </c>
      <c r="U89" s="320">
        <v>0</v>
      </c>
      <c r="V89" s="320"/>
      <c r="W89" s="329">
        <f t="shared" si="65"/>
        <v>3530</v>
      </c>
      <c r="X89" s="329">
        <f t="shared" si="66"/>
        <v>294.16666666666669</v>
      </c>
    </row>
    <row r="90" spans="2:24" x14ac:dyDescent="0.25">
      <c r="B90" s="299"/>
      <c r="C90" s="300"/>
      <c r="D90" s="301"/>
      <c r="E90" s="300"/>
      <c r="F90" s="316" t="s">
        <v>463</v>
      </c>
      <c r="G90" s="320">
        <v>702</v>
      </c>
      <c r="H90" s="320">
        <v>335</v>
      </c>
      <c r="I90" s="320">
        <v>676</v>
      </c>
      <c r="J90" s="320">
        <v>150</v>
      </c>
      <c r="K90" s="320">
        <v>7880</v>
      </c>
      <c r="L90" s="320"/>
      <c r="M90" s="320">
        <v>0</v>
      </c>
      <c r="N90" s="320">
        <v>3210</v>
      </c>
      <c r="O90" s="320">
        <v>0</v>
      </c>
      <c r="P90" s="320">
        <v>5436</v>
      </c>
      <c r="Q90" s="320">
        <v>4044</v>
      </c>
      <c r="R90" s="320">
        <v>0</v>
      </c>
      <c r="S90" s="320">
        <v>7936</v>
      </c>
      <c r="T90" s="320">
        <v>2634</v>
      </c>
      <c r="U90" s="320">
        <v>4762</v>
      </c>
      <c r="V90" s="320">
        <v>2688</v>
      </c>
      <c r="W90" s="329">
        <f t="shared" si="65"/>
        <v>38590</v>
      </c>
      <c r="X90" s="329">
        <f t="shared" si="66"/>
        <v>3215.8333333333335</v>
      </c>
    </row>
    <row r="91" spans="2:24" ht="15.75" thickBot="1" x14ac:dyDescent="0.3">
      <c r="B91" s="305"/>
      <c r="C91" s="306"/>
      <c r="D91" s="307"/>
      <c r="E91" s="306"/>
      <c r="F91" s="317" t="s">
        <v>464</v>
      </c>
      <c r="G91" s="323">
        <v>0</v>
      </c>
      <c r="H91" s="323">
        <v>0</v>
      </c>
      <c r="I91" s="323">
        <v>627</v>
      </c>
      <c r="J91" s="323">
        <v>13</v>
      </c>
      <c r="K91" s="323">
        <v>50</v>
      </c>
      <c r="L91" s="320"/>
      <c r="M91" s="320">
        <v>130</v>
      </c>
      <c r="N91" s="320">
        <v>0</v>
      </c>
      <c r="O91" s="320">
        <v>145</v>
      </c>
      <c r="P91" s="320">
        <v>47</v>
      </c>
      <c r="Q91" s="320">
        <v>0</v>
      </c>
      <c r="R91" s="320">
        <v>0</v>
      </c>
      <c r="S91" s="320">
        <v>95</v>
      </c>
      <c r="T91" s="320">
        <v>215</v>
      </c>
      <c r="U91" s="320">
        <v>75</v>
      </c>
      <c r="V91" s="320"/>
      <c r="W91" s="329">
        <f t="shared" si="65"/>
        <v>757</v>
      </c>
      <c r="X91" s="329">
        <f t="shared" si="66"/>
        <v>63.083333333333336</v>
      </c>
    </row>
    <row r="92" spans="2:24" ht="15.75" thickBot="1" x14ac:dyDescent="0.3">
      <c r="B92" s="314"/>
      <c r="C92" s="315"/>
      <c r="D92" s="315"/>
      <c r="E92" s="315"/>
      <c r="F92" s="315"/>
      <c r="G92" s="327">
        <f t="shared" ref="G92:K92" si="67">SUM(G77:G91)</f>
        <v>20791</v>
      </c>
      <c r="H92" s="327">
        <f t="shared" si="67"/>
        <v>13954</v>
      </c>
      <c r="I92" s="327">
        <f t="shared" si="67"/>
        <v>24607</v>
      </c>
      <c r="J92" s="327">
        <f>SUM(J77:J91)</f>
        <v>14709</v>
      </c>
      <c r="K92" s="327">
        <f t="shared" si="67"/>
        <v>24232</v>
      </c>
      <c r="L92" s="327">
        <f t="shared" ref="L92:W92" si="68">SUM(L77:L91)</f>
        <v>21901</v>
      </c>
      <c r="M92" s="327">
        <f t="shared" si="68"/>
        <v>14887</v>
      </c>
      <c r="N92" s="327">
        <f t="shared" si="68"/>
        <v>18625</v>
      </c>
      <c r="O92" s="327">
        <f t="shared" si="68"/>
        <v>13446</v>
      </c>
      <c r="P92" s="327">
        <f t="shared" ref="P92:Q92" si="69">SUM(P77:P91)</f>
        <v>18607</v>
      </c>
      <c r="Q92" s="327">
        <f t="shared" si="69"/>
        <v>20473</v>
      </c>
      <c r="R92" s="327">
        <f t="shared" ref="R92:S92" si="70">SUM(R77:R91)</f>
        <v>13374</v>
      </c>
      <c r="S92" s="327">
        <f t="shared" si="70"/>
        <v>29259</v>
      </c>
      <c r="T92" s="327">
        <f t="shared" ref="T92:U92" si="71">SUM(T77:T91)</f>
        <v>25523</v>
      </c>
      <c r="U92" s="327">
        <f t="shared" si="71"/>
        <v>19568</v>
      </c>
      <c r="V92" s="327">
        <f t="shared" ref="V92" si="72">SUM(V77:V91)</f>
        <v>19669</v>
      </c>
      <c r="W92" s="327">
        <f t="shared" si="68"/>
        <v>239564</v>
      </c>
      <c r="X92" s="368">
        <f>SUM(X77:X91)</f>
        <v>19963.666666666664</v>
      </c>
    </row>
    <row r="93" spans="2:24" ht="15.75" thickBot="1" x14ac:dyDescent="0.3">
      <c r="B93" s="455" t="s">
        <v>474</v>
      </c>
      <c r="C93" s="456"/>
      <c r="D93" s="456"/>
      <c r="E93" s="456"/>
      <c r="F93" s="457"/>
      <c r="G93" s="326">
        <f t="shared" ref="G93:W93" si="73">G46+G61+G74+G92</f>
        <v>245111</v>
      </c>
      <c r="H93" s="326">
        <f t="shared" si="73"/>
        <v>253203</v>
      </c>
      <c r="I93" s="326">
        <f t="shared" si="73"/>
        <v>267736</v>
      </c>
      <c r="J93" s="326">
        <f t="shared" si="73"/>
        <v>339496</v>
      </c>
      <c r="K93" s="326">
        <f t="shared" si="73"/>
        <v>414381</v>
      </c>
      <c r="L93" s="326">
        <f t="shared" ref="L93:Q93" si="74">L46+L61+L74+L92</f>
        <v>382444</v>
      </c>
      <c r="M93" s="326">
        <f t="shared" si="74"/>
        <v>394079</v>
      </c>
      <c r="N93" s="326">
        <f t="shared" si="74"/>
        <v>375824</v>
      </c>
      <c r="O93" s="326">
        <f t="shared" si="74"/>
        <v>323639</v>
      </c>
      <c r="P93" s="326">
        <f t="shared" si="74"/>
        <v>401074</v>
      </c>
      <c r="Q93" s="326">
        <f t="shared" si="74"/>
        <v>384416</v>
      </c>
      <c r="R93" s="326">
        <f t="shared" ref="R93:S93" si="75">R46+R61+R74+R92</f>
        <v>378153</v>
      </c>
      <c r="S93" s="326">
        <f t="shared" si="75"/>
        <v>426396</v>
      </c>
      <c r="T93" s="326">
        <f t="shared" ref="T93:U93" si="76">T46+T61+T74+T92</f>
        <v>469883</v>
      </c>
      <c r="U93" s="326">
        <f t="shared" si="76"/>
        <v>394158</v>
      </c>
      <c r="V93" s="326">
        <f t="shared" ref="V93" si="77">V46+V61+V74+V92</f>
        <v>360778</v>
      </c>
      <c r="W93" s="326">
        <f t="shared" si="73"/>
        <v>4705225</v>
      </c>
      <c r="X93" s="326">
        <f>X46+X61+X74+X92</f>
        <v>392102.08333333337</v>
      </c>
    </row>
    <row r="94" spans="2:24" x14ac:dyDescent="0.25"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2:24" x14ac:dyDescent="0.25"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443" t="s">
        <v>513</v>
      </c>
      <c r="X95" s="443"/>
    </row>
    <row r="96" spans="2:24" ht="14.25" customHeight="1" x14ac:dyDescent="0.25"/>
    <row r="1048576" spans="23:23" x14ac:dyDescent="0.25">
      <c r="W1048576" s="2">
        <f>SUM(W93)</f>
        <v>4705225</v>
      </c>
    </row>
  </sheetData>
  <mergeCells count="11">
    <mergeCell ref="B93:F93"/>
    <mergeCell ref="W95:X95"/>
    <mergeCell ref="B2:X2"/>
    <mergeCell ref="B3:X3"/>
    <mergeCell ref="B4:X4"/>
    <mergeCell ref="B6:B7"/>
    <mergeCell ref="C6:D7"/>
    <mergeCell ref="E6:F7"/>
    <mergeCell ref="W6:W7"/>
    <mergeCell ref="X6:X7"/>
    <mergeCell ref="G6:V6"/>
  </mergeCells>
  <pageMargins left="0.7" right="0.7" top="0.75" bottom="0.75" header="0.3" footer="0.3"/>
  <pageSetup orientation="portrait" horizontalDpi="120" verticalDpi="72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B2:Z98"/>
  <sheetViews>
    <sheetView zoomScale="60" zoomScaleNormal="60" workbookViewId="0">
      <selection activeCell="S65" sqref="S65"/>
    </sheetView>
  </sheetViews>
  <sheetFormatPr defaultRowHeight="15" x14ac:dyDescent="0.25"/>
  <cols>
    <col min="2" max="2" width="4.5703125" customWidth="1"/>
    <col min="3" max="3" width="15.7109375" customWidth="1"/>
    <col min="4" max="4" width="22.28515625" customWidth="1"/>
    <col min="5" max="5" width="2.7109375" customWidth="1"/>
    <col min="6" max="6" width="33.28515625" customWidth="1"/>
    <col min="7" max="11" width="15.7109375" customWidth="1"/>
    <col min="12" max="12" width="14.85546875" customWidth="1"/>
    <col min="13" max="13" width="13.5703125" customWidth="1"/>
    <col min="14" max="14" width="14.5703125" customWidth="1"/>
    <col min="15" max="16" width="13.5703125" customWidth="1"/>
    <col min="17" max="17" width="15.28515625" customWidth="1"/>
    <col min="18" max="18" width="15.5703125" customWidth="1"/>
    <col min="19" max="19" width="15.7109375" customWidth="1"/>
    <col min="20" max="24" width="15.5703125" customWidth="1"/>
    <col min="25" max="25" width="15.7109375" customWidth="1"/>
  </cols>
  <sheetData>
    <row r="2" spans="2:25" ht="15.75" x14ac:dyDescent="0.25">
      <c r="B2" s="423" t="s">
        <v>90</v>
      </c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</row>
    <row r="3" spans="2:25" x14ac:dyDescent="0.25">
      <c r="B3" s="392" t="s">
        <v>530</v>
      </c>
      <c r="C3" s="392"/>
      <c r="D3" s="392"/>
      <c r="E3" s="392"/>
      <c r="F3" s="392"/>
      <c r="G3" s="392"/>
      <c r="H3" s="392"/>
      <c r="I3" s="392"/>
      <c r="J3" s="392"/>
      <c r="K3" s="392"/>
      <c r="L3" s="392"/>
      <c r="M3" s="392"/>
      <c r="N3" s="392"/>
      <c r="O3" s="392"/>
      <c r="P3" s="392"/>
      <c r="Q3" s="392"/>
      <c r="R3" s="392"/>
      <c r="S3" s="392"/>
      <c r="T3" s="392"/>
      <c r="U3" s="392"/>
      <c r="V3" s="392"/>
      <c r="W3" s="392"/>
      <c r="X3" s="392"/>
      <c r="Y3" s="392"/>
    </row>
    <row r="4" spans="2:25" ht="15.75" thickBot="1" x14ac:dyDescent="0.3">
      <c r="B4" s="450" t="s">
        <v>394</v>
      </c>
      <c r="C4" s="450"/>
      <c r="D4" s="450"/>
      <c r="E4" s="450"/>
      <c r="F4" s="450"/>
      <c r="G4" s="450"/>
      <c r="H4" s="450"/>
      <c r="I4" s="450"/>
      <c r="J4" s="450"/>
      <c r="K4" s="450"/>
      <c r="L4" s="450"/>
      <c r="M4" s="450"/>
      <c r="N4" s="450"/>
      <c r="O4" s="450"/>
      <c r="P4" s="450"/>
      <c r="Q4" s="450"/>
      <c r="R4" s="450"/>
      <c r="S4" s="450"/>
      <c r="T4" s="450"/>
      <c r="U4" s="450"/>
      <c r="V4" s="450"/>
      <c r="W4" s="450"/>
      <c r="X4" s="450"/>
      <c r="Y4" s="450"/>
    </row>
    <row r="5" spans="2:25" ht="16.5" thickTop="1" thickBot="1" x14ac:dyDescent="0.3"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2:25" ht="15.75" thickBot="1" x14ac:dyDescent="0.3">
      <c r="B6" s="444" t="s">
        <v>503</v>
      </c>
      <c r="C6" s="444" t="s">
        <v>397</v>
      </c>
      <c r="D6" s="445"/>
      <c r="E6" s="444" t="s">
        <v>398</v>
      </c>
      <c r="F6" s="448"/>
      <c r="G6" s="459" t="s">
        <v>5</v>
      </c>
      <c r="H6" s="458"/>
      <c r="I6" s="458"/>
      <c r="J6" s="458"/>
      <c r="K6" s="458"/>
      <c r="L6" s="458"/>
      <c r="M6" s="458"/>
      <c r="N6" s="458"/>
      <c r="O6" s="458"/>
      <c r="P6" s="458"/>
      <c r="Q6" s="458"/>
      <c r="R6" s="458"/>
      <c r="S6" s="458"/>
      <c r="T6" s="458"/>
      <c r="U6" s="458"/>
      <c r="V6" s="458"/>
      <c r="W6" s="460"/>
      <c r="X6" s="451" t="s">
        <v>469</v>
      </c>
      <c r="Y6" s="453" t="s">
        <v>470</v>
      </c>
    </row>
    <row r="7" spans="2:25" ht="15.75" thickBot="1" x14ac:dyDescent="0.3">
      <c r="B7" s="446"/>
      <c r="C7" s="446"/>
      <c r="D7" s="447"/>
      <c r="E7" s="446"/>
      <c r="F7" s="449"/>
      <c r="G7" s="372" t="s">
        <v>89</v>
      </c>
      <c r="H7" s="373" t="s">
        <v>138</v>
      </c>
      <c r="I7" s="361" t="s">
        <v>467</v>
      </c>
      <c r="J7" s="372" t="s">
        <v>493</v>
      </c>
      <c r="K7" s="374" t="s">
        <v>514</v>
      </c>
      <c r="L7" s="374" t="s">
        <v>515</v>
      </c>
      <c r="M7" s="374" t="s">
        <v>516</v>
      </c>
      <c r="N7" s="374" t="s">
        <v>517</v>
      </c>
      <c r="O7" s="374" t="s">
        <v>518</v>
      </c>
      <c r="P7" s="374" t="s">
        <v>519</v>
      </c>
      <c r="Q7" s="374" t="s">
        <v>520</v>
      </c>
      <c r="R7" s="374" t="s">
        <v>521</v>
      </c>
      <c r="S7" s="374" t="s">
        <v>522</v>
      </c>
      <c r="T7" s="374" t="s">
        <v>523</v>
      </c>
      <c r="U7" s="374" t="s">
        <v>524</v>
      </c>
      <c r="V7" s="374" t="s">
        <v>525</v>
      </c>
      <c r="W7" s="374" t="s">
        <v>526</v>
      </c>
      <c r="X7" s="452"/>
      <c r="Y7" s="454"/>
    </row>
    <row r="8" spans="2:25" x14ac:dyDescent="0.25">
      <c r="B8" s="296"/>
      <c r="C8" s="297"/>
      <c r="D8" s="298"/>
      <c r="E8" s="297"/>
      <c r="F8" s="298"/>
      <c r="G8" s="318"/>
      <c r="H8" s="318"/>
      <c r="I8" s="318"/>
      <c r="J8" s="318"/>
      <c r="K8" s="352"/>
      <c r="L8" s="375"/>
      <c r="M8" s="344"/>
      <c r="N8" s="344"/>
      <c r="O8" s="344"/>
      <c r="P8" s="344"/>
      <c r="Q8" s="344"/>
      <c r="R8" s="344"/>
      <c r="S8" s="344"/>
      <c r="T8" s="352"/>
      <c r="U8" s="375"/>
      <c r="V8" s="344"/>
      <c r="W8" s="358"/>
      <c r="X8" s="328"/>
      <c r="Y8" s="328"/>
    </row>
    <row r="9" spans="2:25" x14ac:dyDescent="0.25">
      <c r="B9" s="299">
        <v>1</v>
      </c>
      <c r="C9" s="300" t="s">
        <v>399</v>
      </c>
      <c r="D9" s="301" t="s">
        <v>418</v>
      </c>
      <c r="E9" s="309" t="s">
        <v>401</v>
      </c>
      <c r="F9" s="301"/>
      <c r="G9" s="319"/>
      <c r="H9" s="319"/>
      <c r="I9" s="319"/>
      <c r="J9" s="319"/>
      <c r="K9" s="319"/>
      <c r="L9" s="319"/>
      <c r="M9" s="345"/>
      <c r="N9" s="345"/>
      <c r="O9" s="345"/>
      <c r="P9" s="345"/>
      <c r="Q9" s="345"/>
      <c r="R9" s="345"/>
      <c r="S9" s="345"/>
      <c r="T9" s="319"/>
      <c r="U9" s="337"/>
      <c r="V9" s="345"/>
      <c r="W9" s="356"/>
      <c r="X9" s="329"/>
      <c r="Y9" s="329"/>
    </row>
    <row r="10" spans="2:25" x14ac:dyDescent="0.25">
      <c r="B10" s="299"/>
      <c r="C10" s="300" t="s">
        <v>402</v>
      </c>
      <c r="D10" s="301" t="s">
        <v>403</v>
      </c>
      <c r="E10" s="300"/>
      <c r="F10" s="301" t="s">
        <v>404</v>
      </c>
      <c r="G10" s="320">
        <v>0</v>
      </c>
      <c r="H10" s="320">
        <v>111</v>
      </c>
      <c r="I10" s="320">
        <v>310</v>
      </c>
      <c r="J10" s="320">
        <v>817</v>
      </c>
      <c r="K10" s="320">
        <v>2365.6666666666665</v>
      </c>
      <c r="L10" s="320">
        <v>2160</v>
      </c>
      <c r="M10" s="320">
        <v>1195</v>
      </c>
      <c r="N10" s="320">
        <v>4260</v>
      </c>
      <c r="O10" s="320">
        <v>1405</v>
      </c>
      <c r="P10" s="320">
        <v>3197</v>
      </c>
      <c r="Q10" s="320">
        <v>2996</v>
      </c>
      <c r="R10" s="320">
        <v>3750</v>
      </c>
      <c r="S10" s="320">
        <v>5330</v>
      </c>
      <c r="T10" s="320">
        <v>4710</v>
      </c>
      <c r="U10" s="320">
        <v>1700</v>
      </c>
      <c r="V10" s="320">
        <v>5310</v>
      </c>
      <c r="W10" s="320">
        <v>4135</v>
      </c>
      <c r="X10" s="329">
        <f>SUM(L10:W10)</f>
        <v>40148</v>
      </c>
      <c r="Y10" s="329">
        <f>X10/12</f>
        <v>3345.6666666666665</v>
      </c>
    </row>
    <row r="11" spans="2:25" x14ac:dyDescent="0.25">
      <c r="B11" s="299"/>
      <c r="C11" s="300"/>
      <c r="D11" s="301" t="s">
        <v>465</v>
      </c>
      <c r="E11" s="300"/>
      <c r="F11" s="301" t="s">
        <v>405</v>
      </c>
      <c r="G11" s="320">
        <v>17169</v>
      </c>
      <c r="H11" s="320">
        <v>12906</v>
      </c>
      <c r="I11" s="320">
        <v>15554</v>
      </c>
      <c r="J11" s="320">
        <v>13094</v>
      </c>
      <c r="K11" s="320">
        <v>10871</v>
      </c>
      <c r="L11" s="320">
        <v>9194</v>
      </c>
      <c r="M11" s="320">
        <v>9684</v>
      </c>
      <c r="N11" s="320">
        <v>7818</v>
      </c>
      <c r="O11" s="320">
        <v>9035</v>
      </c>
      <c r="P11" s="320">
        <v>7314</v>
      </c>
      <c r="Q11" s="320">
        <v>5622</v>
      </c>
      <c r="R11" s="320">
        <v>6100</v>
      </c>
      <c r="S11" s="320">
        <v>6069</v>
      </c>
      <c r="T11" s="320">
        <v>7783</v>
      </c>
      <c r="U11" s="320">
        <v>4496</v>
      </c>
      <c r="V11" s="320">
        <v>10679</v>
      </c>
      <c r="W11" s="320">
        <v>5854</v>
      </c>
      <c r="X11" s="329">
        <f t="shared" ref="X11:X16" si="0">SUM(L11:W11)</f>
        <v>89648</v>
      </c>
      <c r="Y11" s="329">
        <f t="shared" ref="Y11:Y16" si="1">X11/12</f>
        <v>7470.666666666667</v>
      </c>
    </row>
    <row r="12" spans="2:25" x14ac:dyDescent="0.25">
      <c r="B12" s="299"/>
      <c r="C12" s="300"/>
      <c r="D12" s="301" t="s">
        <v>486</v>
      </c>
      <c r="E12" s="300"/>
      <c r="F12" s="301" t="s">
        <v>406</v>
      </c>
      <c r="G12" s="320">
        <v>2438</v>
      </c>
      <c r="H12" s="320">
        <v>5218</v>
      </c>
      <c r="I12" s="320">
        <v>8158</v>
      </c>
      <c r="J12" s="320">
        <v>10717</v>
      </c>
      <c r="K12" s="320">
        <v>9911.8333333333339</v>
      </c>
      <c r="L12" s="320">
        <v>9430</v>
      </c>
      <c r="M12" s="320">
        <v>9646</v>
      </c>
      <c r="N12" s="320">
        <v>9709</v>
      </c>
      <c r="O12" s="320">
        <v>10325</v>
      </c>
      <c r="P12" s="320">
        <v>7480</v>
      </c>
      <c r="Q12" s="320">
        <v>9029</v>
      </c>
      <c r="R12" s="320">
        <v>7138</v>
      </c>
      <c r="S12" s="320">
        <v>7025</v>
      </c>
      <c r="T12" s="320">
        <v>8670</v>
      </c>
      <c r="U12" s="320">
        <v>9582</v>
      </c>
      <c r="V12" s="320">
        <v>9217</v>
      </c>
      <c r="W12" s="320">
        <v>7098</v>
      </c>
      <c r="X12" s="329">
        <f t="shared" si="0"/>
        <v>104349</v>
      </c>
      <c r="Y12" s="329">
        <f t="shared" si="1"/>
        <v>8695.75</v>
      </c>
    </row>
    <row r="13" spans="2:25" x14ac:dyDescent="0.25">
      <c r="B13" s="299"/>
      <c r="C13" s="300"/>
      <c r="D13" s="301"/>
      <c r="E13" s="300"/>
      <c r="F13" s="301" t="s">
        <v>407</v>
      </c>
      <c r="G13" s="320">
        <v>0</v>
      </c>
      <c r="H13" s="320">
        <v>3310</v>
      </c>
      <c r="I13" s="320">
        <v>5277</v>
      </c>
      <c r="J13" s="320">
        <v>6916</v>
      </c>
      <c r="K13" s="320">
        <v>9123.4166666666661</v>
      </c>
      <c r="L13" s="320">
        <v>11520</v>
      </c>
      <c r="M13" s="320">
        <v>7580</v>
      </c>
      <c r="N13" s="320">
        <v>7628</v>
      </c>
      <c r="O13" s="320">
        <v>6470</v>
      </c>
      <c r="P13" s="320">
        <v>5753</v>
      </c>
      <c r="Q13" s="320">
        <v>5700</v>
      </c>
      <c r="R13" s="320">
        <v>5345</v>
      </c>
      <c r="S13" s="320">
        <v>6361</v>
      </c>
      <c r="T13" s="320">
        <v>5451</v>
      </c>
      <c r="U13" s="320">
        <v>3611</v>
      </c>
      <c r="V13" s="320">
        <v>5662</v>
      </c>
      <c r="W13" s="320">
        <v>6750</v>
      </c>
      <c r="X13" s="329">
        <f t="shared" si="0"/>
        <v>77831</v>
      </c>
      <c r="Y13" s="329">
        <f t="shared" si="1"/>
        <v>6485.916666666667</v>
      </c>
    </row>
    <row r="14" spans="2:25" x14ac:dyDescent="0.25">
      <c r="B14" s="299"/>
      <c r="C14" s="300"/>
      <c r="D14" s="301"/>
      <c r="E14" s="300"/>
      <c r="F14" s="301" t="s">
        <v>408</v>
      </c>
      <c r="G14" s="320">
        <v>11736</v>
      </c>
      <c r="H14" s="320">
        <v>7021</v>
      </c>
      <c r="I14" s="320">
        <v>6964</v>
      </c>
      <c r="J14" s="320">
        <v>9029</v>
      </c>
      <c r="K14" s="320">
        <v>10470.75</v>
      </c>
      <c r="L14" s="320">
        <v>18132</v>
      </c>
      <c r="M14" s="320">
        <v>10653</v>
      </c>
      <c r="N14" s="320">
        <v>13282</v>
      </c>
      <c r="O14" s="320">
        <v>8880</v>
      </c>
      <c r="P14" s="320">
        <v>8755</v>
      </c>
      <c r="Q14" s="320">
        <v>6427</v>
      </c>
      <c r="R14" s="320">
        <v>7709</v>
      </c>
      <c r="S14" s="320">
        <v>7615</v>
      </c>
      <c r="T14" s="320">
        <v>6208</v>
      </c>
      <c r="U14" s="320">
        <v>7744</v>
      </c>
      <c r="V14" s="320">
        <v>7179</v>
      </c>
      <c r="W14" s="320">
        <v>8448</v>
      </c>
      <c r="X14" s="329">
        <f t="shared" si="0"/>
        <v>111032</v>
      </c>
      <c r="Y14" s="329">
        <f t="shared" si="1"/>
        <v>9252.6666666666661</v>
      </c>
    </row>
    <row r="15" spans="2:25" x14ac:dyDescent="0.25">
      <c r="B15" s="299"/>
      <c r="C15" s="300"/>
      <c r="D15" s="301"/>
      <c r="E15" s="300"/>
      <c r="F15" s="301" t="s">
        <v>437</v>
      </c>
      <c r="G15" s="322">
        <v>9591</v>
      </c>
      <c r="H15" s="322">
        <v>7185</v>
      </c>
      <c r="I15" s="322">
        <v>6736</v>
      </c>
      <c r="J15" s="322">
        <v>10324</v>
      </c>
      <c r="K15" s="322">
        <v>12034.75</v>
      </c>
      <c r="L15" s="320">
        <v>13035</v>
      </c>
      <c r="M15" s="320">
        <v>10452</v>
      </c>
      <c r="N15" s="320">
        <v>14905</v>
      </c>
      <c r="O15" s="320">
        <v>7753</v>
      </c>
      <c r="P15" s="320">
        <v>10532</v>
      </c>
      <c r="Q15" s="320">
        <v>11671</v>
      </c>
      <c r="R15" s="320">
        <v>7272</v>
      </c>
      <c r="S15" s="320">
        <v>10228</v>
      </c>
      <c r="T15" s="320">
        <v>11309</v>
      </c>
      <c r="U15" s="320">
        <v>8669</v>
      </c>
      <c r="V15" s="320">
        <v>9991</v>
      </c>
      <c r="W15" s="320">
        <v>5912</v>
      </c>
      <c r="X15" s="329">
        <f t="shared" si="0"/>
        <v>121729</v>
      </c>
      <c r="Y15" s="329">
        <f t="shared" si="1"/>
        <v>10144.083333333334</v>
      </c>
    </row>
    <row r="16" spans="2:25" ht="15.75" thickBot="1" x14ac:dyDescent="0.3">
      <c r="B16" s="299"/>
      <c r="C16" s="300"/>
      <c r="D16" s="301"/>
      <c r="E16" s="300"/>
      <c r="F16" s="301" t="s">
        <v>409</v>
      </c>
      <c r="G16" s="320">
        <v>0</v>
      </c>
      <c r="H16" s="320">
        <v>103</v>
      </c>
      <c r="I16" s="320">
        <v>294</v>
      </c>
      <c r="J16" s="320">
        <v>826</v>
      </c>
      <c r="K16" s="320">
        <v>1097.75</v>
      </c>
      <c r="L16" s="320">
        <v>1080</v>
      </c>
      <c r="M16" s="320">
        <v>505</v>
      </c>
      <c r="N16" s="320">
        <v>983</v>
      </c>
      <c r="O16" s="320">
        <v>646</v>
      </c>
      <c r="P16" s="320">
        <v>862</v>
      </c>
      <c r="Q16" s="320">
        <v>0</v>
      </c>
      <c r="R16" s="320">
        <v>1650</v>
      </c>
      <c r="S16" s="320">
        <v>360</v>
      </c>
      <c r="T16" s="320">
        <v>731</v>
      </c>
      <c r="U16" s="320">
        <v>555</v>
      </c>
      <c r="V16" s="320">
        <v>3240</v>
      </c>
      <c r="W16" s="320">
        <v>235</v>
      </c>
      <c r="X16" s="329">
        <f t="shared" si="0"/>
        <v>10847</v>
      </c>
      <c r="Y16" s="329">
        <f t="shared" si="1"/>
        <v>903.91666666666663</v>
      </c>
    </row>
    <row r="17" spans="2:25" ht="15.75" thickBot="1" x14ac:dyDescent="0.3">
      <c r="B17" s="311"/>
      <c r="C17" s="312"/>
      <c r="D17" s="313"/>
      <c r="E17" s="312"/>
      <c r="F17" s="313"/>
      <c r="G17" s="321">
        <f>SUM(G10:G16)</f>
        <v>40934</v>
      </c>
      <c r="H17" s="321">
        <f t="shared" ref="H17:Y17" si="2">SUM(H10:H16)</f>
        <v>35854</v>
      </c>
      <c r="I17" s="321">
        <f t="shared" si="2"/>
        <v>43293</v>
      </c>
      <c r="J17" s="321">
        <f t="shared" si="2"/>
        <v>51723</v>
      </c>
      <c r="K17" s="321">
        <f t="shared" si="2"/>
        <v>55875.166666666664</v>
      </c>
      <c r="L17" s="321">
        <f t="shared" si="2"/>
        <v>64551</v>
      </c>
      <c r="M17" s="321">
        <f t="shared" si="2"/>
        <v>49715</v>
      </c>
      <c r="N17" s="321">
        <f t="shared" si="2"/>
        <v>58585</v>
      </c>
      <c r="O17" s="321">
        <f t="shared" si="2"/>
        <v>44514</v>
      </c>
      <c r="P17" s="321">
        <f t="shared" si="2"/>
        <v>43893</v>
      </c>
      <c r="Q17" s="321">
        <f t="shared" si="2"/>
        <v>41445</v>
      </c>
      <c r="R17" s="321">
        <f t="shared" si="2"/>
        <v>38964</v>
      </c>
      <c r="S17" s="321">
        <f t="shared" si="2"/>
        <v>42988</v>
      </c>
      <c r="T17" s="321">
        <f t="shared" si="2"/>
        <v>44862</v>
      </c>
      <c r="U17" s="321">
        <f t="shared" si="2"/>
        <v>36357</v>
      </c>
      <c r="V17" s="321">
        <f t="shared" si="2"/>
        <v>51278</v>
      </c>
      <c r="W17" s="321">
        <f t="shared" si="2"/>
        <v>38432</v>
      </c>
      <c r="X17" s="330">
        <f t="shared" si="2"/>
        <v>555584</v>
      </c>
      <c r="Y17" s="330">
        <f t="shared" si="2"/>
        <v>46298.666666666672</v>
      </c>
    </row>
    <row r="18" spans="2:25" x14ac:dyDescent="0.25">
      <c r="B18" s="296"/>
      <c r="C18" s="297"/>
      <c r="D18" s="298"/>
      <c r="E18" s="297"/>
      <c r="F18" s="298"/>
      <c r="G18" s="322"/>
      <c r="H18" s="322"/>
      <c r="I18" s="322"/>
      <c r="J18" s="322"/>
      <c r="K18" s="322"/>
      <c r="L18" s="322"/>
      <c r="M18" s="322"/>
      <c r="N18" s="322"/>
      <c r="O18" s="322"/>
      <c r="P18" s="322"/>
      <c r="Q18" s="322"/>
      <c r="R18" s="322"/>
      <c r="S18" s="322"/>
      <c r="T18" s="322"/>
      <c r="U18" s="322"/>
      <c r="V18" s="322"/>
      <c r="W18" s="322"/>
      <c r="X18" s="328"/>
      <c r="Y18" s="328"/>
    </row>
    <row r="19" spans="2:25" x14ac:dyDescent="0.25">
      <c r="B19" s="299">
        <v>2</v>
      </c>
      <c r="C19" s="300" t="s">
        <v>399</v>
      </c>
      <c r="D19" s="301" t="s">
        <v>410</v>
      </c>
      <c r="E19" s="309" t="s">
        <v>411</v>
      </c>
      <c r="F19" s="301"/>
      <c r="G19" s="319"/>
      <c r="H19" s="319"/>
      <c r="I19" s="319"/>
      <c r="J19" s="319"/>
      <c r="K19" s="319"/>
      <c r="L19" s="319"/>
      <c r="M19" s="319"/>
      <c r="N19" s="319"/>
      <c r="O19" s="319"/>
      <c r="P19" s="319"/>
      <c r="Q19" s="319"/>
      <c r="R19" s="319"/>
      <c r="S19" s="319"/>
      <c r="T19" s="319"/>
      <c r="U19" s="319"/>
      <c r="V19" s="319"/>
      <c r="W19" s="319"/>
      <c r="X19" s="329"/>
      <c r="Y19" s="329"/>
    </row>
    <row r="20" spans="2:25" x14ac:dyDescent="0.25">
      <c r="B20" s="299"/>
      <c r="C20" s="300" t="s">
        <v>402</v>
      </c>
      <c r="D20" s="301" t="s">
        <v>412</v>
      </c>
      <c r="E20" s="300"/>
      <c r="F20" s="301" t="s">
        <v>131</v>
      </c>
      <c r="G20" s="320">
        <v>0</v>
      </c>
      <c r="H20" s="320">
        <v>4126</v>
      </c>
      <c r="I20" s="320">
        <v>17782</v>
      </c>
      <c r="J20" s="320">
        <v>13746</v>
      </c>
      <c r="K20" s="320">
        <v>16055.333333333334</v>
      </c>
      <c r="L20" s="320">
        <v>16214</v>
      </c>
      <c r="M20" s="320">
        <v>20915</v>
      </c>
      <c r="N20" s="320">
        <v>15312</v>
      </c>
      <c r="O20" s="320">
        <v>19524</v>
      </c>
      <c r="P20" s="319">
        <v>16430</v>
      </c>
      <c r="Q20" s="319">
        <v>15185</v>
      </c>
      <c r="R20" s="319">
        <v>7800</v>
      </c>
      <c r="S20" s="319">
        <v>13403</v>
      </c>
      <c r="T20" s="319">
        <v>12858</v>
      </c>
      <c r="U20" s="319">
        <v>7285</v>
      </c>
      <c r="V20" s="319">
        <v>17235</v>
      </c>
      <c r="W20" s="319">
        <v>16390</v>
      </c>
      <c r="X20" s="329">
        <f t="shared" ref="X20:X27" si="3">SUM(L20:W20)</f>
        <v>178551</v>
      </c>
      <c r="Y20" s="329">
        <f t="shared" ref="Y20:Y27" si="4">X20/12</f>
        <v>14879.25</v>
      </c>
    </row>
    <row r="21" spans="2:25" x14ac:dyDescent="0.25">
      <c r="B21" s="299"/>
      <c r="C21" s="300"/>
      <c r="D21" s="301" t="s">
        <v>413</v>
      </c>
      <c r="E21" s="300"/>
      <c r="F21" s="301" t="s">
        <v>320</v>
      </c>
      <c r="G21" s="320">
        <v>0</v>
      </c>
      <c r="H21" s="320">
        <v>0</v>
      </c>
      <c r="I21" s="320">
        <v>8995</v>
      </c>
      <c r="J21" s="320">
        <v>35001</v>
      </c>
      <c r="K21" s="320">
        <v>32913.25</v>
      </c>
      <c r="L21" s="320">
        <v>14475</v>
      </c>
      <c r="M21" s="320">
        <v>34685</v>
      </c>
      <c r="N21" s="320">
        <v>28685</v>
      </c>
      <c r="O21" s="320">
        <v>41265</v>
      </c>
      <c r="P21" s="319">
        <v>34540</v>
      </c>
      <c r="Q21" s="319">
        <v>24650</v>
      </c>
      <c r="R21" s="319">
        <v>23602</v>
      </c>
      <c r="S21" s="319">
        <v>24040</v>
      </c>
      <c r="T21" s="319">
        <v>39075</v>
      </c>
      <c r="U21" s="319">
        <v>38330</v>
      </c>
      <c r="V21" s="319">
        <v>33115</v>
      </c>
      <c r="W21" s="319">
        <v>25072</v>
      </c>
      <c r="X21" s="329">
        <f>SUM(L21:W21)</f>
        <v>361534</v>
      </c>
      <c r="Y21" s="329">
        <f t="shared" si="4"/>
        <v>30127.833333333332</v>
      </c>
    </row>
    <row r="22" spans="2:25" x14ac:dyDescent="0.25">
      <c r="B22" s="299"/>
      <c r="C22" s="300"/>
      <c r="D22" s="301"/>
      <c r="E22" s="300"/>
      <c r="F22" s="301" t="s">
        <v>414</v>
      </c>
      <c r="G22" s="320">
        <v>0</v>
      </c>
      <c r="H22" s="320">
        <v>136</v>
      </c>
      <c r="I22" s="320">
        <v>303</v>
      </c>
      <c r="J22" s="320">
        <v>156</v>
      </c>
      <c r="K22" s="320">
        <v>50</v>
      </c>
      <c r="L22" s="320">
        <v>0</v>
      </c>
      <c r="M22" s="320">
        <v>0</v>
      </c>
      <c r="N22" s="320">
        <v>0</v>
      </c>
      <c r="O22" s="320">
        <v>195</v>
      </c>
      <c r="P22" s="319">
        <v>550</v>
      </c>
      <c r="Q22" s="319">
        <v>100</v>
      </c>
      <c r="R22" s="319">
        <v>1849</v>
      </c>
      <c r="S22" s="319">
        <v>1250</v>
      </c>
      <c r="T22" s="319">
        <v>0</v>
      </c>
      <c r="U22" s="319">
        <v>0</v>
      </c>
      <c r="V22" s="319">
        <v>1140</v>
      </c>
      <c r="W22" s="319">
        <v>480</v>
      </c>
      <c r="X22" s="329">
        <f t="shared" si="3"/>
        <v>5564</v>
      </c>
      <c r="Y22" s="329">
        <f t="shared" si="4"/>
        <v>463.66666666666669</v>
      </c>
    </row>
    <row r="23" spans="2:25" x14ac:dyDescent="0.25">
      <c r="B23" s="299"/>
      <c r="C23" s="300"/>
      <c r="D23" s="301"/>
      <c r="E23" s="300"/>
      <c r="F23" s="301" t="s">
        <v>528</v>
      </c>
      <c r="G23" s="320">
        <v>0</v>
      </c>
      <c r="H23" s="320">
        <v>0</v>
      </c>
      <c r="I23" s="320">
        <v>0</v>
      </c>
      <c r="J23" s="320">
        <v>0</v>
      </c>
      <c r="K23" s="320">
        <v>0</v>
      </c>
      <c r="L23" s="320">
        <v>0</v>
      </c>
      <c r="M23" s="320">
        <v>0</v>
      </c>
      <c r="N23" s="320">
        <v>0</v>
      </c>
      <c r="O23" s="320">
        <v>0</v>
      </c>
      <c r="P23" s="319">
        <v>0</v>
      </c>
      <c r="Q23" s="319">
        <v>0</v>
      </c>
      <c r="R23" s="319">
        <v>0</v>
      </c>
      <c r="S23" s="319">
        <v>450</v>
      </c>
      <c r="T23" s="319">
        <v>0</v>
      </c>
      <c r="U23" s="319">
        <v>0</v>
      </c>
      <c r="V23" s="319">
        <v>0</v>
      </c>
      <c r="W23" s="319">
        <v>0</v>
      </c>
      <c r="X23" s="329">
        <f>SUM(L23:W23)</f>
        <v>450</v>
      </c>
      <c r="Y23" s="329">
        <f t="shared" si="4"/>
        <v>37.5</v>
      </c>
    </row>
    <row r="24" spans="2:25" x14ac:dyDescent="0.25">
      <c r="B24" s="299"/>
      <c r="C24" s="300"/>
      <c r="D24" s="301"/>
      <c r="E24" s="300"/>
      <c r="F24" s="301" t="s">
        <v>125</v>
      </c>
      <c r="G24" s="320">
        <v>12652</v>
      </c>
      <c r="H24" s="320">
        <v>14850</v>
      </c>
      <c r="I24" s="320">
        <v>15131</v>
      </c>
      <c r="J24" s="320">
        <v>23958</v>
      </c>
      <c r="K24" s="320">
        <v>31672.333333333332</v>
      </c>
      <c r="L24" s="320">
        <v>43535</v>
      </c>
      <c r="M24" s="320">
        <v>25805</v>
      </c>
      <c r="N24" s="320">
        <v>43438</v>
      </c>
      <c r="O24" s="320">
        <v>33245</v>
      </c>
      <c r="P24" s="319">
        <v>34755</v>
      </c>
      <c r="Q24" s="319">
        <v>35852</v>
      </c>
      <c r="R24" s="319">
        <v>40051</v>
      </c>
      <c r="S24" s="319">
        <v>35845</v>
      </c>
      <c r="T24" s="319">
        <v>37533</v>
      </c>
      <c r="U24" s="319">
        <v>26503</v>
      </c>
      <c r="V24" s="319">
        <v>23252</v>
      </c>
      <c r="W24" s="319">
        <v>32068</v>
      </c>
      <c r="X24" s="329">
        <f t="shared" si="3"/>
        <v>411882</v>
      </c>
      <c r="Y24" s="329">
        <f t="shared" si="4"/>
        <v>34323.5</v>
      </c>
    </row>
    <row r="25" spans="2:25" x14ac:dyDescent="0.25">
      <c r="B25" s="299"/>
      <c r="C25" s="300"/>
      <c r="D25" s="301"/>
      <c r="E25" s="300"/>
      <c r="F25" s="301" t="s">
        <v>415</v>
      </c>
      <c r="G25" s="320">
        <v>7594</v>
      </c>
      <c r="H25" s="320">
        <v>3730</v>
      </c>
      <c r="I25" s="320">
        <v>1052</v>
      </c>
      <c r="J25" s="320">
        <v>899</v>
      </c>
      <c r="K25" s="320">
        <v>545.33333333333337</v>
      </c>
      <c r="L25" s="320">
        <v>2660</v>
      </c>
      <c r="M25" s="320">
        <v>2875</v>
      </c>
      <c r="N25" s="320">
        <v>3110</v>
      </c>
      <c r="O25" s="320">
        <v>2648</v>
      </c>
      <c r="P25" s="319">
        <v>1805</v>
      </c>
      <c r="Q25" s="319">
        <v>1250</v>
      </c>
      <c r="R25" s="319">
        <v>1320</v>
      </c>
      <c r="S25" s="319">
        <v>1130</v>
      </c>
      <c r="T25" s="319">
        <v>1640</v>
      </c>
      <c r="U25" s="319">
        <v>410</v>
      </c>
      <c r="V25" s="319">
        <v>1400</v>
      </c>
      <c r="W25" s="319">
        <v>960</v>
      </c>
      <c r="X25" s="329">
        <f t="shared" si="3"/>
        <v>21208</v>
      </c>
      <c r="Y25" s="329">
        <f t="shared" si="4"/>
        <v>1767.3333333333333</v>
      </c>
    </row>
    <row r="26" spans="2:25" x14ac:dyDescent="0.25">
      <c r="B26" s="302"/>
      <c r="C26" s="303"/>
      <c r="D26" s="304"/>
      <c r="E26" s="303"/>
      <c r="F26" s="304" t="s">
        <v>416</v>
      </c>
      <c r="G26" s="323">
        <v>0</v>
      </c>
      <c r="H26" s="323">
        <v>816</v>
      </c>
      <c r="I26" s="323">
        <v>1231</v>
      </c>
      <c r="J26" s="323">
        <v>2519</v>
      </c>
      <c r="K26" s="323">
        <v>3520.9166666666665</v>
      </c>
      <c r="L26" s="320">
        <v>3420</v>
      </c>
      <c r="M26" s="320">
        <v>5398</v>
      </c>
      <c r="N26" s="320">
        <v>3705</v>
      </c>
      <c r="O26" s="320">
        <v>2335</v>
      </c>
      <c r="P26" s="319">
        <v>3520</v>
      </c>
      <c r="Q26" s="319">
        <v>4235</v>
      </c>
      <c r="R26" s="319">
        <v>4210</v>
      </c>
      <c r="S26" s="319">
        <v>4220</v>
      </c>
      <c r="T26" s="319">
        <v>2300</v>
      </c>
      <c r="U26" s="319">
        <v>7640</v>
      </c>
      <c r="V26" s="319">
        <v>1995</v>
      </c>
      <c r="W26" s="319">
        <v>4190</v>
      </c>
      <c r="X26" s="329">
        <f t="shared" si="3"/>
        <v>47168</v>
      </c>
      <c r="Y26" s="329">
        <f t="shared" si="4"/>
        <v>3930.6666666666665</v>
      </c>
    </row>
    <row r="27" spans="2:25" ht="15.75" thickBot="1" x14ac:dyDescent="0.3">
      <c r="B27" s="302"/>
      <c r="C27" s="303"/>
      <c r="D27" s="304"/>
      <c r="E27" s="303"/>
      <c r="F27" s="304" t="s">
        <v>454</v>
      </c>
      <c r="G27" s="323">
        <v>0</v>
      </c>
      <c r="H27" s="323">
        <v>0</v>
      </c>
      <c r="I27" s="323">
        <v>0</v>
      </c>
      <c r="J27" s="323">
        <v>0</v>
      </c>
      <c r="K27" s="323">
        <v>0</v>
      </c>
      <c r="L27" s="320">
        <v>0</v>
      </c>
      <c r="M27" s="320">
        <v>0</v>
      </c>
      <c r="N27" s="320">
        <v>0</v>
      </c>
      <c r="O27" s="320">
        <v>0</v>
      </c>
      <c r="P27" s="319">
        <v>0</v>
      </c>
      <c r="Q27" s="319">
        <v>0</v>
      </c>
      <c r="R27" s="319">
        <v>0</v>
      </c>
      <c r="S27" s="319">
        <v>0</v>
      </c>
      <c r="T27" s="319">
        <v>0</v>
      </c>
      <c r="U27" s="319">
        <v>0</v>
      </c>
      <c r="V27" s="319">
        <v>370</v>
      </c>
      <c r="W27" s="319">
        <v>0</v>
      </c>
      <c r="X27" s="329">
        <f t="shared" si="3"/>
        <v>370</v>
      </c>
      <c r="Y27" s="329">
        <f t="shared" si="4"/>
        <v>30.833333333333332</v>
      </c>
    </row>
    <row r="28" spans="2:25" ht="15.75" thickBot="1" x14ac:dyDescent="0.3">
      <c r="B28" s="311"/>
      <c r="C28" s="312"/>
      <c r="D28" s="313"/>
      <c r="E28" s="312"/>
      <c r="F28" s="313"/>
      <c r="G28" s="321">
        <f t="shared" ref="G28:X28" si="5">SUM(G20:G27)</f>
        <v>20246</v>
      </c>
      <c r="H28" s="321">
        <f t="shared" si="5"/>
        <v>23658</v>
      </c>
      <c r="I28" s="321">
        <f t="shared" si="5"/>
        <v>44494</v>
      </c>
      <c r="J28" s="321">
        <f t="shared" si="5"/>
        <v>76279</v>
      </c>
      <c r="K28" s="321">
        <f t="shared" si="5"/>
        <v>84757.166666666672</v>
      </c>
      <c r="L28" s="321">
        <f t="shared" si="5"/>
        <v>80304</v>
      </c>
      <c r="M28" s="321">
        <f t="shared" si="5"/>
        <v>89678</v>
      </c>
      <c r="N28" s="321">
        <f t="shared" si="5"/>
        <v>94250</v>
      </c>
      <c r="O28" s="321">
        <f t="shared" si="5"/>
        <v>99212</v>
      </c>
      <c r="P28" s="321">
        <f t="shared" si="5"/>
        <v>91600</v>
      </c>
      <c r="Q28" s="321">
        <f t="shared" si="5"/>
        <v>81272</v>
      </c>
      <c r="R28" s="321">
        <f t="shared" si="5"/>
        <v>78832</v>
      </c>
      <c r="S28" s="321">
        <f>SUM(S20:S27)</f>
        <v>80338</v>
      </c>
      <c r="T28" s="321">
        <f>SUM(T20:T27)</f>
        <v>93406</v>
      </c>
      <c r="U28" s="321">
        <f>SUM(U20:U27)</f>
        <v>80168</v>
      </c>
      <c r="V28" s="321">
        <f>SUM(V20:V27)</f>
        <v>78507</v>
      </c>
      <c r="W28" s="321">
        <f>SUM(W20:W27)</f>
        <v>79160</v>
      </c>
      <c r="X28" s="330">
        <f t="shared" si="5"/>
        <v>1026727</v>
      </c>
      <c r="Y28" s="330">
        <f>SUM(Y20:Y27)</f>
        <v>85560.583333333328</v>
      </c>
    </row>
    <row r="29" spans="2:25" x14ac:dyDescent="0.25">
      <c r="B29" s="296"/>
      <c r="C29" s="297"/>
      <c r="D29" s="298"/>
      <c r="E29" s="297"/>
      <c r="F29" s="298"/>
      <c r="G29" s="318"/>
      <c r="H29" s="318"/>
      <c r="I29" s="318"/>
      <c r="J29" s="318"/>
      <c r="K29" s="318"/>
      <c r="L29" s="318"/>
      <c r="M29" s="318"/>
      <c r="N29" s="318"/>
      <c r="O29" s="318"/>
      <c r="P29" s="318"/>
      <c r="Q29" s="318"/>
      <c r="R29" s="318"/>
      <c r="S29" s="318"/>
      <c r="T29" s="318"/>
      <c r="U29" s="318"/>
      <c r="V29" s="318"/>
      <c r="W29" s="318"/>
      <c r="X29" s="328"/>
      <c r="Y29" s="328"/>
    </row>
    <row r="30" spans="2:25" x14ac:dyDescent="0.25">
      <c r="B30" s="299">
        <v>4</v>
      </c>
      <c r="C30" s="300" t="s">
        <v>399</v>
      </c>
      <c r="D30" s="301" t="s">
        <v>425</v>
      </c>
      <c r="E30" s="309" t="s">
        <v>426</v>
      </c>
      <c r="F30" s="301"/>
      <c r="G30" s="319"/>
      <c r="H30" s="319"/>
      <c r="I30" s="319"/>
      <c r="J30" s="319"/>
      <c r="K30" s="319"/>
      <c r="L30" s="319"/>
      <c r="M30" s="319"/>
      <c r="N30" s="319"/>
      <c r="O30" s="319"/>
      <c r="P30" s="319"/>
      <c r="Q30" s="319"/>
      <c r="R30" s="319"/>
      <c r="S30" s="319"/>
      <c r="T30" s="319"/>
      <c r="U30" s="319"/>
      <c r="V30" s="319"/>
      <c r="W30" s="319"/>
      <c r="X30" s="329"/>
      <c r="Y30" s="329"/>
    </row>
    <row r="31" spans="2:25" x14ac:dyDescent="0.25">
      <c r="B31" s="299"/>
      <c r="C31" s="300" t="s">
        <v>402</v>
      </c>
      <c r="D31" s="301" t="s">
        <v>427</v>
      </c>
      <c r="E31" s="300"/>
      <c r="F31" s="301" t="s">
        <v>428</v>
      </c>
      <c r="G31" s="320">
        <v>27144</v>
      </c>
      <c r="H31" s="320">
        <v>19671</v>
      </c>
      <c r="I31" s="320">
        <v>24141</v>
      </c>
      <c r="J31" s="320">
        <v>22175</v>
      </c>
      <c r="K31" s="320">
        <v>26995.666666666668</v>
      </c>
      <c r="L31" s="320">
        <v>29274</v>
      </c>
      <c r="M31" s="320">
        <v>22130</v>
      </c>
      <c r="N31" s="320">
        <v>30557</v>
      </c>
      <c r="O31" s="320">
        <v>25837</v>
      </c>
      <c r="P31" s="320">
        <v>25260</v>
      </c>
      <c r="Q31" s="320">
        <v>30140</v>
      </c>
      <c r="R31" s="320">
        <v>16985</v>
      </c>
      <c r="S31" s="320">
        <v>20584</v>
      </c>
      <c r="T31" s="320">
        <v>21697</v>
      </c>
      <c r="U31" s="320">
        <v>23649</v>
      </c>
      <c r="V31" s="320">
        <v>21119</v>
      </c>
      <c r="W31" s="320">
        <v>17955</v>
      </c>
      <c r="X31" s="329">
        <f t="shared" ref="X31:X38" si="6">SUM(L31:W31)</f>
        <v>285187</v>
      </c>
      <c r="Y31" s="329">
        <f t="shared" ref="Y31:Y38" si="7">X31/12</f>
        <v>23765.583333333332</v>
      </c>
    </row>
    <row r="32" spans="2:25" x14ac:dyDescent="0.25">
      <c r="B32" s="299"/>
      <c r="C32" s="300"/>
      <c r="D32" s="301" t="s">
        <v>429</v>
      </c>
      <c r="E32" s="300"/>
      <c r="F32" s="301" t="s">
        <v>430</v>
      </c>
      <c r="G32" s="320">
        <v>43711</v>
      </c>
      <c r="H32" s="320">
        <v>42940</v>
      </c>
      <c r="I32" s="320">
        <v>24094</v>
      </c>
      <c r="J32" s="320">
        <v>28730</v>
      </c>
      <c r="K32" s="320">
        <v>23907.833333333332</v>
      </c>
      <c r="L32" s="320">
        <v>25812</v>
      </c>
      <c r="M32" s="320">
        <v>16775</v>
      </c>
      <c r="N32" s="320">
        <v>18884</v>
      </c>
      <c r="O32" s="320">
        <v>21718</v>
      </c>
      <c r="P32" s="320">
        <v>17287</v>
      </c>
      <c r="Q32" s="320">
        <v>18786</v>
      </c>
      <c r="R32" s="320">
        <v>14350</v>
      </c>
      <c r="S32" s="320">
        <v>12450</v>
      </c>
      <c r="T32" s="320">
        <v>12084</v>
      </c>
      <c r="U32" s="320">
        <v>13663</v>
      </c>
      <c r="V32" s="320">
        <v>7633</v>
      </c>
      <c r="W32" s="320">
        <v>10621</v>
      </c>
      <c r="X32" s="329">
        <f t="shared" si="6"/>
        <v>190063</v>
      </c>
      <c r="Y32" s="329">
        <f t="shared" si="7"/>
        <v>15838.583333333334</v>
      </c>
    </row>
    <row r="33" spans="2:26" x14ac:dyDescent="0.25">
      <c r="B33" s="299"/>
      <c r="C33" s="300"/>
      <c r="D33" s="301" t="s">
        <v>431</v>
      </c>
      <c r="E33" s="300"/>
      <c r="F33" s="301" t="s">
        <v>432</v>
      </c>
      <c r="G33" s="320">
        <v>0</v>
      </c>
      <c r="H33" s="320">
        <v>133</v>
      </c>
      <c r="I33" s="320">
        <v>9443</v>
      </c>
      <c r="J33" s="320">
        <v>11174</v>
      </c>
      <c r="K33" s="320">
        <v>14006.25</v>
      </c>
      <c r="L33" s="320">
        <v>15786</v>
      </c>
      <c r="M33" s="320">
        <v>11803</v>
      </c>
      <c r="N33" s="320">
        <v>10891</v>
      </c>
      <c r="O33" s="320">
        <v>10339</v>
      </c>
      <c r="P33" s="320">
        <v>7729</v>
      </c>
      <c r="Q33" s="320">
        <v>9871</v>
      </c>
      <c r="R33" s="320">
        <v>9605</v>
      </c>
      <c r="S33" s="320">
        <v>7670</v>
      </c>
      <c r="T33" s="320">
        <v>7697</v>
      </c>
      <c r="U33" s="320">
        <v>8797</v>
      </c>
      <c r="V33" s="320">
        <v>5123</v>
      </c>
      <c r="W33" s="320">
        <v>3952</v>
      </c>
      <c r="X33" s="329">
        <f t="shared" si="6"/>
        <v>109263</v>
      </c>
      <c r="Y33" s="329">
        <f t="shared" si="7"/>
        <v>9105.25</v>
      </c>
    </row>
    <row r="34" spans="2:26" x14ac:dyDescent="0.25">
      <c r="B34" s="299"/>
      <c r="C34" s="300"/>
      <c r="D34" s="301"/>
      <c r="E34" s="300"/>
      <c r="F34" s="301" t="s">
        <v>343</v>
      </c>
      <c r="G34" s="320">
        <v>0</v>
      </c>
      <c r="H34" s="320">
        <v>2183</v>
      </c>
      <c r="I34" s="320">
        <v>339</v>
      </c>
      <c r="J34" s="320">
        <v>11</v>
      </c>
      <c r="K34" s="320">
        <v>763.33333333333337</v>
      </c>
      <c r="L34" s="320">
        <v>0</v>
      </c>
      <c r="M34" s="320">
        <v>3480</v>
      </c>
      <c r="N34" s="320">
        <v>0</v>
      </c>
      <c r="O34" s="320">
        <v>0</v>
      </c>
      <c r="P34" s="320">
        <v>0</v>
      </c>
      <c r="Q34" s="320">
        <v>0</v>
      </c>
      <c r="R34" s="320">
        <v>2700</v>
      </c>
      <c r="S34" s="320">
        <v>0</v>
      </c>
      <c r="T34" s="320">
        <v>0</v>
      </c>
      <c r="U34" s="320">
        <v>0</v>
      </c>
      <c r="V34" s="320">
        <v>200</v>
      </c>
      <c r="W34" s="320">
        <v>0</v>
      </c>
      <c r="X34" s="329">
        <f t="shared" si="6"/>
        <v>6380</v>
      </c>
      <c r="Y34" s="329">
        <f t="shared" si="7"/>
        <v>531.66666666666663</v>
      </c>
    </row>
    <row r="35" spans="2:26" x14ac:dyDescent="0.25">
      <c r="B35" s="299"/>
      <c r="C35" s="300"/>
      <c r="D35" s="301"/>
      <c r="E35" s="300"/>
      <c r="F35" s="301" t="s">
        <v>433</v>
      </c>
      <c r="G35" s="320">
        <v>0</v>
      </c>
      <c r="H35" s="320">
        <v>1125</v>
      </c>
      <c r="I35" s="320">
        <v>13201</v>
      </c>
      <c r="J35" s="320">
        <v>15182</v>
      </c>
      <c r="K35" s="320">
        <v>20189.083333333332</v>
      </c>
      <c r="L35" s="320">
        <v>22319</v>
      </c>
      <c r="M35" s="320">
        <v>22897</v>
      </c>
      <c r="N35" s="320">
        <v>15964</v>
      </c>
      <c r="O35" s="320">
        <v>21179</v>
      </c>
      <c r="P35" s="320">
        <v>22680</v>
      </c>
      <c r="Q35" s="320">
        <v>24534</v>
      </c>
      <c r="R35" s="320">
        <v>23204</v>
      </c>
      <c r="S35" s="320">
        <v>13175</v>
      </c>
      <c r="T35" s="320">
        <v>14215</v>
      </c>
      <c r="U35" s="320">
        <v>28010</v>
      </c>
      <c r="V35" s="320">
        <v>22165</v>
      </c>
      <c r="W35" s="320">
        <v>20382</v>
      </c>
      <c r="X35" s="329">
        <f t="shared" si="6"/>
        <v>250724</v>
      </c>
      <c r="Y35" s="329">
        <f t="shared" si="7"/>
        <v>20893.666666666668</v>
      </c>
    </row>
    <row r="36" spans="2:26" x14ac:dyDescent="0.25">
      <c r="B36" s="299"/>
      <c r="C36" s="300"/>
      <c r="D36" s="301"/>
      <c r="E36" s="300"/>
      <c r="F36" s="301" t="s">
        <v>434</v>
      </c>
      <c r="G36" s="320">
        <v>0</v>
      </c>
      <c r="H36" s="320">
        <v>0</v>
      </c>
      <c r="I36" s="320">
        <v>0</v>
      </c>
      <c r="J36" s="320">
        <v>0</v>
      </c>
      <c r="K36" s="320">
        <v>0</v>
      </c>
      <c r="L36" s="320">
        <v>0</v>
      </c>
      <c r="M36" s="320">
        <v>0</v>
      </c>
      <c r="N36" s="320">
        <v>0</v>
      </c>
      <c r="O36" s="320">
        <v>0</v>
      </c>
      <c r="P36" s="320">
        <v>0</v>
      </c>
      <c r="Q36" s="320">
        <v>250</v>
      </c>
      <c r="R36" s="320">
        <v>0</v>
      </c>
      <c r="S36" s="320">
        <v>0</v>
      </c>
      <c r="T36" s="320">
        <v>0</v>
      </c>
      <c r="U36" s="320">
        <v>0</v>
      </c>
      <c r="V36" s="320">
        <v>380</v>
      </c>
      <c r="W36" s="320">
        <v>835</v>
      </c>
      <c r="X36" s="329">
        <f t="shared" si="6"/>
        <v>1465</v>
      </c>
      <c r="Y36" s="329">
        <f t="shared" si="7"/>
        <v>122.08333333333333</v>
      </c>
    </row>
    <row r="37" spans="2:26" x14ac:dyDescent="0.25">
      <c r="B37" s="299"/>
      <c r="C37" s="300"/>
      <c r="D37" s="301"/>
      <c r="E37" s="300"/>
      <c r="F37" s="301" t="s">
        <v>435</v>
      </c>
      <c r="G37" s="320">
        <v>11478</v>
      </c>
      <c r="H37" s="320">
        <v>12392</v>
      </c>
      <c r="I37" s="320">
        <v>8003</v>
      </c>
      <c r="J37" s="320">
        <v>4892</v>
      </c>
      <c r="K37" s="320">
        <v>3248.0833333333335</v>
      </c>
      <c r="L37" s="320">
        <v>1400</v>
      </c>
      <c r="M37" s="320">
        <v>2479</v>
      </c>
      <c r="N37" s="320">
        <v>0</v>
      </c>
      <c r="O37" s="320">
        <v>0</v>
      </c>
      <c r="P37" s="320">
        <v>1470</v>
      </c>
      <c r="Q37" s="320">
        <v>700</v>
      </c>
      <c r="R37" s="320">
        <v>0</v>
      </c>
      <c r="S37" s="320">
        <v>1170</v>
      </c>
      <c r="T37" s="320">
        <v>3475</v>
      </c>
      <c r="U37" s="320">
        <v>3700</v>
      </c>
      <c r="V37" s="320">
        <v>5450</v>
      </c>
      <c r="W37" s="320">
        <v>4000</v>
      </c>
      <c r="X37" s="329">
        <f t="shared" si="6"/>
        <v>23844</v>
      </c>
      <c r="Y37" s="329">
        <f t="shared" si="7"/>
        <v>1987</v>
      </c>
    </row>
    <row r="38" spans="2:26" ht="15.75" thickBot="1" x14ac:dyDescent="0.3">
      <c r="B38" s="302"/>
      <c r="C38" s="303"/>
      <c r="D38" s="304"/>
      <c r="E38" s="303"/>
      <c r="F38" s="304" t="s">
        <v>436</v>
      </c>
      <c r="G38" s="323">
        <v>0</v>
      </c>
      <c r="H38" s="323">
        <v>0</v>
      </c>
      <c r="I38" s="323">
        <v>166</v>
      </c>
      <c r="J38" s="323">
        <v>0</v>
      </c>
      <c r="K38" s="320">
        <v>0</v>
      </c>
      <c r="L38" s="320">
        <v>0</v>
      </c>
      <c r="M38" s="320">
        <v>0</v>
      </c>
      <c r="N38" s="320">
        <v>0</v>
      </c>
      <c r="O38" s="320">
        <v>0</v>
      </c>
      <c r="P38" s="320">
        <v>0</v>
      </c>
      <c r="Q38" s="320">
        <v>0</v>
      </c>
      <c r="R38" s="320">
        <v>0</v>
      </c>
      <c r="S38" s="320">
        <v>0</v>
      </c>
      <c r="T38" s="320">
        <v>0</v>
      </c>
      <c r="U38" s="320">
        <v>0</v>
      </c>
      <c r="V38" s="320">
        <v>0</v>
      </c>
      <c r="W38" s="320">
        <v>0</v>
      </c>
      <c r="X38" s="329">
        <f t="shared" si="6"/>
        <v>0</v>
      </c>
      <c r="Y38" s="329">
        <f t="shared" si="7"/>
        <v>0</v>
      </c>
    </row>
    <row r="39" spans="2:26" ht="15.75" thickBot="1" x14ac:dyDescent="0.3">
      <c r="B39" s="311"/>
      <c r="C39" s="312"/>
      <c r="D39" s="313"/>
      <c r="E39" s="312"/>
      <c r="F39" s="313"/>
      <c r="G39" s="321">
        <f t="shared" ref="G39:X39" si="8">SUM(G31:G38)</f>
        <v>82333</v>
      </c>
      <c r="H39" s="321">
        <f t="shared" si="8"/>
        <v>78444</v>
      </c>
      <c r="I39" s="321">
        <f t="shared" si="8"/>
        <v>79387</v>
      </c>
      <c r="J39" s="321">
        <f t="shared" si="8"/>
        <v>82164</v>
      </c>
      <c r="K39" s="321">
        <f t="shared" si="8"/>
        <v>89110.249999999985</v>
      </c>
      <c r="L39" s="321">
        <f t="shared" si="8"/>
        <v>94591</v>
      </c>
      <c r="M39" s="321">
        <f t="shared" si="8"/>
        <v>79564</v>
      </c>
      <c r="N39" s="321">
        <f t="shared" si="8"/>
        <v>76296</v>
      </c>
      <c r="O39" s="321">
        <f t="shared" si="8"/>
        <v>79073</v>
      </c>
      <c r="P39" s="321">
        <f t="shared" si="8"/>
        <v>74426</v>
      </c>
      <c r="Q39" s="321">
        <f t="shared" si="8"/>
        <v>84281</v>
      </c>
      <c r="R39" s="321">
        <f t="shared" si="8"/>
        <v>66844</v>
      </c>
      <c r="S39" s="321">
        <f t="shared" si="8"/>
        <v>55049</v>
      </c>
      <c r="T39" s="321">
        <f t="shared" si="8"/>
        <v>59168</v>
      </c>
      <c r="U39" s="321">
        <f t="shared" si="8"/>
        <v>77819</v>
      </c>
      <c r="V39" s="321">
        <f t="shared" si="8"/>
        <v>62070</v>
      </c>
      <c r="W39" s="321">
        <f t="shared" si="8"/>
        <v>57745</v>
      </c>
      <c r="X39" s="331">
        <f t="shared" si="8"/>
        <v>866926</v>
      </c>
      <c r="Y39" s="331">
        <f>SUM(Y31:Y38)</f>
        <v>72243.833333333328</v>
      </c>
    </row>
    <row r="40" spans="2:26" ht="15.75" thickBot="1" x14ac:dyDescent="0.3">
      <c r="B40" s="314"/>
      <c r="C40" s="333"/>
      <c r="D40" s="334"/>
      <c r="E40" s="333"/>
      <c r="F40" s="334"/>
      <c r="G40" s="335">
        <f>G17+G28+G39</f>
        <v>143513</v>
      </c>
      <c r="H40" s="335">
        <f t="shared" ref="H40:W40" si="9">H17+H28+H39</f>
        <v>137956</v>
      </c>
      <c r="I40" s="335">
        <f t="shared" si="9"/>
        <v>167174</v>
      </c>
      <c r="J40" s="335">
        <f t="shared" si="9"/>
        <v>210166</v>
      </c>
      <c r="K40" s="335">
        <f t="shared" si="9"/>
        <v>229742.58333333331</v>
      </c>
      <c r="L40" s="335">
        <f t="shared" si="9"/>
        <v>239446</v>
      </c>
      <c r="M40" s="335">
        <f t="shared" si="9"/>
        <v>218957</v>
      </c>
      <c r="N40" s="335">
        <f t="shared" si="9"/>
        <v>229131</v>
      </c>
      <c r="O40" s="335">
        <f t="shared" si="9"/>
        <v>222799</v>
      </c>
      <c r="P40" s="335">
        <f t="shared" si="9"/>
        <v>209919</v>
      </c>
      <c r="Q40" s="335">
        <f t="shared" si="9"/>
        <v>206998</v>
      </c>
      <c r="R40" s="335">
        <f t="shared" si="9"/>
        <v>184640</v>
      </c>
      <c r="S40" s="335">
        <f t="shared" si="9"/>
        <v>178375</v>
      </c>
      <c r="T40" s="335">
        <f t="shared" si="9"/>
        <v>197436</v>
      </c>
      <c r="U40" s="335">
        <f t="shared" si="9"/>
        <v>194344</v>
      </c>
      <c r="V40" s="335">
        <f t="shared" si="9"/>
        <v>191855</v>
      </c>
      <c r="W40" s="335">
        <f t="shared" si="9"/>
        <v>175337</v>
      </c>
      <c r="X40" s="335">
        <f>X17+X28+X39</f>
        <v>2449237</v>
      </c>
      <c r="Y40" s="346">
        <f>Y17+Y28+Y39</f>
        <v>204103.08333333331</v>
      </c>
      <c r="Z40" s="12"/>
    </row>
    <row r="41" spans="2:26" x14ac:dyDescent="0.25">
      <c r="B41" s="296"/>
      <c r="C41" s="297"/>
      <c r="D41" s="298"/>
      <c r="E41" s="297"/>
      <c r="F41" s="298"/>
      <c r="G41" s="318"/>
      <c r="H41" s="318"/>
      <c r="I41" s="318"/>
      <c r="J41" s="318"/>
      <c r="K41" s="318"/>
      <c r="L41" s="318"/>
      <c r="M41" s="318"/>
      <c r="N41" s="318"/>
      <c r="O41" s="318"/>
      <c r="P41" s="318"/>
      <c r="Q41" s="318"/>
      <c r="R41" s="318"/>
      <c r="S41" s="318"/>
      <c r="T41" s="318"/>
      <c r="U41" s="318"/>
      <c r="V41" s="318"/>
      <c r="W41" s="318"/>
      <c r="X41" s="328"/>
      <c r="Y41" s="328"/>
    </row>
    <row r="42" spans="2:26" x14ac:dyDescent="0.25">
      <c r="B42" s="299">
        <v>5</v>
      </c>
      <c r="C42" s="300" t="s">
        <v>399</v>
      </c>
      <c r="D42" s="301" t="s">
        <v>438</v>
      </c>
      <c r="E42" s="309" t="s">
        <v>439</v>
      </c>
      <c r="F42" s="301"/>
      <c r="G42" s="319"/>
      <c r="H42" s="319"/>
      <c r="I42" s="319"/>
      <c r="J42" s="319"/>
      <c r="K42" s="319"/>
      <c r="L42" s="319"/>
      <c r="M42" s="319"/>
      <c r="N42" s="319"/>
      <c r="O42" s="319"/>
      <c r="P42" s="319"/>
      <c r="Q42" s="319"/>
      <c r="R42" s="319"/>
      <c r="S42" s="319"/>
      <c r="T42" s="319"/>
      <c r="U42" s="319"/>
      <c r="V42" s="319"/>
      <c r="W42" s="319"/>
      <c r="X42" s="329"/>
      <c r="Y42" s="329"/>
    </row>
    <row r="43" spans="2:26" x14ac:dyDescent="0.25">
      <c r="B43" s="299"/>
      <c r="C43" s="300"/>
      <c r="D43" s="301" t="s">
        <v>487</v>
      </c>
      <c r="E43" s="300"/>
      <c r="F43" s="301" t="s">
        <v>440</v>
      </c>
      <c r="G43" s="320">
        <v>731</v>
      </c>
      <c r="H43" s="320">
        <v>425</v>
      </c>
      <c r="I43" s="320">
        <v>499</v>
      </c>
      <c r="J43" s="320">
        <v>445</v>
      </c>
      <c r="K43" s="320">
        <v>266.83333333333331</v>
      </c>
      <c r="L43" s="320">
        <v>140</v>
      </c>
      <c r="M43" s="320">
        <v>130</v>
      </c>
      <c r="N43" s="320">
        <v>150</v>
      </c>
      <c r="O43" s="320">
        <v>270</v>
      </c>
      <c r="P43" s="320">
        <v>135</v>
      </c>
      <c r="Q43" s="320">
        <v>230</v>
      </c>
      <c r="R43" s="320">
        <v>50</v>
      </c>
      <c r="S43" s="320">
        <v>15</v>
      </c>
      <c r="T43" s="320">
        <v>255</v>
      </c>
      <c r="U43" s="320">
        <v>590</v>
      </c>
      <c r="V43" s="320">
        <v>85</v>
      </c>
      <c r="W43" s="320">
        <v>260</v>
      </c>
      <c r="X43" s="329">
        <f t="shared" ref="X43:X46" si="10">SUM(L43:W43)</f>
        <v>2310</v>
      </c>
      <c r="Y43" s="329">
        <f t="shared" ref="Y43:Y46" si="11">X43/12</f>
        <v>192.5</v>
      </c>
    </row>
    <row r="44" spans="2:26" x14ac:dyDescent="0.25">
      <c r="B44" s="299"/>
      <c r="C44" s="300"/>
      <c r="D44" s="301"/>
      <c r="E44" s="300"/>
      <c r="F44" s="301" t="s">
        <v>441</v>
      </c>
      <c r="G44" s="320">
        <v>17861</v>
      </c>
      <c r="H44" s="320">
        <v>17056</v>
      </c>
      <c r="I44" s="320">
        <v>16980</v>
      </c>
      <c r="J44" s="320">
        <v>17460</v>
      </c>
      <c r="K44" s="320">
        <v>12947.416666666666</v>
      </c>
      <c r="L44" s="320">
        <v>8515</v>
      </c>
      <c r="M44" s="320">
        <v>7392</v>
      </c>
      <c r="N44" s="320">
        <v>12093</v>
      </c>
      <c r="O44" s="320">
        <v>7674</v>
      </c>
      <c r="P44" s="320">
        <v>6800</v>
      </c>
      <c r="Q44" s="320">
        <v>7808</v>
      </c>
      <c r="R44" s="320">
        <v>7931</v>
      </c>
      <c r="S44" s="320">
        <v>9842</v>
      </c>
      <c r="T44" s="320">
        <v>11936</v>
      </c>
      <c r="U44" s="320">
        <v>10092</v>
      </c>
      <c r="V44" s="320">
        <v>3559</v>
      </c>
      <c r="W44" s="320">
        <v>3969</v>
      </c>
      <c r="X44" s="329">
        <f t="shared" si="10"/>
        <v>97611</v>
      </c>
      <c r="Y44" s="329">
        <f t="shared" si="11"/>
        <v>8134.25</v>
      </c>
    </row>
    <row r="45" spans="2:26" x14ac:dyDescent="0.25">
      <c r="B45" s="299"/>
      <c r="C45" s="300"/>
      <c r="D45" s="301"/>
      <c r="E45" s="300"/>
      <c r="F45" s="301" t="s">
        <v>442</v>
      </c>
      <c r="G45" s="320">
        <v>7714</v>
      </c>
      <c r="H45" s="320">
        <v>8012</v>
      </c>
      <c r="I45" s="320">
        <v>7765</v>
      </c>
      <c r="J45" s="320">
        <v>10882</v>
      </c>
      <c r="K45" s="320">
        <v>10402.083333333334</v>
      </c>
      <c r="L45" s="320">
        <v>7691</v>
      </c>
      <c r="M45" s="320">
        <v>7839</v>
      </c>
      <c r="N45" s="320">
        <v>8395</v>
      </c>
      <c r="O45" s="320">
        <v>5822</v>
      </c>
      <c r="P45" s="320">
        <v>7777</v>
      </c>
      <c r="Q45" s="320">
        <v>5571</v>
      </c>
      <c r="R45" s="320">
        <v>5870</v>
      </c>
      <c r="S45" s="320">
        <v>9128</v>
      </c>
      <c r="T45" s="320">
        <v>11333</v>
      </c>
      <c r="U45" s="320">
        <v>12895</v>
      </c>
      <c r="V45" s="320">
        <v>6994</v>
      </c>
      <c r="W45" s="320">
        <v>3903</v>
      </c>
      <c r="X45" s="329">
        <f t="shared" si="10"/>
        <v>93218</v>
      </c>
      <c r="Y45" s="329">
        <f t="shared" si="11"/>
        <v>7768.166666666667</v>
      </c>
    </row>
    <row r="46" spans="2:26" ht="15.75" thickBot="1" x14ac:dyDescent="0.3">
      <c r="B46" s="302"/>
      <c r="C46" s="303"/>
      <c r="D46" s="304"/>
      <c r="E46" s="303"/>
      <c r="F46" s="304" t="s">
        <v>443</v>
      </c>
      <c r="G46" s="323">
        <v>2339</v>
      </c>
      <c r="H46" s="323">
        <v>2105</v>
      </c>
      <c r="I46" s="323">
        <v>3053</v>
      </c>
      <c r="J46" s="323">
        <v>6503</v>
      </c>
      <c r="K46" s="323">
        <v>10466.833333333334</v>
      </c>
      <c r="L46" s="320">
        <v>4929</v>
      </c>
      <c r="M46" s="320">
        <v>6326</v>
      </c>
      <c r="N46" s="320">
        <v>11059</v>
      </c>
      <c r="O46" s="320">
        <v>10638</v>
      </c>
      <c r="P46" s="320">
        <v>8141</v>
      </c>
      <c r="Q46" s="320">
        <v>9074</v>
      </c>
      <c r="R46" s="320">
        <v>10413</v>
      </c>
      <c r="S46" s="320">
        <v>11715</v>
      </c>
      <c r="T46" s="320">
        <v>9551</v>
      </c>
      <c r="U46" s="320">
        <v>5821</v>
      </c>
      <c r="V46" s="320">
        <v>5041</v>
      </c>
      <c r="W46" s="320">
        <v>3741</v>
      </c>
      <c r="X46" s="329">
        <f t="shared" si="10"/>
        <v>96449</v>
      </c>
      <c r="Y46" s="329">
        <f t="shared" si="11"/>
        <v>8037.416666666667</v>
      </c>
    </row>
    <row r="47" spans="2:26" ht="15.75" thickBot="1" x14ac:dyDescent="0.3">
      <c r="B47" s="311"/>
      <c r="C47" s="312"/>
      <c r="D47" s="313"/>
      <c r="E47" s="312"/>
      <c r="F47" s="313"/>
      <c r="G47" s="321">
        <f>SUM(G43:G46)</f>
        <v>28645</v>
      </c>
      <c r="H47" s="321">
        <f t="shared" ref="H47:Y47" si="12">SUM(H43:H46)</f>
        <v>27598</v>
      </c>
      <c r="I47" s="321">
        <f t="shared" si="12"/>
        <v>28297</v>
      </c>
      <c r="J47" s="321">
        <f t="shared" si="12"/>
        <v>35290</v>
      </c>
      <c r="K47" s="321">
        <f t="shared" si="12"/>
        <v>34083.166666666672</v>
      </c>
      <c r="L47" s="321">
        <f t="shared" si="12"/>
        <v>21275</v>
      </c>
      <c r="M47" s="321">
        <f t="shared" si="12"/>
        <v>21687</v>
      </c>
      <c r="N47" s="321">
        <f t="shared" si="12"/>
        <v>31697</v>
      </c>
      <c r="O47" s="321">
        <f t="shared" si="12"/>
        <v>24404</v>
      </c>
      <c r="P47" s="321">
        <f t="shared" si="12"/>
        <v>22853</v>
      </c>
      <c r="Q47" s="321">
        <f t="shared" si="12"/>
        <v>22683</v>
      </c>
      <c r="R47" s="321">
        <f t="shared" si="12"/>
        <v>24264</v>
      </c>
      <c r="S47" s="321">
        <f t="shared" si="12"/>
        <v>30700</v>
      </c>
      <c r="T47" s="321">
        <f t="shared" si="12"/>
        <v>33075</v>
      </c>
      <c r="U47" s="321">
        <f t="shared" si="12"/>
        <v>29398</v>
      </c>
      <c r="V47" s="321">
        <f t="shared" si="12"/>
        <v>15679</v>
      </c>
      <c r="W47" s="321">
        <f t="shared" si="12"/>
        <v>11873</v>
      </c>
      <c r="X47" s="330">
        <f t="shared" si="12"/>
        <v>289588</v>
      </c>
      <c r="Y47" s="330">
        <f t="shared" si="12"/>
        <v>24132.333333333336</v>
      </c>
    </row>
    <row r="48" spans="2:26" x14ac:dyDescent="0.25">
      <c r="B48" s="296"/>
      <c r="C48" s="297"/>
      <c r="D48" s="298"/>
      <c r="E48" s="297"/>
      <c r="F48" s="298"/>
      <c r="G48" s="318"/>
      <c r="H48" s="318"/>
      <c r="I48" s="318"/>
      <c r="J48" s="318"/>
      <c r="K48" s="318"/>
      <c r="L48" s="318"/>
      <c r="M48" s="318"/>
      <c r="N48" s="318"/>
      <c r="O48" s="318"/>
      <c r="P48" s="318"/>
      <c r="Q48" s="318"/>
      <c r="R48" s="318"/>
      <c r="S48" s="318"/>
      <c r="T48" s="318"/>
      <c r="U48" s="318"/>
      <c r="V48" s="318"/>
      <c r="W48" s="318"/>
      <c r="X48" s="328"/>
      <c r="Y48" s="328"/>
    </row>
    <row r="49" spans="2:25" x14ac:dyDescent="0.25">
      <c r="B49" s="299">
        <v>6</v>
      </c>
      <c r="C49" s="300" t="s">
        <v>399</v>
      </c>
      <c r="D49" s="301" t="s">
        <v>444</v>
      </c>
      <c r="E49" s="309" t="s">
        <v>439</v>
      </c>
      <c r="F49" s="301"/>
      <c r="G49" s="319"/>
      <c r="H49" s="319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29"/>
      <c r="Y49" s="329"/>
    </row>
    <row r="50" spans="2:25" x14ac:dyDescent="0.25">
      <c r="B50" s="299"/>
      <c r="C50" s="300"/>
      <c r="D50" s="301" t="s">
        <v>466</v>
      </c>
      <c r="E50" s="300"/>
      <c r="F50" s="301" t="s">
        <v>445</v>
      </c>
      <c r="G50" s="320">
        <v>1742</v>
      </c>
      <c r="H50" s="320">
        <v>2708</v>
      </c>
      <c r="I50" s="320">
        <v>5520</v>
      </c>
      <c r="J50" s="320">
        <v>12566</v>
      </c>
      <c r="K50" s="320">
        <v>24845.333333333332</v>
      </c>
      <c r="L50" s="320">
        <v>25824</v>
      </c>
      <c r="M50" s="320">
        <v>25152</v>
      </c>
      <c r="N50" s="320">
        <v>31261</v>
      </c>
      <c r="O50" s="320">
        <v>24864</v>
      </c>
      <c r="P50" s="320">
        <v>17395</v>
      </c>
      <c r="Q50" s="320">
        <v>15879</v>
      </c>
      <c r="R50" s="320">
        <v>17907</v>
      </c>
      <c r="S50" s="320">
        <v>23326</v>
      </c>
      <c r="T50" s="320">
        <v>34090</v>
      </c>
      <c r="U50" s="320">
        <v>28494</v>
      </c>
      <c r="V50" s="320">
        <v>22622</v>
      </c>
      <c r="W50" s="320">
        <v>24016</v>
      </c>
      <c r="X50" s="329">
        <f t="shared" ref="X50:X53" si="13">SUM(L50:W50)</f>
        <v>290830</v>
      </c>
      <c r="Y50" s="329">
        <f t="shared" ref="Y50:Y53" si="14">X50/12</f>
        <v>24235.833333333332</v>
      </c>
    </row>
    <row r="51" spans="2:25" x14ac:dyDescent="0.25">
      <c r="B51" s="299"/>
      <c r="C51" s="300"/>
      <c r="D51" s="301"/>
      <c r="E51" s="300"/>
      <c r="F51" s="301" t="s">
        <v>446</v>
      </c>
      <c r="G51" s="320">
        <v>682</v>
      </c>
      <c r="H51" s="320">
        <v>2450</v>
      </c>
      <c r="I51" s="320">
        <v>9924</v>
      </c>
      <c r="J51" s="320">
        <v>22430</v>
      </c>
      <c r="K51" s="320">
        <v>35835.583333333336</v>
      </c>
      <c r="L51" s="320">
        <v>43357</v>
      </c>
      <c r="M51" s="320">
        <v>40166</v>
      </c>
      <c r="N51" s="320">
        <v>44169</v>
      </c>
      <c r="O51" s="320">
        <v>41274</v>
      </c>
      <c r="P51" s="320">
        <v>31671</v>
      </c>
      <c r="Q51" s="320">
        <v>32041</v>
      </c>
      <c r="R51" s="320">
        <v>29684</v>
      </c>
      <c r="S51" s="320">
        <v>40555</v>
      </c>
      <c r="T51" s="320">
        <v>42788</v>
      </c>
      <c r="U51" s="320">
        <v>42166</v>
      </c>
      <c r="V51" s="320">
        <v>33284</v>
      </c>
      <c r="W51" s="320">
        <v>33434</v>
      </c>
      <c r="X51" s="329">
        <f t="shared" si="13"/>
        <v>454589</v>
      </c>
      <c r="Y51" s="329">
        <f t="shared" si="14"/>
        <v>37882.416666666664</v>
      </c>
    </row>
    <row r="52" spans="2:25" x14ac:dyDescent="0.25">
      <c r="B52" s="299"/>
      <c r="C52" s="300"/>
      <c r="D52" s="301"/>
      <c r="E52" s="300"/>
      <c r="F52" s="301" t="s">
        <v>447</v>
      </c>
      <c r="G52" s="320">
        <v>682</v>
      </c>
      <c r="H52" s="320">
        <v>721</v>
      </c>
      <c r="I52" s="320">
        <v>280</v>
      </c>
      <c r="J52" s="320">
        <v>238</v>
      </c>
      <c r="K52" s="320">
        <v>176.5</v>
      </c>
      <c r="L52" s="320">
        <v>87</v>
      </c>
      <c r="M52" s="320">
        <v>0</v>
      </c>
      <c r="N52" s="320">
        <v>0</v>
      </c>
      <c r="O52" s="320">
        <v>0</v>
      </c>
      <c r="P52" s="320">
        <v>0</v>
      </c>
      <c r="Q52" s="320">
        <v>0</v>
      </c>
      <c r="R52" s="320">
        <v>0</v>
      </c>
      <c r="S52" s="320">
        <v>0</v>
      </c>
      <c r="T52" s="320">
        <v>0</v>
      </c>
      <c r="U52" s="320">
        <v>0</v>
      </c>
      <c r="V52" s="320">
        <v>0</v>
      </c>
      <c r="W52" s="320">
        <v>0</v>
      </c>
      <c r="X52" s="329">
        <f t="shared" si="13"/>
        <v>87</v>
      </c>
      <c r="Y52" s="329">
        <f t="shared" si="14"/>
        <v>7.25</v>
      </c>
    </row>
    <row r="53" spans="2:25" ht="15.75" thickBot="1" x14ac:dyDescent="0.3">
      <c r="B53" s="299"/>
      <c r="C53" s="300"/>
      <c r="D53" s="301"/>
      <c r="E53" s="300"/>
      <c r="F53" s="304" t="s">
        <v>448</v>
      </c>
      <c r="G53" s="320">
        <v>832</v>
      </c>
      <c r="H53" s="320">
        <v>3023</v>
      </c>
      <c r="I53" s="320">
        <v>0</v>
      </c>
      <c r="J53" s="320">
        <v>1116</v>
      </c>
      <c r="K53" s="320">
        <v>3715.8333333333335</v>
      </c>
      <c r="L53" s="320">
        <v>3800</v>
      </c>
      <c r="M53" s="320">
        <v>3143</v>
      </c>
      <c r="N53" s="320">
        <v>2930</v>
      </c>
      <c r="O53" s="320">
        <v>765</v>
      </c>
      <c r="P53" s="320">
        <v>3200</v>
      </c>
      <c r="Q53" s="320">
        <v>1220</v>
      </c>
      <c r="R53" s="320">
        <v>2815</v>
      </c>
      <c r="S53" s="320">
        <v>4655</v>
      </c>
      <c r="T53" s="320">
        <v>6300</v>
      </c>
      <c r="U53" s="320">
        <v>5270</v>
      </c>
      <c r="V53" s="320">
        <v>2520</v>
      </c>
      <c r="W53" s="320">
        <v>2390</v>
      </c>
      <c r="X53" s="329">
        <f t="shared" si="13"/>
        <v>39008</v>
      </c>
      <c r="Y53" s="329">
        <f t="shared" si="14"/>
        <v>3250.6666666666665</v>
      </c>
    </row>
    <row r="54" spans="2:25" ht="15.75" thickBot="1" x14ac:dyDescent="0.3">
      <c r="B54" s="311"/>
      <c r="C54" s="312"/>
      <c r="D54" s="313"/>
      <c r="E54" s="312"/>
      <c r="F54" s="313"/>
      <c r="G54" s="321">
        <f t="shared" ref="G54:Y54" si="15">SUM(G50:G53)</f>
        <v>3938</v>
      </c>
      <c r="H54" s="321">
        <f t="shared" si="15"/>
        <v>8902</v>
      </c>
      <c r="I54" s="321">
        <f t="shared" si="15"/>
        <v>15724</v>
      </c>
      <c r="J54" s="321">
        <f t="shared" si="15"/>
        <v>36350</v>
      </c>
      <c r="K54" s="321">
        <f t="shared" si="15"/>
        <v>64573.250000000007</v>
      </c>
      <c r="L54" s="321">
        <f t="shared" si="15"/>
        <v>73068</v>
      </c>
      <c r="M54" s="321">
        <f t="shared" si="15"/>
        <v>68461</v>
      </c>
      <c r="N54" s="321">
        <f t="shared" si="15"/>
        <v>78360</v>
      </c>
      <c r="O54" s="321">
        <f t="shared" si="15"/>
        <v>66903</v>
      </c>
      <c r="P54" s="321">
        <f t="shared" si="15"/>
        <v>52266</v>
      </c>
      <c r="Q54" s="321">
        <f t="shared" si="15"/>
        <v>49140</v>
      </c>
      <c r="R54" s="321">
        <f t="shared" si="15"/>
        <v>50406</v>
      </c>
      <c r="S54" s="321">
        <f t="shared" si="15"/>
        <v>68536</v>
      </c>
      <c r="T54" s="321">
        <f t="shared" si="15"/>
        <v>83178</v>
      </c>
      <c r="U54" s="321">
        <f t="shared" si="15"/>
        <v>75930</v>
      </c>
      <c r="V54" s="321">
        <f t="shared" si="15"/>
        <v>58426</v>
      </c>
      <c r="W54" s="321">
        <f t="shared" si="15"/>
        <v>59840</v>
      </c>
      <c r="X54" s="347">
        <f t="shared" si="15"/>
        <v>784514</v>
      </c>
      <c r="Y54" s="331">
        <f t="shared" si="15"/>
        <v>65376.166666666664</v>
      </c>
    </row>
    <row r="55" spans="2:25" x14ac:dyDescent="0.25">
      <c r="B55" s="296"/>
      <c r="C55" s="297"/>
      <c r="D55" s="298"/>
      <c r="E55" s="297"/>
      <c r="F55" s="298"/>
      <c r="G55" s="322"/>
      <c r="H55" s="322"/>
      <c r="I55" s="322"/>
      <c r="J55" s="322"/>
      <c r="K55" s="322"/>
      <c r="L55" s="322"/>
      <c r="M55" s="322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8"/>
      <c r="Y55" s="328"/>
    </row>
    <row r="56" spans="2:25" x14ac:dyDescent="0.25">
      <c r="B56" s="299">
        <v>3</v>
      </c>
      <c r="C56" s="300" t="s">
        <v>399</v>
      </c>
      <c r="D56" s="301" t="s">
        <v>444</v>
      </c>
      <c r="E56" s="309" t="s">
        <v>419</v>
      </c>
      <c r="F56" s="301"/>
      <c r="G56" s="319"/>
      <c r="H56" s="319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29"/>
      <c r="Y56" s="329"/>
    </row>
    <row r="57" spans="2:25" x14ac:dyDescent="0.25">
      <c r="B57" s="299"/>
      <c r="C57" s="300" t="s">
        <v>402</v>
      </c>
      <c r="D57" s="301" t="s">
        <v>466</v>
      </c>
      <c r="E57" s="300"/>
      <c r="F57" s="301" t="s">
        <v>421</v>
      </c>
      <c r="G57" s="320">
        <v>6236</v>
      </c>
      <c r="H57" s="320">
        <v>7076</v>
      </c>
      <c r="I57" s="320">
        <v>7821</v>
      </c>
      <c r="J57" s="320">
        <v>6994</v>
      </c>
      <c r="K57" s="320">
        <v>8200.4166666666661</v>
      </c>
      <c r="L57" s="320">
        <v>8356</v>
      </c>
      <c r="M57" s="320">
        <v>7370</v>
      </c>
      <c r="N57" s="320">
        <v>6901</v>
      </c>
      <c r="O57" s="320">
        <v>6121</v>
      </c>
      <c r="P57" s="319">
        <v>5023</v>
      </c>
      <c r="Q57" s="319">
        <v>3703</v>
      </c>
      <c r="R57" s="319">
        <v>3838</v>
      </c>
      <c r="S57" s="319">
        <v>5721</v>
      </c>
      <c r="T57" s="319">
        <v>5382</v>
      </c>
      <c r="U57" s="319">
        <v>6884</v>
      </c>
      <c r="V57" s="319">
        <v>6142</v>
      </c>
      <c r="W57" s="319">
        <v>6523</v>
      </c>
      <c r="X57" s="329">
        <f t="shared" ref="X57:X61" si="16">SUM(L57:W57)</f>
        <v>71964</v>
      </c>
      <c r="Y57" s="329">
        <f t="shared" ref="Y57:Y61" si="17">X57/12</f>
        <v>5997</v>
      </c>
    </row>
    <row r="58" spans="2:25" x14ac:dyDescent="0.25">
      <c r="B58" s="299"/>
      <c r="C58" s="300"/>
      <c r="D58" s="301" t="s">
        <v>420</v>
      </c>
      <c r="E58" s="300"/>
      <c r="F58" s="301" t="s">
        <v>422</v>
      </c>
      <c r="G58" s="320">
        <v>33789</v>
      </c>
      <c r="H58" s="320">
        <v>46387</v>
      </c>
      <c r="I58" s="320">
        <v>15417</v>
      </c>
      <c r="J58" s="320">
        <v>16542</v>
      </c>
      <c r="K58" s="320">
        <v>15307.416666666666</v>
      </c>
      <c r="L58" s="320">
        <v>17856</v>
      </c>
      <c r="M58" s="320">
        <v>15131</v>
      </c>
      <c r="N58" s="320">
        <v>19582</v>
      </c>
      <c r="O58" s="320">
        <v>5824</v>
      </c>
      <c r="P58" s="319">
        <v>8518</v>
      </c>
      <c r="Q58" s="319">
        <v>5963</v>
      </c>
      <c r="R58" s="319">
        <v>5647</v>
      </c>
      <c r="S58" s="319">
        <v>12973</v>
      </c>
      <c r="T58" s="319">
        <v>14042</v>
      </c>
      <c r="U58" s="319">
        <v>16244</v>
      </c>
      <c r="V58" s="319">
        <v>10916</v>
      </c>
      <c r="W58" s="319">
        <v>9386</v>
      </c>
      <c r="X58" s="329">
        <f t="shared" si="16"/>
        <v>142082</v>
      </c>
      <c r="Y58" s="329">
        <f t="shared" si="17"/>
        <v>11840.166666666666</v>
      </c>
    </row>
    <row r="59" spans="2:25" x14ac:dyDescent="0.25">
      <c r="B59" s="299"/>
      <c r="C59" s="300"/>
      <c r="D59" s="301"/>
      <c r="E59" s="300"/>
      <c r="F59" s="301" t="s">
        <v>423</v>
      </c>
      <c r="G59" s="320">
        <v>1122</v>
      </c>
      <c r="H59" s="320">
        <v>1057</v>
      </c>
      <c r="I59" s="320">
        <v>926</v>
      </c>
      <c r="J59" s="320">
        <v>1569</v>
      </c>
      <c r="K59" s="320">
        <v>2670.1666666666665</v>
      </c>
      <c r="L59" s="320">
        <v>3798</v>
      </c>
      <c r="M59" s="320">
        <v>5232</v>
      </c>
      <c r="N59" s="320">
        <v>3885</v>
      </c>
      <c r="O59" s="320">
        <v>4076</v>
      </c>
      <c r="P59" s="319">
        <v>2462</v>
      </c>
      <c r="Q59" s="319">
        <v>3170</v>
      </c>
      <c r="R59" s="319">
        <v>3080</v>
      </c>
      <c r="S59" s="319">
        <v>3667</v>
      </c>
      <c r="T59" s="319">
        <v>2396</v>
      </c>
      <c r="U59" s="319">
        <v>3839</v>
      </c>
      <c r="V59" s="319">
        <v>4337</v>
      </c>
      <c r="W59" s="319">
        <v>2691</v>
      </c>
      <c r="X59" s="329">
        <f t="shared" si="16"/>
        <v>42633</v>
      </c>
      <c r="Y59" s="329">
        <f t="shared" si="17"/>
        <v>3552.75</v>
      </c>
    </row>
    <row r="60" spans="2:25" x14ac:dyDescent="0.25">
      <c r="B60" s="302"/>
      <c r="C60" s="303"/>
      <c r="D60" s="304"/>
      <c r="E60" s="303"/>
      <c r="F60" s="304" t="s">
        <v>424</v>
      </c>
      <c r="G60" s="323">
        <v>1122</v>
      </c>
      <c r="H60" s="323">
        <v>2255</v>
      </c>
      <c r="I60" s="323">
        <v>2056</v>
      </c>
      <c r="J60" s="323">
        <v>2317</v>
      </c>
      <c r="K60" s="320">
        <v>3184</v>
      </c>
      <c r="L60" s="320">
        <v>4264</v>
      </c>
      <c r="M60" s="320">
        <v>4573</v>
      </c>
      <c r="N60" s="320">
        <v>4472</v>
      </c>
      <c r="O60" s="320">
        <v>2448</v>
      </c>
      <c r="P60" s="319">
        <v>3497</v>
      </c>
      <c r="Q60" s="319">
        <v>1761</v>
      </c>
      <c r="R60" s="319">
        <v>2994</v>
      </c>
      <c r="S60" s="319">
        <v>3530</v>
      </c>
      <c r="T60" s="319">
        <v>4688</v>
      </c>
      <c r="U60" s="319">
        <v>4634</v>
      </c>
      <c r="V60" s="319">
        <v>3623</v>
      </c>
      <c r="W60" s="319">
        <v>3476</v>
      </c>
      <c r="X60" s="329">
        <f t="shared" si="16"/>
        <v>43960</v>
      </c>
      <c r="Y60" s="329">
        <f t="shared" si="17"/>
        <v>3663.3333333333335</v>
      </c>
    </row>
    <row r="61" spans="2:25" ht="15.75" thickBot="1" x14ac:dyDescent="0.3">
      <c r="B61" s="302"/>
      <c r="C61" s="303"/>
      <c r="D61" s="304"/>
      <c r="E61" s="303"/>
      <c r="F61" s="304" t="s">
        <v>417</v>
      </c>
      <c r="G61" s="323">
        <v>0</v>
      </c>
      <c r="H61" s="323">
        <v>3739</v>
      </c>
      <c r="I61" s="323">
        <v>776</v>
      </c>
      <c r="J61" s="323">
        <v>538</v>
      </c>
      <c r="K61" s="323">
        <v>390.83333333333331</v>
      </c>
      <c r="L61" s="323">
        <v>1110</v>
      </c>
      <c r="M61" s="323">
        <v>1262</v>
      </c>
      <c r="N61" s="323">
        <v>390</v>
      </c>
      <c r="O61" s="323">
        <v>50</v>
      </c>
      <c r="P61" s="319">
        <v>1365</v>
      </c>
      <c r="Q61" s="319">
        <v>1161</v>
      </c>
      <c r="R61" s="319">
        <v>1370</v>
      </c>
      <c r="S61" s="319">
        <v>730</v>
      </c>
      <c r="T61" s="319">
        <v>1090</v>
      </c>
      <c r="U61" s="319">
        <v>4460</v>
      </c>
      <c r="V61" s="319">
        <v>4480</v>
      </c>
      <c r="W61" s="319">
        <v>3385</v>
      </c>
      <c r="X61" s="329">
        <f t="shared" si="16"/>
        <v>20853</v>
      </c>
      <c r="Y61" s="329">
        <f t="shared" si="17"/>
        <v>1737.75</v>
      </c>
    </row>
    <row r="62" spans="2:25" ht="15.75" thickBot="1" x14ac:dyDescent="0.3">
      <c r="B62" s="311"/>
      <c r="C62" s="312"/>
      <c r="D62" s="313"/>
      <c r="E62" s="312"/>
      <c r="F62" s="313"/>
      <c r="G62" s="324">
        <f>SUM(G57:G61)</f>
        <v>42269</v>
      </c>
      <c r="H62" s="324">
        <f t="shared" ref="H62:X62" si="18">SUM(H57:H61)</f>
        <v>60514</v>
      </c>
      <c r="I62" s="324">
        <f t="shared" si="18"/>
        <v>26996</v>
      </c>
      <c r="J62" s="324">
        <f t="shared" si="18"/>
        <v>27960</v>
      </c>
      <c r="K62" s="324">
        <f t="shared" si="18"/>
        <v>29752.833333333332</v>
      </c>
      <c r="L62" s="324">
        <f t="shared" si="18"/>
        <v>35384</v>
      </c>
      <c r="M62" s="324">
        <f t="shared" si="18"/>
        <v>33568</v>
      </c>
      <c r="N62" s="324">
        <f t="shared" si="18"/>
        <v>35230</v>
      </c>
      <c r="O62" s="324">
        <f t="shared" si="18"/>
        <v>18519</v>
      </c>
      <c r="P62" s="324">
        <f t="shared" si="18"/>
        <v>20865</v>
      </c>
      <c r="Q62" s="324">
        <f t="shared" si="18"/>
        <v>15758</v>
      </c>
      <c r="R62" s="324">
        <f t="shared" si="18"/>
        <v>16929</v>
      </c>
      <c r="S62" s="324">
        <f t="shared" si="18"/>
        <v>26621</v>
      </c>
      <c r="T62" s="324">
        <f t="shared" si="18"/>
        <v>27598</v>
      </c>
      <c r="U62" s="324">
        <f t="shared" si="18"/>
        <v>36061</v>
      </c>
      <c r="V62" s="324">
        <f t="shared" si="18"/>
        <v>29498</v>
      </c>
      <c r="W62" s="324">
        <f t="shared" si="18"/>
        <v>25461</v>
      </c>
      <c r="X62" s="330">
        <f t="shared" si="18"/>
        <v>321492</v>
      </c>
      <c r="Y62" s="330">
        <f>SUM(Y57:Y61)</f>
        <v>26790.999999999996</v>
      </c>
    </row>
    <row r="63" spans="2:25" ht="15.75" thickBot="1" x14ac:dyDescent="0.3">
      <c r="B63" s="314"/>
      <c r="C63" s="333"/>
      <c r="D63" s="334"/>
      <c r="E63" s="333"/>
      <c r="F63" s="334"/>
      <c r="G63" s="335">
        <f>G47+G54+G62</f>
        <v>74852</v>
      </c>
      <c r="H63" s="335">
        <f t="shared" ref="H63:Y63" si="19">H47+H54+H62</f>
        <v>97014</v>
      </c>
      <c r="I63" s="335">
        <f t="shared" si="19"/>
        <v>71017</v>
      </c>
      <c r="J63" s="335">
        <f t="shared" si="19"/>
        <v>99600</v>
      </c>
      <c r="K63" s="335">
        <f t="shared" si="19"/>
        <v>128409.25000000001</v>
      </c>
      <c r="L63" s="335">
        <f t="shared" si="19"/>
        <v>129727</v>
      </c>
      <c r="M63" s="335">
        <f t="shared" si="19"/>
        <v>123716</v>
      </c>
      <c r="N63" s="335">
        <f t="shared" si="19"/>
        <v>145287</v>
      </c>
      <c r="O63" s="335">
        <f t="shared" si="19"/>
        <v>109826</v>
      </c>
      <c r="P63" s="335">
        <f t="shared" si="19"/>
        <v>95984</v>
      </c>
      <c r="Q63" s="335">
        <f t="shared" si="19"/>
        <v>87581</v>
      </c>
      <c r="R63" s="335">
        <f t="shared" si="19"/>
        <v>91599</v>
      </c>
      <c r="S63" s="335">
        <f t="shared" si="19"/>
        <v>125857</v>
      </c>
      <c r="T63" s="335">
        <f t="shared" si="19"/>
        <v>143851</v>
      </c>
      <c r="U63" s="335">
        <f t="shared" si="19"/>
        <v>141389</v>
      </c>
      <c r="V63" s="335">
        <f t="shared" si="19"/>
        <v>103603</v>
      </c>
      <c r="W63" s="335">
        <f t="shared" si="19"/>
        <v>97174</v>
      </c>
      <c r="X63" s="335">
        <f t="shared" si="19"/>
        <v>1395594</v>
      </c>
      <c r="Y63" s="376">
        <f t="shared" si="19"/>
        <v>116299.5</v>
      </c>
    </row>
    <row r="64" spans="2:25" x14ac:dyDescent="0.25">
      <c r="B64" s="296"/>
      <c r="C64" s="297"/>
      <c r="D64" s="298"/>
      <c r="E64" s="297"/>
      <c r="F64" s="298"/>
      <c r="G64" s="318"/>
      <c r="H64" s="318"/>
      <c r="I64" s="318"/>
      <c r="J64" s="318"/>
      <c r="K64" s="318"/>
      <c r="L64" s="318"/>
      <c r="M64" s="318"/>
      <c r="N64" s="318"/>
      <c r="O64" s="318"/>
      <c r="P64" s="318"/>
      <c r="Q64" s="318"/>
      <c r="R64" s="318"/>
      <c r="S64" s="318"/>
      <c r="T64" s="318"/>
      <c r="U64" s="318"/>
      <c r="V64" s="318"/>
      <c r="W64" s="318"/>
      <c r="X64" s="329"/>
      <c r="Y64" s="329"/>
    </row>
    <row r="65" spans="2:26" x14ac:dyDescent="0.25">
      <c r="B65" s="296">
        <v>7</v>
      </c>
      <c r="C65" s="297"/>
      <c r="D65" s="298"/>
      <c r="E65" s="309" t="s">
        <v>499</v>
      </c>
      <c r="F65" s="301"/>
      <c r="G65" s="318"/>
      <c r="H65" s="318"/>
      <c r="I65" s="318"/>
      <c r="J65" s="318"/>
      <c r="K65" s="318"/>
      <c r="L65" s="318"/>
      <c r="M65" s="318"/>
      <c r="N65" s="318"/>
      <c r="O65" s="318"/>
      <c r="P65" s="318"/>
      <c r="Q65" s="318"/>
      <c r="R65" s="318"/>
      <c r="S65" s="318"/>
      <c r="T65" s="318"/>
      <c r="U65" s="318"/>
      <c r="V65" s="318"/>
      <c r="W65" s="318"/>
      <c r="X65" s="329"/>
      <c r="Y65" s="329"/>
    </row>
    <row r="66" spans="2:26" x14ac:dyDescent="0.25">
      <c r="B66" s="296"/>
      <c r="C66" s="297"/>
      <c r="D66" s="298"/>
      <c r="E66" s="370"/>
      <c r="F66" s="369" t="s">
        <v>451</v>
      </c>
      <c r="G66" s="325">
        <v>4000</v>
      </c>
      <c r="H66" s="325">
        <v>2826</v>
      </c>
      <c r="I66" s="325">
        <v>1303</v>
      </c>
      <c r="J66" s="325">
        <v>865</v>
      </c>
      <c r="K66" s="325">
        <v>4.583333333333333</v>
      </c>
      <c r="L66" s="325">
        <v>0</v>
      </c>
      <c r="M66" s="325">
        <v>0</v>
      </c>
      <c r="N66" s="325">
        <v>2650</v>
      </c>
      <c r="O66" s="325">
        <v>150</v>
      </c>
      <c r="P66" s="325">
        <v>0</v>
      </c>
      <c r="Q66" s="325">
        <v>2100</v>
      </c>
      <c r="R66" s="325">
        <v>750</v>
      </c>
      <c r="S66" s="325">
        <v>0</v>
      </c>
      <c r="T66" s="325">
        <v>0</v>
      </c>
      <c r="U66" s="325">
        <v>1000</v>
      </c>
      <c r="V66" s="325">
        <v>750</v>
      </c>
      <c r="W66" s="325">
        <v>250</v>
      </c>
      <c r="X66" s="329">
        <f t="shared" ref="X66:X76" si="20">SUM(L66:W66)</f>
        <v>7650</v>
      </c>
      <c r="Y66" s="329">
        <f t="shared" ref="Y66:Y76" si="21">X66/12</f>
        <v>637.5</v>
      </c>
    </row>
    <row r="67" spans="2:26" x14ac:dyDescent="0.25">
      <c r="B67" s="296"/>
      <c r="C67" s="297"/>
      <c r="D67" s="298"/>
      <c r="E67" s="300"/>
      <c r="F67" s="298" t="s">
        <v>449</v>
      </c>
      <c r="G67" s="325">
        <v>1558</v>
      </c>
      <c r="H67" s="325">
        <v>783</v>
      </c>
      <c r="I67" s="325">
        <v>178</v>
      </c>
      <c r="J67" s="325">
        <v>10427</v>
      </c>
      <c r="K67" s="325">
        <v>7480.833333333333</v>
      </c>
      <c r="L67" s="325">
        <v>9300</v>
      </c>
      <c r="M67" s="325">
        <v>1309</v>
      </c>
      <c r="N67" s="325">
        <v>0</v>
      </c>
      <c r="O67" s="325">
        <v>4450</v>
      </c>
      <c r="P67" s="325">
        <v>1200</v>
      </c>
      <c r="Q67" s="325">
        <v>0</v>
      </c>
      <c r="R67" s="325">
        <v>17600</v>
      </c>
      <c r="S67" s="325">
        <v>6400</v>
      </c>
      <c r="T67" s="325">
        <v>18600</v>
      </c>
      <c r="U67" s="325">
        <v>800</v>
      </c>
      <c r="V67" s="325">
        <v>6000</v>
      </c>
      <c r="W67" s="325">
        <v>0</v>
      </c>
      <c r="X67" s="329">
        <f t="shared" si="20"/>
        <v>65659</v>
      </c>
      <c r="Y67" s="329">
        <f t="shared" si="21"/>
        <v>5471.583333333333</v>
      </c>
    </row>
    <row r="68" spans="2:26" x14ac:dyDescent="0.25">
      <c r="B68" s="296"/>
      <c r="C68" s="297"/>
      <c r="D68" s="298"/>
      <c r="E68" s="297"/>
      <c r="F68" s="298" t="s">
        <v>450</v>
      </c>
      <c r="G68" s="325">
        <v>0</v>
      </c>
      <c r="H68" s="325">
        <v>0</v>
      </c>
      <c r="I68" s="325">
        <v>2178</v>
      </c>
      <c r="J68" s="325">
        <v>0</v>
      </c>
      <c r="K68" s="325">
        <v>66.666666666666671</v>
      </c>
      <c r="L68" s="325">
        <v>0</v>
      </c>
      <c r="M68" s="325">
        <v>0</v>
      </c>
      <c r="N68" s="325">
        <v>0</v>
      </c>
      <c r="O68" s="325">
        <v>0</v>
      </c>
      <c r="P68" s="325">
        <v>0</v>
      </c>
      <c r="Q68" s="325">
        <v>0</v>
      </c>
      <c r="R68" s="325">
        <v>0</v>
      </c>
      <c r="S68" s="325">
        <v>0</v>
      </c>
      <c r="T68" s="325">
        <v>0</v>
      </c>
      <c r="U68" s="325">
        <v>0</v>
      </c>
      <c r="V68" s="325">
        <v>0</v>
      </c>
      <c r="W68" s="325">
        <v>0</v>
      </c>
      <c r="X68" s="329">
        <f t="shared" si="20"/>
        <v>0</v>
      </c>
      <c r="Y68" s="329">
        <f t="shared" si="21"/>
        <v>0</v>
      </c>
    </row>
    <row r="69" spans="2:26" x14ac:dyDescent="0.25">
      <c r="B69" s="296"/>
      <c r="C69" s="297"/>
      <c r="D69" s="298"/>
      <c r="E69" s="297"/>
      <c r="F69" s="298" t="s">
        <v>480</v>
      </c>
      <c r="G69" s="325">
        <v>0</v>
      </c>
      <c r="H69" s="325">
        <v>0</v>
      </c>
      <c r="I69" s="325">
        <v>0</v>
      </c>
      <c r="J69" s="325">
        <v>1621</v>
      </c>
      <c r="K69" s="325">
        <v>2106.6666666666665</v>
      </c>
      <c r="L69" s="325">
        <v>10565</v>
      </c>
      <c r="M69" s="325">
        <v>0</v>
      </c>
      <c r="N69" s="325">
        <v>0</v>
      </c>
      <c r="O69" s="325">
        <v>0</v>
      </c>
      <c r="P69" s="325">
        <v>0</v>
      </c>
      <c r="Q69" s="325">
        <v>0</v>
      </c>
      <c r="R69" s="325">
        <v>0</v>
      </c>
      <c r="S69" s="325">
        <v>8752</v>
      </c>
      <c r="T69" s="325">
        <v>0</v>
      </c>
      <c r="U69" s="325">
        <v>0</v>
      </c>
      <c r="V69" s="325">
        <v>0</v>
      </c>
      <c r="W69" s="325">
        <v>0</v>
      </c>
      <c r="X69" s="329">
        <f t="shared" si="20"/>
        <v>19317</v>
      </c>
      <c r="Y69" s="329">
        <f t="shared" si="21"/>
        <v>1609.75</v>
      </c>
    </row>
    <row r="70" spans="2:26" x14ac:dyDescent="0.25">
      <c r="B70" s="296"/>
      <c r="C70" s="297"/>
      <c r="D70" s="298"/>
      <c r="E70" s="297"/>
      <c r="F70" s="298" t="s">
        <v>495</v>
      </c>
      <c r="G70" s="325">
        <v>0</v>
      </c>
      <c r="H70" s="325">
        <v>0</v>
      </c>
      <c r="I70" s="325">
        <v>0</v>
      </c>
      <c r="J70" s="325">
        <v>0</v>
      </c>
      <c r="K70" s="325">
        <v>575</v>
      </c>
      <c r="L70" s="325">
        <v>4325</v>
      </c>
      <c r="M70" s="325">
        <v>0</v>
      </c>
      <c r="N70" s="325">
        <v>3500</v>
      </c>
      <c r="O70" s="325">
        <v>0</v>
      </c>
      <c r="P70" s="325">
        <v>0</v>
      </c>
      <c r="Q70" s="325">
        <v>0</v>
      </c>
      <c r="R70" s="325">
        <v>0</v>
      </c>
      <c r="S70" s="325">
        <v>5500</v>
      </c>
      <c r="T70" s="325">
        <v>8250</v>
      </c>
      <c r="U70" s="325">
        <v>0</v>
      </c>
      <c r="V70" s="325">
        <v>0</v>
      </c>
      <c r="W70" s="325">
        <v>0</v>
      </c>
      <c r="X70" s="329">
        <f t="shared" si="20"/>
        <v>21575</v>
      </c>
      <c r="Y70" s="329">
        <f t="shared" si="21"/>
        <v>1797.9166666666667</v>
      </c>
    </row>
    <row r="71" spans="2:26" x14ac:dyDescent="0.25">
      <c r="B71" s="296"/>
      <c r="C71" s="297"/>
      <c r="D71" s="298"/>
      <c r="E71" s="297"/>
      <c r="F71" s="298" t="s">
        <v>529</v>
      </c>
      <c r="G71" s="325">
        <v>0</v>
      </c>
      <c r="H71" s="325">
        <v>0</v>
      </c>
      <c r="I71" s="325">
        <v>0</v>
      </c>
      <c r="J71" s="325">
        <v>0</v>
      </c>
      <c r="K71" s="325">
        <v>0</v>
      </c>
      <c r="L71" s="325">
        <v>0</v>
      </c>
      <c r="M71" s="325">
        <v>0</v>
      </c>
      <c r="N71" s="325">
        <v>0</v>
      </c>
      <c r="O71" s="325">
        <v>0</v>
      </c>
      <c r="P71" s="325">
        <v>0</v>
      </c>
      <c r="Q71" s="325">
        <v>0</v>
      </c>
      <c r="R71" s="325">
        <v>0</v>
      </c>
      <c r="S71" s="325">
        <v>8263</v>
      </c>
      <c r="T71" s="325">
        <v>4895</v>
      </c>
      <c r="U71" s="325">
        <v>1500</v>
      </c>
      <c r="V71" s="325">
        <v>1750</v>
      </c>
      <c r="W71" s="325">
        <v>0</v>
      </c>
      <c r="X71" s="329">
        <f t="shared" si="20"/>
        <v>16408</v>
      </c>
      <c r="Y71" s="329">
        <f t="shared" si="21"/>
        <v>1367.3333333333333</v>
      </c>
    </row>
    <row r="72" spans="2:26" x14ac:dyDescent="0.25">
      <c r="B72" s="296"/>
      <c r="C72" s="297"/>
      <c r="D72" s="298"/>
      <c r="E72" s="297"/>
      <c r="F72" s="298" t="s">
        <v>496</v>
      </c>
      <c r="G72" s="325">
        <v>0</v>
      </c>
      <c r="H72" s="325">
        <v>0</v>
      </c>
      <c r="I72" s="325">
        <v>0</v>
      </c>
      <c r="J72" s="325">
        <v>0</v>
      </c>
      <c r="K72" s="325">
        <v>131.66666666666666</v>
      </c>
      <c r="L72" s="325">
        <v>1410</v>
      </c>
      <c r="M72" s="325">
        <v>0</v>
      </c>
      <c r="N72" s="325">
        <v>0</v>
      </c>
      <c r="O72" s="325">
        <v>0</v>
      </c>
      <c r="P72" s="325">
        <v>0</v>
      </c>
      <c r="Q72" s="325">
        <v>0</v>
      </c>
      <c r="R72" s="325">
        <v>1400</v>
      </c>
      <c r="S72" s="325">
        <v>0</v>
      </c>
      <c r="T72" s="325">
        <v>0</v>
      </c>
      <c r="U72" s="325">
        <v>0</v>
      </c>
      <c r="V72" s="325">
        <v>0</v>
      </c>
      <c r="W72" s="325">
        <v>0</v>
      </c>
      <c r="X72" s="329">
        <f t="shared" si="20"/>
        <v>2810</v>
      </c>
      <c r="Y72" s="329">
        <f t="shared" si="21"/>
        <v>234.16666666666666</v>
      </c>
    </row>
    <row r="73" spans="2:26" x14ac:dyDescent="0.25">
      <c r="B73" s="296"/>
      <c r="C73" s="297"/>
      <c r="D73" s="298"/>
      <c r="E73" s="297"/>
      <c r="F73" s="298" t="s">
        <v>527</v>
      </c>
      <c r="G73" s="325">
        <v>0</v>
      </c>
      <c r="H73" s="325">
        <v>0</v>
      </c>
      <c r="I73" s="325">
        <v>0</v>
      </c>
      <c r="J73" s="325">
        <v>0</v>
      </c>
      <c r="K73" s="325">
        <v>377.25</v>
      </c>
      <c r="L73" s="325">
        <v>0</v>
      </c>
      <c r="M73" s="325">
        <v>0</v>
      </c>
      <c r="N73" s="325">
        <v>0</v>
      </c>
      <c r="O73" s="325">
        <v>8970</v>
      </c>
      <c r="P73" s="325">
        <v>9235</v>
      </c>
      <c r="Q73" s="325">
        <v>4350</v>
      </c>
      <c r="R73" s="325">
        <v>0</v>
      </c>
      <c r="S73" s="325">
        <v>8360</v>
      </c>
      <c r="T73" s="325">
        <v>4900</v>
      </c>
      <c r="U73" s="325">
        <v>0</v>
      </c>
      <c r="V73" s="325">
        <v>0</v>
      </c>
      <c r="W73" s="325">
        <v>9600</v>
      </c>
      <c r="X73" s="329">
        <f t="shared" si="20"/>
        <v>45415</v>
      </c>
      <c r="Y73" s="329">
        <f t="shared" si="21"/>
        <v>3784.5833333333335</v>
      </c>
    </row>
    <row r="74" spans="2:26" x14ac:dyDescent="0.25">
      <c r="B74" s="296"/>
      <c r="C74" s="297"/>
      <c r="D74" s="298"/>
      <c r="E74" s="297"/>
      <c r="F74" s="298" t="s">
        <v>497</v>
      </c>
      <c r="G74" s="325">
        <v>0</v>
      </c>
      <c r="H74" s="325">
        <v>0</v>
      </c>
      <c r="I74" s="325">
        <v>0</v>
      </c>
      <c r="J74" s="325">
        <v>0</v>
      </c>
      <c r="K74" s="325">
        <v>0</v>
      </c>
      <c r="L74" s="325">
        <v>1620</v>
      </c>
      <c r="M74" s="325">
        <v>0</v>
      </c>
      <c r="N74" s="325">
        <v>0</v>
      </c>
      <c r="O74" s="325">
        <v>0</v>
      </c>
      <c r="P74" s="325">
        <v>0</v>
      </c>
      <c r="Q74" s="325">
        <v>1800</v>
      </c>
      <c r="R74" s="325">
        <v>0</v>
      </c>
      <c r="S74" s="325">
        <v>0</v>
      </c>
      <c r="T74" s="325">
        <v>0</v>
      </c>
      <c r="U74" s="325">
        <v>0</v>
      </c>
      <c r="V74" s="325">
        <v>0</v>
      </c>
      <c r="W74" s="325">
        <v>1800</v>
      </c>
      <c r="X74" s="329">
        <f t="shared" si="20"/>
        <v>5220</v>
      </c>
      <c r="Y74" s="329">
        <f t="shared" si="21"/>
        <v>435</v>
      </c>
    </row>
    <row r="75" spans="2:26" x14ac:dyDescent="0.25">
      <c r="B75" s="299"/>
      <c r="C75" s="300"/>
      <c r="D75" s="301"/>
      <c r="E75" s="300"/>
      <c r="F75" s="371" t="s">
        <v>454</v>
      </c>
      <c r="G75" s="320">
        <v>369</v>
      </c>
      <c r="H75" s="320">
        <v>670</v>
      </c>
      <c r="I75" s="320">
        <v>1278</v>
      </c>
      <c r="J75" s="320">
        <v>2068</v>
      </c>
      <c r="K75" s="320">
        <v>3175.25</v>
      </c>
      <c r="L75" s="325">
        <v>953</v>
      </c>
      <c r="M75" s="325">
        <v>420</v>
      </c>
      <c r="N75" s="325">
        <v>237</v>
      </c>
      <c r="O75" s="325">
        <v>370</v>
      </c>
      <c r="P75" s="325">
        <v>165</v>
      </c>
      <c r="Q75" s="325">
        <v>465</v>
      </c>
      <c r="R75" s="325">
        <v>475</v>
      </c>
      <c r="S75" s="325">
        <v>145</v>
      </c>
      <c r="T75" s="325">
        <v>485</v>
      </c>
      <c r="U75" s="325">
        <v>390</v>
      </c>
      <c r="V75" s="325">
        <v>0</v>
      </c>
      <c r="W75" s="325">
        <v>215</v>
      </c>
      <c r="X75" s="329">
        <f t="shared" si="20"/>
        <v>4320</v>
      </c>
      <c r="Y75" s="329">
        <f t="shared" si="21"/>
        <v>360</v>
      </c>
    </row>
    <row r="76" spans="2:26" ht="15.75" thickBot="1" x14ac:dyDescent="0.3">
      <c r="B76" s="296"/>
      <c r="C76" s="297"/>
      <c r="D76" s="298"/>
      <c r="F76" s="307" t="s">
        <v>452</v>
      </c>
      <c r="G76" s="325">
        <v>28</v>
      </c>
      <c r="H76" s="325">
        <v>0</v>
      </c>
      <c r="I76" s="325">
        <v>1</v>
      </c>
      <c r="J76" s="325">
        <v>40</v>
      </c>
      <c r="K76" s="325">
        <v>68.666666666666671</v>
      </c>
      <c r="L76" s="325">
        <v>0</v>
      </c>
      <c r="M76" s="325">
        <v>0</v>
      </c>
      <c r="N76" s="325">
        <v>255</v>
      </c>
      <c r="O76" s="325">
        <v>425</v>
      </c>
      <c r="P76" s="325">
        <v>1005</v>
      </c>
      <c r="Q76" s="325">
        <v>1235</v>
      </c>
      <c r="R76" s="325">
        <v>0</v>
      </c>
      <c r="S76" s="325">
        <v>0</v>
      </c>
      <c r="T76" s="325">
        <v>0</v>
      </c>
      <c r="U76" s="325">
        <v>0</v>
      </c>
      <c r="V76" s="325">
        <v>0</v>
      </c>
      <c r="W76" s="325">
        <v>130</v>
      </c>
      <c r="X76" s="329">
        <f t="shared" si="20"/>
        <v>3050</v>
      </c>
      <c r="Y76" s="329">
        <f t="shared" si="21"/>
        <v>254.16666666666666</v>
      </c>
    </row>
    <row r="77" spans="2:26" ht="15.75" thickBot="1" x14ac:dyDescent="0.3">
      <c r="B77" s="314"/>
      <c r="C77" s="333"/>
      <c r="D77" s="334"/>
      <c r="E77" s="333"/>
      <c r="F77" s="334"/>
      <c r="G77" s="335">
        <f t="shared" ref="G77:Y77" si="22">SUM(G66:G76)</f>
        <v>5955</v>
      </c>
      <c r="H77" s="335">
        <f t="shared" si="22"/>
        <v>4279</v>
      </c>
      <c r="I77" s="335">
        <f t="shared" si="22"/>
        <v>4938</v>
      </c>
      <c r="J77" s="335">
        <f t="shared" si="22"/>
        <v>15021</v>
      </c>
      <c r="K77" s="335">
        <f t="shared" si="22"/>
        <v>13986.583333333332</v>
      </c>
      <c r="L77" s="335">
        <f t="shared" si="22"/>
        <v>28173</v>
      </c>
      <c r="M77" s="335">
        <f t="shared" si="22"/>
        <v>1729</v>
      </c>
      <c r="N77" s="335">
        <f t="shared" si="22"/>
        <v>6642</v>
      </c>
      <c r="O77" s="335">
        <f t="shared" si="22"/>
        <v>14365</v>
      </c>
      <c r="P77" s="335">
        <f t="shared" si="22"/>
        <v>11605</v>
      </c>
      <c r="Q77" s="335">
        <f t="shared" si="22"/>
        <v>9950</v>
      </c>
      <c r="R77" s="335">
        <f t="shared" si="22"/>
        <v>20225</v>
      </c>
      <c r="S77" s="335">
        <f t="shared" si="22"/>
        <v>37420</v>
      </c>
      <c r="T77" s="335">
        <f t="shared" si="22"/>
        <v>37130</v>
      </c>
      <c r="U77" s="335">
        <f t="shared" si="22"/>
        <v>3690</v>
      </c>
      <c r="V77" s="335">
        <f t="shared" si="22"/>
        <v>8500</v>
      </c>
      <c r="W77" s="335">
        <f t="shared" si="22"/>
        <v>11995</v>
      </c>
      <c r="X77" s="346">
        <f>SUM(X66:X76)</f>
        <v>191424</v>
      </c>
      <c r="Y77" s="366">
        <f t="shared" si="22"/>
        <v>15952</v>
      </c>
      <c r="Z77" s="12"/>
    </row>
    <row r="78" spans="2:26" x14ac:dyDescent="0.25">
      <c r="B78" s="296"/>
      <c r="C78" s="297"/>
      <c r="D78" s="298"/>
      <c r="E78" s="297"/>
      <c r="F78" s="298"/>
      <c r="G78" s="318"/>
      <c r="H78" s="318"/>
      <c r="I78" s="318"/>
      <c r="J78" s="318"/>
      <c r="K78" s="318"/>
      <c r="L78" s="318"/>
      <c r="M78" s="318"/>
      <c r="N78" s="318"/>
      <c r="O78" s="318"/>
      <c r="P78" s="318"/>
      <c r="Q78" s="318"/>
      <c r="R78" s="318"/>
      <c r="S78" s="318"/>
      <c r="T78" s="318"/>
      <c r="U78" s="318"/>
      <c r="V78" s="318"/>
      <c r="W78" s="318"/>
      <c r="X78" s="329"/>
      <c r="Y78" s="329"/>
    </row>
    <row r="79" spans="2:26" x14ac:dyDescent="0.25">
      <c r="B79" s="299">
        <v>8</v>
      </c>
      <c r="C79" s="300"/>
      <c r="D79" s="301"/>
      <c r="E79" s="308" t="s">
        <v>453</v>
      </c>
      <c r="F79" s="301"/>
      <c r="G79" s="319"/>
      <c r="H79" s="319"/>
      <c r="I79" s="319"/>
      <c r="J79" s="319"/>
      <c r="K79" s="319"/>
      <c r="L79" s="319"/>
      <c r="M79" s="319"/>
      <c r="N79" s="319"/>
      <c r="O79" s="319"/>
      <c r="P79" s="319"/>
      <c r="Q79" s="319"/>
      <c r="R79" s="319"/>
      <c r="S79" s="319"/>
      <c r="T79" s="319"/>
      <c r="U79" s="319"/>
      <c r="V79" s="319"/>
      <c r="W79" s="319"/>
      <c r="X79" s="329"/>
      <c r="Y79" s="329"/>
    </row>
    <row r="80" spans="2:26" x14ac:dyDescent="0.25">
      <c r="B80" s="299"/>
      <c r="C80" s="300"/>
      <c r="D80" s="301"/>
      <c r="E80" s="300"/>
      <c r="F80" s="316" t="s">
        <v>455</v>
      </c>
      <c r="G80" s="320">
        <v>7380</v>
      </c>
      <c r="H80" s="320">
        <v>11409</v>
      </c>
      <c r="I80" s="320">
        <v>20307</v>
      </c>
      <c r="J80" s="320">
        <v>13456</v>
      </c>
      <c r="K80" s="320">
        <v>16274.583333333334</v>
      </c>
      <c r="L80" s="320">
        <v>18544</v>
      </c>
      <c r="M80" s="320">
        <v>19712</v>
      </c>
      <c r="N80" s="320">
        <v>14041</v>
      </c>
      <c r="O80" s="320">
        <v>24844</v>
      </c>
      <c r="P80" s="320">
        <v>10021</v>
      </c>
      <c r="Q80" s="320">
        <v>20589</v>
      </c>
      <c r="R80" s="320">
        <v>27045</v>
      </c>
      <c r="S80" s="320">
        <v>11711</v>
      </c>
      <c r="T80" s="320">
        <v>11622</v>
      </c>
      <c r="U80" s="320">
        <v>7687</v>
      </c>
      <c r="V80" s="320">
        <v>9819</v>
      </c>
      <c r="W80" s="320">
        <v>17060</v>
      </c>
      <c r="X80" s="329">
        <f t="shared" ref="X80:X94" si="23">SUM(L80:W80)</f>
        <v>192695</v>
      </c>
      <c r="Y80" s="329">
        <f t="shared" ref="Y80:Y94" si="24">X80/12</f>
        <v>16057.916666666666</v>
      </c>
    </row>
    <row r="81" spans="2:26" x14ac:dyDescent="0.25">
      <c r="B81" s="299"/>
      <c r="C81" s="300"/>
      <c r="D81" s="301"/>
      <c r="E81" s="300"/>
      <c r="F81" s="316" t="s">
        <v>456</v>
      </c>
      <c r="G81" s="320">
        <v>1069</v>
      </c>
      <c r="H81" s="320">
        <v>529</v>
      </c>
      <c r="I81" s="320">
        <v>868</v>
      </c>
      <c r="J81" s="320">
        <v>379</v>
      </c>
      <c r="K81" s="320">
        <v>90</v>
      </c>
      <c r="L81" s="320">
        <v>80</v>
      </c>
      <c r="M81" s="320">
        <v>5</v>
      </c>
      <c r="N81" s="320">
        <v>1000</v>
      </c>
      <c r="O81" s="320">
        <v>0</v>
      </c>
      <c r="P81" s="320">
        <v>0</v>
      </c>
      <c r="Q81" s="320">
        <v>0</v>
      </c>
      <c r="R81" s="320">
        <v>50</v>
      </c>
      <c r="S81" s="320">
        <v>0</v>
      </c>
      <c r="T81" s="320">
        <v>55</v>
      </c>
      <c r="U81" s="320">
        <v>0</v>
      </c>
      <c r="V81" s="320">
        <v>1000</v>
      </c>
      <c r="W81" s="320">
        <v>100</v>
      </c>
      <c r="X81" s="329">
        <f t="shared" si="23"/>
        <v>2290</v>
      </c>
      <c r="Y81" s="329">
        <f t="shared" si="24"/>
        <v>190.83333333333334</v>
      </c>
    </row>
    <row r="82" spans="2:26" x14ac:dyDescent="0.25">
      <c r="B82" s="299"/>
      <c r="C82" s="300"/>
      <c r="D82" s="301"/>
      <c r="E82" s="300"/>
      <c r="F82" s="316" t="s">
        <v>457</v>
      </c>
      <c r="G82" s="320">
        <v>0</v>
      </c>
      <c r="H82" s="320">
        <v>0</v>
      </c>
      <c r="I82" s="320">
        <v>0</v>
      </c>
      <c r="J82" s="320">
        <v>0</v>
      </c>
      <c r="K82" s="320">
        <v>0</v>
      </c>
      <c r="L82" s="320">
        <v>0</v>
      </c>
      <c r="M82" s="320">
        <v>0</v>
      </c>
      <c r="N82" s="320">
        <v>0</v>
      </c>
      <c r="O82" s="320">
        <v>0</v>
      </c>
      <c r="P82" s="320">
        <v>0</v>
      </c>
      <c r="Q82" s="320">
        <v>0</v>
      </c>
      <c r="R82" s="320">
        <v>0</v>
      </c>
      <c r="S82" s="320">
        <v>0</v>
      </c>
      <c r="T82" s="320">
        <v>0</v>
      </c>
      <c r="U82" s="320">
        <v>0</v>
      </c>
      <c r="V82" s="320">
        <v>0</v>
      </c>
      <c r="W82" s="320">
        <v>0</v>
      </c>
      <c r="X82" s="329">
        <f t="shared" si="23"/>
        <v>0</v>
      </c>
      <c r="Y82" s="329">
        <f t="shared" si="24"/>
        <v>0</v>
      </c>
    </row>
    <row r="83" spans="2:26" x14ac:dyDescent="0.25">
      <c r="B83" s="299"/>
      <c r="C83" s="300"/>
      <c r="D83" s="301"/>
      <c r="E83" s="300"/>
      <c r="F83" s="316" t="s">
        <v>458</v>
      </c>
      <c r="G83" s="320">
        <v>1128</v>
      </c>
      <c r="H83" s="320">
        <v>0</v>
      </c>
      <c r="I83" s="320">
        <v>0</v>
      </c>
      <c r="J83" s="320">
        <v>0</v>
      </c>
      <c r="K83" s="320">
        <v>0</v>
      </c>
      <c r="L83" s="320">
        <v>0</v>
      </c>
      <c r="M83" s="320">
        <v>0</v>
      </c>
      <c r="N83" s="320">
        <v>0</v>
      </c>
      <c r="O83" s="320">
        <v>0</v>
      </c>
      <c r="P83" s="320">
        <v>0</v>
      </c>
      <c r="Q83" s="320">
        <v>0</v>
      </c>
      <c r="R83" s="320">
        <v>0</v>
      </c>
      <c r="S83" s="320">
        <v>0</v>
      </c>
      <c r="T83" s="320">
        <v>0</v>
      </c>
      <c r="U83" s="320">
        <v>0</v>
      </c>
      <c r="V83" s="320">
        <v>0</v>
      </c>
      <c r="W83" s="320">
        <v>0</v>
      </c>
      <c r="X83" s="329">
        <f t="shared" si="23"/>
        <v>0</v>
      </c>
      <c r="Y83" s="329">
        <f t="shared" si="24"/>
        <v>0</v>
      </c>
    </row>
    <row r="84" spans="2:26" x14ac:dyDescent="0.25">
      <c r="B84" s="299"/>
      <c r="C84" s="300"/>
      <c r="D84" s="301"/>
      <c r="E84" s="300"/>
      <c r="F84" s="316" t="s">
        <v>473</v>
      </c>
      <c r="G84" s="320">
        <v>2206</v>
      </c>
      <c r="H84" s="320">
        <v>173</v>
      </c>
      <c r="I84" s="320">
        <v>1550</v>
      </c>
      <c r="J84" s="320">
        <v>0</v>
      </c>
      <c r="K84" s="320">
        <v>0</v>
      </c>
      <c r="L84" s="320">
        <v>0</v>
      </c>
      <c r="M84" s="320">
        <v>0</v>
      </c>
      <c r="N84" s="320">
        <v>0</v>
      </c>
      <c r="O84" s="320">
        <v>0</v>
      </c>
      <c r="P84" s="320">
        <v>0</v>
      </c>
      <c r="Q84" s="320">
        <v>0</v>
      </c>
      <c r="R84" s="320">
        <v>0</v>
      </c>
      <c r="S84" s="320">
        <v>0</v>
      </c>
      <c r="T84" s="320">
        <v>0</v>
      </c>
      <c r="U84" s="320">
        <v>0</v>
      </c>
      <c r="V84" s="320">
        <v>0</v>
      </c>
      <c r="W84" s="320">
        <v>0</v>
      </c>
      <c r="X84" s="329">
        <f t="shared" si="23"/>
        <v>0</v>
      </c>
      <c r="Y84" s="329">
        <f t="shared" si="24"/>
        <v>0</v>
      </c>
    </row>
    <row r="85" spans="2:26" x14ac:dyDescent="0.25">
      <c r="B85" s="299"/>
      <c r="C85" s="300"/>
      <c r="D85" s="301"/>
      <c r="E85" s="300"/>
      <c r="F85" s="316" t="s">
        <v>459</v>
      </c>
      <c r="G85" s="320">
        <v>0</v>
      </c>
      <c r="H85" s="320">
        <v>1058</v>
      </c>
      <c r="I85" s="320">
        <v>275</v>
      </c>
      <c r="J85" s="320">
        <v>0</v>
      </c>
      <c r="K85" s="320">
        <v>0</v>
      </c>
      <c r="L85" s="320">
        <v>0</v>
      </c>
      <c r="M85" s="320">
        <v>0</v>
      </c>
      <c r="N85" s="320">
        <v>0</v>
      </c>
      <c r="O85" s="320">
        <v>0</v>
      </c>
      <c r="P85" s="320">
        <v>0</v>
      </c>
      <c r="Q85" s="320">
        <v>0</v>
      </c>
      <c r="R85" s="320">
        <v>0</v>
      </c>
      <c r="S85" s="320">
        <v>0</v>
      </c>
      <c r="T85" s="320">
        <v>0</v>
      </c>
      <c r="U85" s="320">
        <v>0</v>
      </c>
      <c r="V85" s="320">
        <v>0</v>
      </c>
      <c r="W85" s="320">
        <v>0</v>
      </c>
      <c r="X85" s="329">
        <f>SUM(L85:W85)</f>
        <v>0</v>
      </c>
      <c r="Y85" s="329">
        <f t="shared" si="24"/>
        <v>0</v>
      </c>
    </row>
    <row r="86" spans="2:26" x14ac:dyDescent="0.25">
      <c r="B86" s="299"/>
      <c r="C86" s="300"/>
      <c r="D86" s="301"/>
      <c r="E86" s="300"/>
      <c r="F86" s="316" t="s">
        <v>471</v>
      </c>
      <c r="G86" s="320">
        <v>232</v>
      </c>
      <c r="H86" s="320">
        <v>46</v>
      </c>
      <c r="I86" s="320">
        <v>30</v>
      </c>
      <c r="J86" s="320">
        <v>21</v>
      </c>
      <c r="K86" s="320">
        <v>0</v>
      </c>
      <c r="L86" s="320">
        <v>0</v>
      </c>
      <c r="M86" s="320">
        <v>0</v>
      </c>
      <c r="N86" s="320">
        <v>0</v>
      </c>
      <c r="O86" s="320">
        <v>0</v>
      </c>
      <c r="P86" s="320">
        <v>0</v>
      </c>
      <c r="Q86" s="320">
        <v>0</v>
      </c>
      <c r="R86" s="320">
        <v>0</v>
      </c>
      <c r="S86" s="320">
        <v>0</v>
      </c>
      <c r="T86" s="320">
        <v>0</v>
      </c>
      <c r="U86" s="320">
        <v>0</v>
      </c>
      <c r="V86" s="320">
        <v>0</v>
      </c>
      <c r="W86" s="320">
        <v>0</v>
      </c>
      <c r="X86" s="329">
        <f t="shared" si="23"/>
        <v>0</v>
      </c>
      <c r="Y86" s="329">
        <f t="shared" si="24"/>
        <v>0</v>
      </c>
    </row>
    <row r="87" spans="2:26" x14ac:dyDescent="0.25">
      <c r="B87" s="299"/>
      <c r="C87" s="300"/>
      <c r="D87" s="301"/>
      <c r="E87" s="300"/>
      <c r="F87" s="316" t="s">
        <v>481</v>
      </c>
      <c r="G87" s="320">
        <v>0</v>
      </c>
      <c r="H87" s="320">
        <v>0</v>
      </c>
      <c r="I87" s="320">
        <v>0</v>
      </c>
      <c r="J87" s="320">
        <v>529</v>
      </c>
      <c r="K87" s="320">
        <v>0</v>
      </c>
      <c r="L87" s="320">
        <v>0</v>
      </c>
      <c r="M87" s="320">
        <v>0</v>
      </c>
      <c r="N87" s="320">
        <v>0</v>
      </c>
      <c r="O87" s="320">
        <v>0</v>
      </c>
      <c r="P87" s="320">
        <v>0</v>
      </c>
      <c r="Q87" s="320">
        <v>0</v>
      </c>
      <c r="R87" s="320">
        <v>0</v>
      </c>
      <c r="S87" s="320">
        <v>0</v>
      </c>
      <c r="T87" s="320">
        <v>0</v>
      </c>
      <c r="U87" s="320">
        <v>0</v>
      </c>
      <c r="V87" s="320">
        <v>0</v>
      </c>
      <c r="W87" s="320">
        <v>0</v>
      </c>
      <c r="X87" s="329">
        <f t="shared" si="23"/>
        <v>0</v>
      </c>
      <c r="Y87" s="329">
        <f t="shared" si="24"/>
        <v>0</v>
      </c>
    </row>
    <row r="88" spans="2:26" x14ac:dyDescent="0.25">
      <c r="B88" s="299"/>
      <c r="C88" s="300"/>
      <c r="D88" s="301"/>
      <c r="E88" s="300"/>
      <c r="F88" s="316" t="s">
        <v>472</v>
      </c>
      <c r="G88" s="320">
        <v>5146</v>
      </c>
      <c r="H88" s="320">
        <v>217</v>
      </c>
      <c r="I88" s="320">
        <v>78</v>
      </c>
      <c r="J88" s="320">
        <v>63</v>
      </c>
      <c r="K88" s="320">
        <v>0.16666666666666666</v>
      </c>
      <c r="L88" s="320">
        <v>0</v>
      </c>
      <c r="M88" s="320">
        <v>0</v>
      </c>
      <c r="N88" s="320">
        <v>0</v>
      </c>
      <c r="O88" s="320">
        <v>0</v>
      </c>
      <c r="P88" s="320">
        <v>0</v>
      </c>
      <c r="Q88" s="320">
        <v>200</v>
      </c>
      <c r="R88" s="320">
        <v>0</v>
      </c>
      <c r="S88" s="320">
        <v>205</v>
      </c>
      <c r="T88" s="320">
        <v>0</v>
      </c>
      <c r="U88" s="320">
        <v>100</v>
      </c>
      <c r="V88" s="320">
        <v>0</v>
      </c>
      <c r="W88" s="320">
        <v>210</v>
      </c>
      <c r="X88" s="329">
        <f t="shared" si="23"/>
        <v>715</v>
      </c>
      <c r="Y88" s="329">
        <f t="shared" si="24"/>
        <v>59.583333333333336</v>
      </c>
    </row>
    <row r="89" spans="2:26" x14ac:dyDescent="0.25">
      <c r="B89" s="299"/>
      <c r="C89" s="300"/>
      <c r="D89" s="301"/>
      <c r="E89" s="300"/>
      <c r="F89" s="316" t="s">
        <v>483</v>
      </c>
      <c r="G89" s="320">
        <v>0</v>
      </c>
      <c r="H89" s="320">
        <v>0</v>
      </c>
      <c r="I89" s="320">
        <v>0</v>
      </c>
      <c r="J89" s="320">
        <v>6</v>
      </c>
      <c r="K89" s="320">
        <v>0</v>
      </c>
      <c r="L89" s="320">
        <v>0</v>
      </c>
      <c r="M89" s="320">
        <v>0</v>
      </c>
      <c r="N89" s="320">
        <v>0</v>
      </c>
      <c r="O89" s="320">
        <v>0</v>
      </c>
      <c r="P89" s="320">
        <v>0</v>
      </c>
      <c r="Q89" s="320">
        <v>0</v>
      </c>
      <c r="R89" s="320">
        <v>0</v>
      </c>
      <c r="S89" s="320">
        <v>0</v>
      </c>
      <c r="T89" s="320">
        <v>0</v>
      </c>
      <c r="U89" s="320">
        <v>0</v>
      </c>
      <c r="V89" s="320">
        <v>200</v>
      </c>
      <c r="W89" s="320">
        <v>0</v>
      </c>
      <c r="X89" s="329">
        <f t="shared" si="23"/>
        <v>200</v>
      </c>
      <c r="Y89" s="329">
        <f t="shared" si="24"/>
        <v>16.666666666666668</v>
      </c>
    </row>
    <row r="90" spans="2:26" x14ac:dyDescent="0.25">
      <c r="B90" s="299"/>
      <c r="C90" s="300"/>
      <c r="D90" s="301"/>
      <c r="E90" s="300"/>
      <c r="F90" s="316" t="s">
        <v>460</v>
      </c>
      <c r="G90" s="320">
        <v>2835</v>
      </c>
      <c r="H90" s="320">
        <v>158</v>
      </c>
      <c r="I90" s="320">
        <v>138</v>
      </c>
      <c r="J90" s="320">
        <v>0</v>
      </c>
      <c r="K90" s="320">
        <v>12.5</v>
      </c>
      <c r="L90" s="320">
        <v>0</v>
      </c>
      <c r="M90" s="320">
        <v>0</v>
      </c>
      <c r="N90" s="320">
        <v>0</v>
      </c>
      <c r="O90" s="320">
        <v>0</v>
      </c>
      <c r="P90" s="320">
        <v>0</v>
      </c>
      <c r="Q90" s="320">
        <v>0</v>
      </c>
      <c r="R90" s="320">
        <v>0</v>
      </c>
      <c r="S90" s="320">
        <v>0</v>
      </c>
      <c r="T90" s="320">
        <v>102</v>
      </c>
      <c r="U90" s="320">
        <v>0</v>
      </c>
      <c r="V90" s="320">
        <v>0</v>
      </c>
      <c r="W90" s="320">
        <v>0</v>
      </c>
      <c r="X90" s="329">
        <f>SUM(L90:W90)</f>
        <v>102</v>
      </c>
      <c r="Y90" s="329">
        <f t="shared" si="24"/>
        <v>8.5</v>
      </c>
    </row>
    <row r="91" spans="2:26" x14ac:dyDescent="0.25">
      <c r="B91" s="299"/>
      <c r="C91" s="300"/>
      <c r="D91" s="301"/>
      <c r="E91" s="300"/>
      <c r="F91" s="316" t="s">
        <v>461</v>
      </c>
      <c r="G91" s="320">
        <v>0</v>
      </c>
      <c r="H91" s="320">
        <v>29</v>
      </c>
      <c r="I91" s="320">
        <v>58</v>
      </c>
      <c r="J91" s="320">
        <v>92</v>
      </c>
      <c r="K91" s="320">
        <v>13.333333333333334</v>
      </c>
      <c r="L91" s="320">
        <v>50</v>
      </c>
      <c r="M91" s="320">
        <v>125</v>
      </c>
      <c r="N91" s="320">
        <v>0</v>
      </c>
      <c r="O91" s="320">
        <v>70</v>
      </c>
      <c r="P91" s="320">
        <v>0</v>
      </c>
      <c r="Q91" s="320">
        <v>0</v>
      </c>
      <c r="R91" s="320">
        <v>0</v>
      </c>
      <c r="S91" s="320">
        <v>0</v>
      </c>
      <c r="T91" s="320">
        <v>0</v>
      </c>
      <c r="U91" s="320">
        <v>0</v>
      </c>
      <c r="V91" s="320">
        <v>0</v>
      </c>
      <c r="W91" s="320">
        <v>40</v>
      </c>
      <c r="X91" s="329">
        <f t="shared" si="23"/>
        <v>285</v>
      </c>
      <c r="Y91" s="329">
        <f t="shared" si="24"/>
        <v>23.75</v>
      </c>
    </row>
    <row r="92" spans="2:26" x14ac:dyDescent="0.25">
      <c r="B92" s="299"/>
      <c r="C92" s="300"/>
      <c r="D92" s="301"/>
      <c r="E92" s="300"/>
      <c r="F92" s="316" t="s">
        <v>462</v>
      </c>
      <c r="G92" s="320">
        <v>93</v>
      </c>
      <c r="H92" s="320">
        <v>0</v>
      </c>
      <c r="I92" s="320">
        <v>0</v>
      </c>
      <c r="J92" s="320">
        <v>0</v>
      </c>
      <c r="K92" s="320">
        <v>294.16666666666669</v>
      </c>
      <c r="L92" s="320">
        <v>0</v>
      </c>
      <c r="M92" s="320">
        <v>0</v>
      </c>
      <c r="N92" s="320">
        <v>0</v>
      </c>
      <c r="O92" s="320">
        <v>0</v>
      </c>
      <c r="P92" s="320">
        <v>0</v>
      </c>
      <c r="Q92" s="320">
        <v>0</v>
      </c>
      <c r="R92" s="320">
        <v>0</v>
      </c>
      <c r="S92" s="320">
        <v>0</v>
      </c>
      <c r="T92" s="320">
        <v>0</v>
      </c>
      <c r="U92" s="320">
        <v>0</v>
      </c>
      <c r="V92" s="320">
        <v>0</v>
      </c>
      <c r="W92" s="320">
        <v>0</v>
      </c>
      <c r="X92" s="329">
        <f t="shared" si="23"/>
        <v>0</v>
      </c>
      <c r="Y92" s="329">
        <f t="shared" si="24"/>
        <v>0</v>
      </c>
    </row>
    <row r="93" spans="2:26" x14ac:dyDescent="0.25">
      <c r="B93" s="299"/>
      <c r="C93" s="300"/>
      <c r="D93" s="301"/>
      <c r="E93" s="300"/>
      <c r="F93" s="316" t="s">
        <v>463</v>
      </c>
      <c r="G93" s="320">
        <v>702</v>
      </c>
      <c r="H93" s="320">
        <v>335</v>
      </c>
      <c r="I93" s="320">
        <v>676</v>
      </c>
      <c r="J93" s="320">
        <v>150</v>
      </c>
      <c r="K93" s="320">
        <v>3215.8333333333335</v>
      </c>
      <c r="L93" s="320">
        <v>5522</v>
      </c>
      <c r="M93" s="320">
        <v>6203</v>
      </c>
      <c r="N93" s="320">
        <v>3293</v>
      </c>
      <c r="O93" s="320">
        <v>5840</v>
      </c>
      <c r="P93" s="320">
        <v>3508</v>
      </c>
      <c r="Q93" s="320">
        <v>5751</v>
      </c>
      <c r="R93" s="320">
        <v>4147</v>
      </c>
      <c r="S93" s="320">
        <v>5131</v>
      </c>
      <c r="T93" s="320">
        <v>860</v>
      </c>
      <c r="U93" s="320">
        <v>2118</v>
      </c>
      <c r="V93" s="320">
        <v>5347</v>
      </c>
      <c r="W93" s="320">
        <v>600</v>
      </c>
      <c r="X93" s="329">
        <f t="shared" si="23"/>
        <v>48320</v>
      </c>
      <c r="Y93" s="329">
        <f t="shared" si="24"/>
        <v>4026.6666666666665</v>
      </c>
    </row>
    <row r="94" spans="2:26" ht="15.75" thickBot="1" x14ac:dyDescent="0.3">
      <c r="B94" s="305"/>
      <c r="C94" s="306"/>
      <c r="D94" s="307"/>
      <c r="E94" s="306"/>
      <c r="F94" s="317" t="s">
        <v>464</v>
      </c>
      <c r="G94" s="323">
        <v>0</v>
      </c>
      <c r="H94" s="323">
        <v>0</v>
      </c>
      <c r="I94" s="323">
        <v>627</v>
      </c>
      <c r="J94" s="323">
        <v>13</v>
      </c>
      <c r="K94" s="323">
        <v>63.083333333333336</v>
      </c>
      <c r="L94" s="320">
        <v>70</v>
      </c>
      <c r="M94" s="320">
        <v>0</v>
      </c>
      <c r="N94" s="320">
        <v>200</v>
      </c>
      <c r="O94" s="320">
        <v>100</v>
      </c>
      <c r="P94" s="320">
        <v>75</v>
      </c>
      <c r="Q94" s="320">
        <v>100</v>
      </c>
      <c r="R94" s="320">
        <v>0</v>
      </c>
      <c r="S94" s="320">
        <v>200</v>
      </c>
      <c r="T94" s="320">
        <v>100</v>
      </c>
      <c r="U94" s="320">
        <v>185</v>
      </c>
      <c r="V94" s="320">
        <v>120</v>
      </c>
      <c r="W94" s="320">
        <v>200</v>
      </c>
      <c r="X94" s="329">
        <f t="shared" si="23"/>
        <v>1350</v>
      </c>
      <c r="Y94" s="329">
        <f t="shared" si="24"/>
        <v>112.5</v>
      </c>
    </row>
    <row r="95" spans="2:26" ht="15.75" thickBot="1" x14ac:dyDescent="0.3">
      <c r="B95" s="314"/>
      <c r="C95" s="315"/>
      <c r="D95" s="315"/>
      <c r="E95" s="315"/>
      <c r="F95" s="315"/>
      <c r="G95" s="327">
        <f t="shared" ref="G95:X95" si="25">SUM(G80:G94)</f>
        <v>20791</v>
      </c>
      <c r="H95" s="327">
        <f t="shared" si="25"/>
        <v>13954</v>
      </c>
      <c r="I95" s="327">
        <f t="shared" si="25"/>
        <v>24607</v>
      </c>
      <c r="J95" s="327">
        <f>SUM(J80:J94)</f>
        <v>14709</v>
      </c>
      <c r="K95" s="327">
        <f t="shared" si="25"/>
        <v>19963.666666666664</v>
      </c>
      <c r="L95" s="327">
        <f t="shared" si="25"/>
        <v>24266</v>
      </c>
      <c r="M95" s="327">
        <f t="shared" si="25"/>
        <v>26045</v>
      </c>
      <c r="N95" s="327">
        <f t="shared" si="25"/>
        <v>18534</v>
      </c>
      <c r="O95" s="327">
        <f t="shared" si="25"/>
        <v>30854</v>
      </c>
      <c r="P95" s="327">
        <f t="shared" si="25"/>
        <v>13604</v>
      </c>
      <c r="Q95" s="327">
        <f t="shared" si="25"/>
        <v>26640</v>
      </c>
      <c r="R95" s="327">
        <f t="shared" si="25"/>
        <v>31242</v>
      </c>
      <c r="S95" s="327">
        <f t="shared" si="25"/>
        <v>17247</v>
      </c>
      <c r="T95" s="327">
        <f t="shared" si="25"/>
        <v>12739</v>
      </c>
      <c r="U95" s="327">
        <f t="shared" si="25"/>
        <v>10090</v>
      </c>
      <c r="V95" s="327">
        <f t="shared" si="25"/>
        <v>16486</v>
      </c>
      <c r="W95" s="327">
        <f t="shared" si="25"/>
        <v>18210</v>
      </c>
      <c r="X95" s="327">
        <f t="shared" si="25"/>
        <v>245957</v>
      </c>
      <c r="Y95" s="368">
        <f>SUM(Y80:Y94)</f>
        <v>20496.416666666668</v>
      </c>
    </row>
    <row r="96" spans="2:26" ht="15.75" thickBot="1" x14ac:dyDescent="0.3">
      <c r="B96" s="455" t="s">
        <v>474</v>
      </c>
      <c r="C96" s="456"/>
      <c r="D96" s="456"/>
      <c r="E96" s="456"/>
      <c r="F96" s="457"/>
      <c r="G96" s="326">
        <f>G40+G63+G77+G95</f>
        <v>245111</v>
      </c>
      <c r="H96" s="326">
        <f t="shared" ref="H96:W96" si="26">H40+H63+H77+H95</f>
        <v>253203</v>
      </c>
      <c r="I96" s="326">
        <f t="shared" si="26"/>
        <v>267736</v>
      </c>
      <c r="J96" s="326">
        <f t="shared" si="26"/>
        <v>339496</v>
      </c>
      <c r="K96" s="326">
        <f t="shared" si="26"/>
        <v>392102.08333333331</v>
      </c>
      <c r="L96" s="326">
        <f t="shared" si="26"/>
        <v>421612</v>
      </c>
      <c r="M96" s="326">
        <f t="shared" si="26"/>
        <v>370447</v>
      </c>
      <c r="N96" s="326">
        <f t="shared" si="26"/>
        <v>399594</v>
      </c>
      <c r="O96" s="326">
        <f t="shared" si="26"/>
        <v>377844</v>
      </c>
      <c r="P96" s="326">
        <f t="shared" si="26"/>
        <v>331112</v>
      </c>
      <c r="Q96" s="326">
        <f t="shared" si="26"/>
        <v>331169</v>
      </c>
      <c r="R96" s="326">
        <f t="shared" si="26"/>
        <v>327706</v>
      </c>
      <c r="S96" s="326">
        <f t="shared" si="26"/>
        <v>358899</v>
      </c>
      <c r="T96" s="326">
        <f t="shared" si="26"/>
        <v>391156</v>
      </c>
      <c r="U96" s="326">
        <f t="shared" si="26"/>
        <v>349513</v>
      </c>
      <c r="V96" s="326">
        <f t="shared" si="26"/>
        <v>320444</v>
      </c>
      <c r="W96" s="326">
        <f t="shared" si="26"/>
        <v>302716</v>
      </c>
      <c r="X96" s="326">
        <f>X40+X63+X77+X95</f>
        <v>4282212</v>
      </c>
      <c r="Y96" s="367">
        <f>Y40+Y63+Y77+Y95</f>
        <v>356851</v>
      </c>
      <c r="Z96" s="12"/>
    </row>
    <row r="97" spans="7:25" x14ac:dyDescent="0.25"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7:25" x14ac:dyDescent="0.25"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443"/>
      <c r="Y98" s="443"/>
    </row>
  </sheetData>
  <mergeCells count="11">
    <mergeCell ref="B96:F96"/>
    <mergeCell ref="X98:Y98"/>
    <mergeCell ref="B2:Y2"/>
    <mergeCell ref="B3:Y3"/>
    <mergeCell ref="B4:Y4"/>
    <mergeCell ref="B6:B7"/>
    <mergeCell ref="C6:D7"/>
    <mergeCell ref="E6:F7"/>
    <mergeCell ref="G6:W6"/>
    <mergeCell ref="X6:X7"/>
    <mergeCell ref="Y6:Y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B2:AB109"/>
  <sheetViews>
    <sheetView topLeftCell="H1" zoomScale="60" zoomScaleNormal="60" workbookViewId="0">
      <selection activeCell="B3" sqref="B3:AA3"/>
    </sheetView>
  </sheetViews>
  <sheetFormatPr defaultRowHeight="15" x14ac:dyDescent="0.25"/>
  <cols>
    <col min="2" max="2" width="4.5703125" customWidth="1"/>
    <col min="3" max="3" width="15.7109375" customWidth="1"/>
    <col min="4" max="4" width="22.28515625" customWidth="1"/>
    <col min="5" max="5" width="2.7109375" customWidth="1"/>
    <col min="6" max="6" width="33.28515625" customWidth="1"/>
    <col min="7" max="11" width="15.7109375" customWidth="1"/>
    <col min="12" max="13" width="14.85546875" customWidth="1"/>
    <col min="14" max="21" width="15.5703125" customWidth="1"/>
    <col min="22" max="22" width="18.7109375" bestFit="1" customWidth="1"/>
    <col min="23" max="23" width="15.5703125" customWidth="1"/>
    <col min="24" max="24" width="18.28515625" bestFit="1" customWidth="1"/>
    <col min="25" max="25" width="17.28515625" customWidth="1"/>
    <col min="26" max="26" width="15.5703125" customWidth="1"/>
    <col min="27" max="27" width="15.7109375" customWidth="1"/>
  </cols>
  <sheetData>
    <row r="2" spans="2:27" ht="15.75" x14ac:dyDescent="0.25">
      <c r="B2" s="423" t="s">
        <v>90</v>
      </c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423"/>
      <c r="AA2" s="423"/>
    </row>
    <row r="3" spans="2:27" x14ac:dyDescent="0.25">
      <c r="B3" s="392" t="s">
        <v>566</v>
      </c>
      <c r="C3" s="392"/>
      <c r="D3" s="392"/>
      <c r="E3" s="392"/>
      <c r="F3" s="392"/>
      <c r="G3" s="392"/>
      <c r="H3" s="392"/>
      <c r="I3" s="392"/>
      <c r="J3" s="392"/>
      <c r="K3" s="392"/>
      <c r="L3" s="392"/>
      <c r="M3" s="392"/>
      <c r="N3" s="392"/>
      <c r="O3" s="392"/>
      <c r="P3" s="392"/>
      <c r="Q3" s="392"/>
      <c r="R3" s="392"/>
      <c r="S3" s="392"/>
      <c r="T3" s="392"/>
      <c r="U3" s="392"/>
      <c r="V3" s="392"/>
      <c r="W3" s="392"/>
      <c r="X3" s="392"/>
      <c r="Y3" s="392"/>
      <c r="Z3" s="392"/>
      <c r="AA3" s="392"/>
    </row>
    <row r="4" spans="2:27" ht="15.75" thickBot="1" x14ac:dyDescent="0.3">
      <c r="B4" s="450" t="s">
        <v>394</v>
      </c>
      <c r="C4" s="450"/>
      <c r="D4" s="450"/>
      <c r="E4" s="450"/>
      <c r="F4" s="450"/>
      <c r="G4" s="450"/>
      <c r="H4" s="450"/>
      <c r="I4" s="450"/>
      <c r="J4" s="450"/>
      <c r="K4" s="450"/>
      <c r="L4" s="450"/>
      <c r="M4" s="450"/>
      <c r="N4" s="450"/>
      <c r="O4" s="450"/>
      <c r="P4" s="450"/>
      <c r="Q4" s="450"/>
      <c r="R4" s="450"/>
      <c r="S4" s="450"/>
      <c r="T4" s="450"/>
      <c r="U4" s="450"/>
      <c r="V4" s="450"/>
      <c r="W4" s="450"/>
      <c r="X4" s="450"/>
      <c r="Y4" s="450"/>
      <c r="Z4" s="450"/>
      <c r="AA4" s="450"/>
    </row>
    <row r="5" spans="2:27" ht="16.5" thickTop="1" thickBot="1" x14ac:dyDescent="0.3"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2:27" ht="15.75" thickBot="1" x14ac:dyDescent="0.3">
      <c r="B6" s="444" t="s">
        <v>503</v>
      </c>
      <c r="C6" s="444" t="s">
        <v>397</v>
      </c>
      <c r="D6" s="445"/>
      <c r="E6" s="444" t="s">
        <v>398</v>
      </c>
      <c r="F6" s="448"/>
      <c r="G6" s="459" t="s">
        <v>5</v>
      </c>
      <c r="H6" s="458"/>
      <c r="I6" s="458"/>
      <c r="J6" s="458"/>
      <c r="K6" s="458"/>
      <c r="L6" s="458"/>
      <c r="M6" s="458"/>
      <c r="N6" s="458"/>
      <c r="O6" s="458"/>
      <c r="P6" s="458"/>
      <c r="Q6" s="458"/>
      <c r="R6" s="458"/>
      <c r="S6" s="458"/>
      <c r="T6" s="458"/>
      <c r="U6" s="458"/>
      <c r="V6" s="458"/>
      <c r="W6" s="458"/>
      <c r="X6" s="458"/>
      <c r="Y6" s="460"/>
      <c r="Z6" s="451" t="s">
        <v>469</v>
      </c>
      <c r="AA6" s="453" t="s">
        <v>470</v>
      </c>
    </row>
    <row r="7" spans="2:27" ht="15.75" thickBot="1" x14ac:dyDescent="0.3">
      <c r="B7" s="446"/>
      <c r="C7" s="446"/>
      <c r="D7" s="447"/>
      <c r="E7" s="446"/>
      <c r="F7" s="449"/>
      <c r="G7" s="378" t="s">
        <v>89</v>
      </c>
      <c r="H7" s="379" t="s">
        <v>138</v>
      </c>
      <c r="I7" s="380" t="s">
        <v>467</v>
      </c>
      <c r="J7" s="378" t="s">
        <v>493</v>
      </c>
      <c r="K7" s="381" t="s">
        <v>514</v>
      </c>
      <c r="L7" s="381" t="s">
        <v>531</v>
      </c>
      <c r="M7" s="381" t="s">
        <v>545</v>
      </c>
      <c r="N7" s="374" t="s">
        <v>546</v>
      </c>
      <c r="O7" s="374" t="s">
        <v>547</v>
      </c>
      <c r="P7" s="374" t="s">
        <v>548</v>
      </c>
      <c r="Q7" s="374" t="s">
        <v>549</v>
      </c>
      <c r="R7" s="374" t="s">
        <v>550</v>
      </c>
      <c r="S7" s="374" t="s">
        <v>551</v>
      </c>
      <c r="T7" s="374" t="s">
        <v>552</v>
      </c>
      <c r="U7" s="374" t="s">
        <v>553</v>
      </c>
      <c r="V7" s="374" t="s">
        <v>554</v>
      </c>
      <c r="W7" s="374" t="s">
        <v>555</v>
      </c>
      <c r="X7" s="374" t="s">
        <v>556</v>
      </c>
      <c r="Y7" s="374" t="s">
        <v>557</v>
      </c>
      <c r="Z7" s="452"/>
      <c r="AA7" s="454"/>
    </row>
    <row r="8" spans="2:27" x14ac:dyDescent="0.25">
      <c r="B8" s="296"/>
      <c r="C8" s="297"/>
      <c r="D8" s="298"/>
      <c r="E8" s="297"/>
      <c r="F8" s="298"/>
      <c r="G8" s="318"/>
      <c r="H8" s="318"/>
      <c r="I8" s="318"/>
      <c r="J8" s="318"/>
      <c r="K8" s="352"/>
      <c r="L8" s="352"/>
      <c r="M8" s="375"/>
      <c r="N8" s="344"/>
      <c r="O8" s="344"/>
      <c r="P8" s="344"/>
      <c r="Q8" s="344"/>
      <c r="R8" s="344"/>
      <c r="S8" s="344"/>
      <c r="T8" s="344"/>
      <c r="U8" s="352"/>
      <c r="V8" s="375"/>
      <c r="W8" s="344"/>
      <c r="X8" s="344"/>
      <c r="Y8" s="358"/>
      <c r="Z8" s="328"/>
      <c r="AA8" s="328"/>
    </row>
    <row r="9" spans="2:27" x14ac:dyDescent="0.25">
      <c r="B9" s="299">
        <v>1</v>
      </c>
      <c r="C9" s="300" t="s">
        <v>399</v>
      </c>
      <c r="D9" s="387" t="s">
        <v>418</v>
      </c>
      <c r="E9" s="309" t="s">
        <v>401</v>
      </c>
      <c r="F9" s="301"/>
      <c r="G9" s="319"/>
      <c r="H9" s="319"/>
      <c r="I9" s="319"/>
      <c r="J9" s="319"/>
      <c r="K9" s="319"/>
      <c r="L9" s="319"/>
      <c r="M9" s="337"/>
      <c r="N9" s="345"/>
      <c r="O9" s="345"/>
      <c r="P9" s="345"/>
      <c r="Q9" s="345"/>
      <c r="R9" s="345"/>
      <c r="S9" s="345"/>
      <c r="T9" s="345"/>
      <c r="U9" s="319"/>
      <c r="V9" s="337"/>
      <c r="W9" s="345"/>
      <c r="X9" s="319"/>
      <c r="Y9" s="382"/>
      <c r="Z9" s="329"/>
      <c r="AA9" s="329"/>
    </row>
    <row r="10" spans="2:27" x14ac:dyDescent="0.25">
      <c r="B10" s="299"/>
      <c r="C10" s="300" t="s">
        <v>402</v>
      </c>
      <c r="D10" s="387" t="s">
        <v>543</v>
      </c>
      <c r="E10" s="300"/>
      <c r="F10" s="301" t="s">
        <v>404</v>
      </c>
      <c r="G10" s="320">
        <v>0</v>
      </c>
      <c r="H10" s="320">
        <v>111</v>
      </c>
      <c r="I10" s="320">
        <v>310</v>
      </c>
      <c r="J10" s="320">
        <v>817</v>
      </c>
      <c r="K10" s="320">
        <v>2365.6666666666665</v>
      </c>
      <c r="L10" s="383">
        <v>3345.6666666666665</v>
      </c>
      <c r="M10" s="385">
        <v>2817.4166666666665</v>
      </c>
      <c r="N10" s="320">
        <v>2425</v>
      </c>
      <c r="O10" s="320">
        <v>1410</v>
      </c>
      <c r="P10" s="320">
        <v>595</v>
      </c>
      <c r="Q10" s="320">
        <v>2820</v>
      </c>
      <c r="R10" s="320">
        <v>2524</v>
      </c>
      <c r="S10" s="320">
        <v>3190</v>
      </c>
      <c r="T10" s="320">
        <v>4316</v>
      </c>
      <c r="U10" s="320">
        <v>1580</v>
      </c>
      <c r="V10" s="320">
        <v>470</v>
      </c>
      <c r="W10" s="320">
        <v>518</v>
      </c>
      <c r="X10" s="320">
        <v>0</v>
      </c>
      <c r="Y10" s="390">
        <v>300</v>
      </c>
      <c r="Z10" s="329">
        <f>SUM(N10:Y10)</f>
        <v>20148</v>
      </c>
      <c r="AA10" s="329">
        <f>Z10/12</f>
        <v>1679</v>
      </c>
    </row>
    <row r="11" spans="2:27" x14ac:dyDescent="0.25">
      <c r="B11" s="299"/>
      <c r="C11" s="300"/>
      <c r="D11" s="301"/>
      <c r="E11" s="300"/>
      <c r="F11" s="301" t="s">
        <v>405</v>
      </c>
      <c r="G11" s="320">
        <v>17169</v>
      </c>
      <c r="H11" s="320">
        <v>12906</v>
      </c>
      <c r="I11" s="320">
        <v>15554</v>
      </c>
      <c r="J11" s="320">
        <v>13094</v>
      </c>
      <c r="K11" s="320">
        <v>10871</v>
      </c>
      <c r="L11" s="384">
        <v>7470.666666666667</v>
      </c>
      <c r="M11" s="385">
        <v>5540.583333333333</v>
      </c>
      <c r="N11" s="320">
        <v>4251</v>
      </c>
      <c r="O11" s="320">
        <v>4292</v>
      </c>
      <c r="P11" s="320">
        <v>4047</v>
      </c>
      <c r="Q11" s="320">
        <v>3183</v>
      </c>
      <c r="R11" s="320">
        <v>3393</v>
      </c>
      <c r="S11" s="320">
        <v>2330</v>
      </c>
      <c r="T11" s="320">
        <v>2369</v>
      </c>
      <c r="U11" s="320">
        <v>3267</v>
      </c>
      <c r="V11" s="320">
        <v>3976</v>
      </c>
      <c r="W11" s="320">
        <v>1473</v>
      </c>
      <c r="X11" s="320">
        <v>2927</v>
      </c>
      <c r="Y11" s="320">
        <v>3576</v>
      </c>
      <c r="Z11" s="329">
        <f t="shared" ref="Z11:Z16" si="0">SUM(N11:Y11)</f>
        <v>39084</v>
      </c>
      <c r="AA11" s="329">
        <f t="shared" ref="AA11:AA16" si="1">Z11/12</f>
        <v>3257</v>
      </c>
    </row>
    <row r="12" spans="2:27" x14ac:dyDescent="0.25">
      <c r="B12" s="299"/>
      <c r="C12" s="300"/>
      <c r="D12" s="301"/>
      <c r="E12" s="300"/>
      <c r="F12" s="301" t="s">
        <v>406</v>
      </c>
      <c r="G12" s="320">
        <v>2438</v>
      </c>
      <c r="H12" s="320">
        <v>5218</v>
      </c>
      <c r="I12" s="320">
        <v>8158</v>
      </c>
      <c r="J12" s="320">
        <v>10717</v>
      </c>
      <c r="K12" s="320">
        <v>9911.8333333333339</v>
      </c>
      <c r="L12" s="384">
        <v>8695.75</v>
      </c>
      <c r="M12" s="377">
        <v>6002.166666666667</v>
      </c>
      <c r="N12" s="320">
        <v>5985</v>
      </c>
      <c r="O12" s="320">
        <v>6206</v>
      </c>
      <c r="P12" s="320">
        <v>2050</v>
      </c>
      <c r="Q12" s="320">
        <v>1621</v>
      </c>
      <c r="R12" s="320">
        <v>4045</v>
      </c>
      <c r="S12" s="320">
        <v>5055</v>
      </c>
      <c r="T12" s="320">
        <v>6170</v>
      </c>
      <c r="U12" s="320">
        <v>3644</v>
      </c>
      <c r="V12" s="320">
        <v>3792</v>
      </c>
      <c r="W12" s="320">
        <v>800</v>
      </c>
      <c r="X12" s="320">
        <v>2055</v>
      </c>
      <c r="Y12" s="320">
        <v>2827</v>
      </c>
      <c r="Z12" s="329">
        <f t="shared" si="0"/>
        <v>44250</v>
      </c>
      <c r="AA12" s="329">
        <f t="shared" si="1"/>
        <v>3687.5</v>
      </c>
    </row>
    <row r="13" spans="2:27" x14ac:dyDescent="0.25">
      <c r="B13" s="299"/>
      <c r="C13" s="300"/>
      <c r="D13" s="301"/>
      <c r="E13" s="300"/>
      <c r="F13" s="301" t="s">
        <v>407</v>
      </c>
      <c r="G13" s="320">
        <v>0</v>
      </c>
      <c r="H13" s="320">
        <v>3310</v>
      </c>
      <c r="I13" s="320">
        <v>5277</v>
      </c>
      <c r="J13" s="320">
        <v>6916</v>
      </c>
      <c r="K13" s="320">
        <v>9123.4166666666661</v>
      </c>
      <c r="L13" s="384">
        <v>6485.916666666667</v>
      </c>
      <c r="M13" s="384">
        <v>5244.166666666667</v>
      </c>
      <c r="N13" s="320">
        <v>2676</v>
      </c>
      <c r="O13" s="320">
        <v>2653</v>
      </c>
      <c r="P13" s="320">
        <v>2580</v>
      </c>
      <c r="Q13" s="320">
        <v>1968</v>
      </c>
      <c r="R13" s="320">
        <v>2493</v>
      </c>
      <c r="S13" s="320">
        <v>1171</v>
      </c>
      <c r="T13" s="320">
        <v>2789</v>
      </c>
      <c r="U13" s="320">
        <v>3905</v>
      </c>
      <c r="V13" s="320">
        <v>1230</v>
      </c>
      <c r="W13" s="320">
        <v>450</v>
      </c>
      <c r="X13" s="320">
        <v>1440</v>
      </c>
      <c r="Y13" s="320">
        <v>1981</v>
      </c>
      <c r="Z13" s="329">
        <f t="shared" si="0"/>
        <v>25336</v>
      </c>
      <c r="AA13" s="329">
        <f t="shared" si="1"/>
        <v>2111.3333333333335</v>
      </c>
    </row>
    <row r="14" spans="2:27" x14ac:dyDescent="0.25">
      <c r="B14" s="299"/>
      <c r="C14" s="300"/>
      <c r="D14" s="301"/>
      <c r="E14" s="300"/>
      <c r="F14" s="301" t="s">
        <v>408</v>
      </c>
      <c r="G14" s="320">
        <v>11736</v>
      </c>
      <c r="H14" s="320">
        <v>7021</v>
      </c>
      <c r="I14" s="320">
        <v>6964</v>
      </c>
      <c r="J14" s="320">
        <v>9029</v>
      </c>
      <c r="K14" s="320">
        <v>10470.75</v>
      </c>
      <c r="L14" s="385">
        <v>9252.6666666666661</v>
      </c>
      <c r="M14" s="385">
        <v>7958.916666666667</v>
      </c>
      <c r="N14" s="320">
        <v>7716</v>
      </c>
      <c r="O14" s="320">
        <v>7483</v>
      </c>
      <c r="P14" s="320">
        <v>5379</v>
      </c>
      <c r="Q14" s="320">
        <v>4140</v>
      </c>
      <c r="R14" s="320">
        <v>8151</v>
      </c>
      <c r="S14" s="320">
        <v>4061</v>
      </c>
      <c r="T14" s="320">
        <v>7220</v>
      </c>
      <c r="U14" s="320">
        <v>5965</v>
      </c>
      <c r="V14" s="320">
        <v>3975</v>
      </c>
      <c r="W14" s="320">
        <v>4722</v>
      </c>
      <c r="X14" s="320">
        <v>7036</v>
      </c>
      <c r="Y14" s="320">
        <v>3220</v>
      </c>
      <c r="Z14" s="329">
        <f t="shared" si="0"/>
        <v>69068</v>
      </c>
      <c r="AA14" s="329">
        <f t="shared" si="1"/>
        <v>5755.666666666667</v>
      </c>
    </row>
    <row r="15" spans="2:27" x14ac:dyDescent="0.25">
      <c r="B15" s="299"/>
      <c r="C15" s="300"/>
      <c r="D15" s="301"/>
      <c r="E15" s="300"/>
      <c r="F15" s="301" t="s">
        <v>437</v>
      </c>
      <c r="G15" s="322">
        <v>9591</v>
      </c>
      <c r="H15" s="322">
        <v>7185</v>
      </c>
      <c r="I15" s="322">
        <v>6736</v>
      </c>
      <c r="J15" s="322">
        <v>10324</v>
      </c>
      <c r="K15" s="322">
        <v>12034.75</v>
      </c>
      <c r="L15" s="384">
        <v>10144.083333333334</v>
      </c>
      <c r="M15" s="385">
        <v>7741.75</v>
      </c>
      <c r="N15" s="320">
        <v>8570</v>
      </c>
      <c r="O15" s="320">
        <v>7899</v>
      </c>
      <c r="P15" s="320">
        <v>3354</v>
      </c>
      <c r="Q15" s="320">
        <v>4110</v>
      </c>
      <c r="R15" s="320">
        <v>7299</v>
      </c>
      <c r="S15" s="320">
        <v>4348</v>
      </c>
      <c r="T15" s="320">
        <v>4138</v>
      </c>
      <c r="U15" s="320">
        <v>6336</v>
      </c>
      <c r="V15" s="320">
        <v>3684</v>
      </c>
      <c r="W15" s="320">
        <v>15965</v>
      </c>
      <c r="X15" s="320">
        <v>11382</v>
      </c>
      <c r="Y15" s="320">
        <v>3471</v>
      </c>
      <c r="Z15" s="329">
        <f t="shared" si="0"/>
        <v>80556</v>
      </c>
      <c r="AA15" s="329">
        <f t="shared" si="1"/>
        <v>6713</v>
      </c>
    </row>
    <row r="16" spans="2:27" ht="15.75" thickBot="1" x14ac:dyDescent="0.3">
      <c r="B16" s="299"/>
      <c r="C16" s="300"/>
      <c r="D16" s="301"/>
      <c r="E16" s="300"/>
      <c r="F16" s="301" t="s">
        <v>409</v>
      </c>
      <c r="G16" s="320">
        <v>0</v>
      </c>
      <c r="H16" s="320">
        <v>103</v>
      </c>
      <c r="I16" s="320">
        <v>294</v>
      </c>
      <c r="J16" s="320">
        <v>826</v>
      </c>
      <c r="K16" s="320">
        <v>1097.75</v>
      </c>
      <c r="L16" s="386">
        <v>903.91666666666663</v>
      </c>
      <c r="M16" s="377">
        <v>673.41666666666663</v>
      </c>
      <c r="N16" s="320">
        <v>170</v>
      </c>
      <c r="O16" s="320">
        <v>465</v>
      </c>
      <c r="P16" s="320">
        <v>153</v>
      </c>
      <c r="Q16" s="320">
        <v>300</v>
      </c>
      <c r="R16" s="320">
        <v>350</v>
      </c>
      <c r="S16" s="320">
        <v>170</v>
      </c>
      <c r="T16" s="320">
        <v>0</v>
      </c>
      <c r="U16" s="320">
        <v>75</v>
      </c>
      <c r="V16" s="320">
        <v>545</v>
      </c>
      <c r="W16" s="320">
        <v>20</v>
      </c>
      <c r="X16" s="320">
        <v>9</v>
      </c>
      <c r="Y16" s="320">
        <v>0</v>
      </c>
      <c r="Z16" s="329">
        <f t="shared" si="0"/>
        <v>2257</v>
      </c>
      <c r="AA16" s="329">
        <f t="shared" si="1"/>
        <v>188.08333333333334</v>
      </c>
    </row>
    <row r="17" spans="2:28" ht="15.75" thickBot="1" x14ac:dyDescent="0.3">
      <c r="B17" s="311"/>
      <c r="C17" s="312"/>
      <c r="D17" s="313"/>
      <c r="E17" s="312"/>
      <c r="F17" s="313"/>
      <c r="G17" s="321">
        <f>SUM(G10:G16)</f>
        <v>40934</v>
      </c>
      <c r="H17" s="321">
        <f t="shared" ref="H17:AA17" si="2">SUM(H10:H16)</f>
        <v>35854</v>
      </c>
      <c r="I17" s="321">
        <f t="shared" si="2"/>
        <v>43293</v>
      </c>
      <c r="J17" s="321">
        <f t="shared" si="2"/>
        <v>51723</v>
      </c>
      <c r="K17" s="321">
        <f t="shared" si="2"/>
        <v>55875.166666666664</v>
      </c>
      <c r="L17" s="321">
        <f t="shared" si="2"/>
        <v>46298.666666666672</v>
      </c>
      <c r="M17" s="321">
        <f t="shared" si="2"/>
        <v>35978.416666666664</v>
      </c>
      <c r="N17" s="321">
        <f>SUM(N10:N16)</f>
        <v>31793</v>
      </c>
      <c r="O17" s="321">
        <f t="shared" si="2"/>
        <v>30408</v>
      </c>
      <c r="P17" s="321">
        <f t="shared" si="2"/>
        <v>18158</v>
      </c>
      <c r="Q17" s="321">
        <f t="shared" si="2"/>
        <v>18142</v>
      </c>
      <c r="R17" s="321">
        <f t="shared" si="2"/>
        <v>28255</v>
      </c>
      <c r="S17" s="321">
        <f t="shared" si="2"/>
        <v>20325</v>
      </c>
      <c r="T17" s="321">
        <f t="shared" si="2"/>
        <v>27002</v>
      </c>
      <c r="U17" s="321">
        <f t="shared" si="2"/>
        <v>24772</v>
      </c>
      <c r="V17" s="321">
        <f t="shared" si="2"/>
        <v>17672</v>
      </c>
      <c r="W17" s="321">
        <f t="shared" si="2"/>
        <v>23948</v>
      </c>
      <c r="X17" s="321">
        <f t="shared" ref="X17:Y17" si="3">SUM(X10:X16)</f>
        <v>24849</v>
      </c>
      <c r="Y17" s="321">
        <f t="shared" si="3"/>
        <v>15375</v>
      </c>
      <c r="Z17" s="330">
        <f t="shared" si="2"/>
        <v>280699</v>
      </c>
      <c r="AA17" s="330">
        <f t="shared" si="2"/>
        <v>23391.583333333332</v>
      </c>
    </row>
    <row r="18" spans="2:28" x14ac:dyDescent="0.25">
      <c r="B18" s="296"/>
      <c r="C18" s="297"/>
      <c r="D18" s="298"/>
      <c r="E18" s="297"/>
      <c r="F18" s="298"/>
      <c r="G18" s="322"/>
      <c r="H18" s="322"/>
      <c r="I18" s="322"/>
      <c r="J18" s="322"/>
      <c r="K18" s="322"/>
      <c r="L18" s="322"/>
      <c r="M18" s="322"/>
      <c r="N18" s="322"/>
      <c r="O18" s="322"/>
      <c r="P18" s="322"/>
      <c r="Q18" s="322"/>
      <c r="R18" s="322"/>
      <c r="S18" s="322"/>
      <c r="T18" s="322"/>
      <c r="U18" s="322"/>
      <c r="V18" s="322"/>
      <c r="W18" s="322"/>
      <c r="X18" s="322"/>
      <c r="Y18" s="322"/>
      <c r="Z18" s="328"/>
      <c r="AA18" s="328"/>
    </row>
    <row r="19" spans="2:28" x14ac:dyDescent="0.25">
      <c r="B19" s="299">
        <v>2</v>
      </c>
      <c r="C19" s="300" t="s">
        <v>399</v>
      </c>
      <c r="D19" s="301" t="s">
        <v>412</v>
      </c>
      <c r="E19" s="309" t="s">
        <v>542</v>
      </c>
      <c r="F19" s="301"/>
      <c r="G19" s="319"/>
      <c r="H19" s="319"/>
      <c r="I19" s="319"/>
      <c r="J19" s="319"/>
      <c r="K19" s="319"/>
      <c r="L19" s="319"/>
      <c r="M19" s="319"/>
      <c r="N19" s="319"/>
      <c r="O19" s="319"/>
      <c r="P19" s="319"/>
      <c r="Q19" s="319"/>
      <c r="R19" s="319"/>
      <c r="S19" s="319"/>
      <c r="T19" s="319"/>
      <c r="U19" s="319"/>
      <c r="V19" s="319"/>
      <c r="W19" s="319"/>
      <c r="X19" s="319"/>
      <c r="Y19" s="319"/>
      <c r="Z19" s="329"/>
      <c r="AA19" s="329"/>
    </row>
    <row r="20" spans="2:28" x14ac:dyDescent="0.25">
      <c r="B20" s="299"/>
      <c r="C20" s="300" t="s">
        <v>402</v>
      </c>
      <c r="D20" s="301"/>
      <c r="E20" s="300"/>
      <c r="F20" s="301" t="s">
        <v>131</v>
      </c>
      <c r="G20" s="320">
        <v>0</v>
      </c>
      <c r="H20" s="320">
        <v>4126</v>
      </c>
      <c r="I20" s="320">
        <v>17782</v>
      </c>
      <c r="J20" s="320">
        <v>13746</v>
      </c>
      <c r="K20" s="320">
        <v>16055.333333333334</v>
      </c>
      <c r="L20" s="320">
        <v>14879.25</v>
      </c>
      <c r="M20" s="320">
        <v>16253.5</v>
      </c>
      <c r="N20" s="320">
        <v>9318</v>
      </c>
      <c r="O20" s="320">
        <v>10155</v>
      </c>
      <c r="P20" s="320">
        <v>7720</v>
      </c>
      <c r="Q20" s="319">
        <v>4055</v>
      </c>
      <c r="R20" s="319">
        <v>9050</v>
      </c>
      <c r="S20" s="319">
        <v>15395</v>
      </c>
      <c r="T20" s="319">
        <v>12741</v>
      </c>
      <c r="U20" s="319">
        <v>6540</v>
      </c>
      <c r="V20" s="319">
        <v>5031</v>
      </c>
      <c r="W20" s="319">
        <v>7541</v>
      </c>
      <c r="X20" s="319">
        <v>681</v>
      </c>
      <c r="Y20" s="319">
        <v>2103</v>
      </c>
      <c r="Z20" s="329">
        <f t="shared" ref="Z20:Z27" si="4">SUM(N20:Y20)</f>
        <v>90330</v>
      </c>
      <c r="AA20" s="329">
        <f t="shared" ref="AA20:AA27" si="5">Z20/12</f>
        <v>7527.5</v>
      </c>
    </row>
    <row r="21" spans="2:28" x14ac:dyDescent="0.25">
      <c r="B21" s="299"/>
      <c r="C21" s="300"/>
      <c r="D21" s="301"/>
      <c r="E21" s="300"/>
      <c r="F21" s="301" t="s">
        <v>320</v>
      </c>
      <c r="G21" s="320">
        <v>0</v>
      </c>
      <c r="H21" s="320">
        <v>0</v>
      </c>
      <c r="I21" s="320">
        <v>8995</v>
      </c>
      <c r="J21" s="320">
        <v>35001</v>
      </c>
      <c r="K21" s="320">
        <v>32913.25</v>
      </c>
      <c r="L21" s="320">
        <v>30127.833333333332</v>
      </c>
      <c r="M21" s="320">
        <v>17482.083333333332</v>
      </c>
      <c r="N21" s="320">
        <v>8302</v>
      </c>
      <c r="O21" s="320">
        <v>10072</v>
      </c>
      <c r="P21" s="320">
        <v>1147</v>
      </c>
      <c r="Q21" s="319">
        <v>7613</v>
      </c>
      <c r="R21" s="319">
        <v>4650</v>
      </c>
      <c r="S21" s="319">
        <v>4357</v>
      </c>
      <c r="T21" s="319">
        <v>6214</v>
      </c>
      <c r="U21" s="319">
        <v>6350</v>
      </c>
      <c r="V21" s="319">
        <v>9479</v>
      </c>
      <c r="W21" s="319">
        <v>2130</v>
      </c>
      <c r="X21" s="319">
        <v>16065</v>
      </c>
      <c r="Y21" s="319">
        <v>23194</v>
      </c>
      <c r="Z21" s="329">
        <f t="shared" si="4"/>
        <v>99573</v>
      </c>
      <c r="AA21" s="329">
        <f t="shared" si="5"/>
        <v>8297.75</v>
      </c>
    </row>
    <row r="22" spans="2:28" x14ac:dyDescent="0.25">
      <c r="B22" s="299"/>
      <c r="C22" s="300"/>
      <c r="D22" s="301"/>
      <c r="E22" s="300"/>
      <c r="F22" s="301" t="s">
        <v>414</v>
      </c>
      <c r="G22" s="320">
        <v>0</v>
      </c>
      <c r="H22" s="320">
        <v>136</v>
      </c>
      <c r="I22" s="320">
        <v>303</v>
      </c>
      <c r="J22" s="320">
        <v>156</v>
      </c>
      <c r="K22" s="320">
        <v>50</v>
      </c>
      <c r="L22" s="320">
        <v>463.66666666666669</v>
      </c>
      <c r="M22" s="320">
        <v>940.08333333333337</v>
      </c>
      <c r="N22" s="320">
        <v>281</v>
      </c>
      <c r="O22" s="320">
        <v>430</v>
      </c>
      <c r="P22" s="320">
        <v>0</v>
      </c>
      <c r="Q22" s="319">
        <v>1650</v>
      </c>
      <c r="R22" s="319">
        <v>200</v>
      </c>
      <c r="S22" s="319">
        <v>0</v>
      </c>
      <c r="T22" s="319">
        <v>0</v>
      </c>
      <c r="U22" s="319">
        <v>485</v>
      </c>
      <c r="V22" s="319">
        <v>235</v>
      </c>
      <c r="W22" s="319">
        <v>0</v>
      </c>
      <c r="X22" s="319">
        <v>0</v>
      </c>
      <c r="Y22" s="319">
        <v>0</v>
      </c>
      <c r="Z22" s="329">
        <f t="shared" si="4"/>
        <v>3281</v>
      </c>
      <c r="AA22" s="329">
        <f t="shared" si="5"/>
        <v>273.41666666666669</v>
      </c>
    </row>
    <row r="23" spans="2:28" x14ac:dyDescent="0.25">
      <c r="B23" s="299"/>
      <c r="C23" s="300"/>
      <c r="D23" s="301"/>
      <c r="E23" s="300"/>
      <c r="F23" s="301" t="s">
        <v>528</v>
      </c>
      <c r="G23" s="320">
        <v>0</v>
      </c>
      <c r="H23" s="320">
        <v>0</v>
      </c>
      <c r="I23" s="320">
        <v>0</v>
      </c>
      <c r="J23" s="320">
        <v>0</v>
      </c>
      <c r="K23" s="320">
        <v>0</v>
      </c>
      <c r="L23" s="320">
        <v>37.5</v>
      </c>
      <c r="M23" s="320">
        <v>45</v>
      </c>
      <c r="N23" s="320">
        <v>0</v>
      </c>
      <c r="O23" s="320">
        <v>0</v>
      </c>
      <c r="P23" s="320">
        <v>0</v>
      </c>
      <c r="Q23" s="319">
        <v>0</v>
      </c>
      <c r="R23" s="319">
        <v>0</v>
      </c>
      <c r="S23" s="319">
        <v>0</v>
      </c>
      <c r="T23" s="319">
        <v>0</v>
      </c>
      <c r="U23" s="319">
        <v>0</v>
      </c>
      <c r="V23" s="319">
        <v>0</v>
      </c>
      <c r="W23" s="319">
        <v>0</v>
      </c>
      <c r="X23" s="319">
        <v>0</v>
      </c>
      <c r="Y23" s="319">
        <v>0</v>
      </c>
      <c r="Z23" s="329">
        <f t="shared" si="4"/>
        <v>0</v>
      </c>
      <c r="AA23" s="329">
        <f t="shared" si="5"/>
        <v>0</v>
      </c>
    </row>
    <row r="24" spans="2:28" x14ac:dyDescent="0.25">
      <c r="B24" s="299"/>
      <c r="C24" s="300"/>
      <c r="D24" s="301"/>
      <c r="E24" s="300"/>
      <c r="F24" s="301" t="s">
        <v>125</v>
      </c>
      <c r="G24" s="320">
        <v>12652</v>
      </c>
      <c r="H24" s="320">
        <v>14850</v>
      </c>
      <c r="I24" s="320">
        <v>15131</v>
      </c>
      <c r="J24" s="320">
        <v>23958</v>
      </c>
      <c r="K24" s="320">
        <v>31672.333333333332</v>
      </c>
      <c r="L24" s="320">
        <v>34323.5</v>
      </c>
      <c r="M24" s="320">
        <v>18963.333333333332</v>
      </c>
      <c r="N24" s="320">
        <v>14411</v>
      </c>
      <c r="O24" s="320">
        <v>10657</v>
      </c>
      <c r="P24" s="320">
        <v>10835</v>
      </c>
      <c r="Q24" s="319">
        <v>7655</v>
      </c>
      <c r="R24" s="319">
        <v>13045</v>
      </c>
      <c r="S24" s="319">
        <v>14449</v>
      </c>
      <c r="T24" s="319">
        <v>11066</v>
      </c>
      <c r="U24" s="319">
        <v>9585</v>
      </c>
      <c r="V24" s="319">
        <v>7175</v>
      </c>
      <c r="W24" s="319">
        <v>2000</v>
      </c>
      <c r="X24" s="319">
        <v>6305</v>
      </c>
      <c r="Y24" s="319">
        <v>6481</v>
      </c>
      <c r="Z24" s="329">
        <f t="shared" si="4"/>
        <v>113664</v>
      </c>
      <c r="AA24" s="329">
        <f t="shared" si="5"/>
        <v>9472</v>
      </c>
    </row>
    <row r="25" spans="2:28" x14ac:dyDescent="0.25">
      <c r="B25" s="299"/>
      <c r="C25" s="300"/>
      <c r="D25" s="301"/>
      <c r="E25" s="300"/>
      <c r="F25" s="301" t="s">
        <v>415</v>
      </c>
      <c r="G25" s="320">
        <v>7594</v>
      </c>
      <c r="H25" s="320">
        <v>3730</v>
      </c>
      <c r="I25" s="320">
        <v>1052</v>
      </c>
      <c r="J25" s="320">
        <v>899</v>
      </c>
      <c r="K25" s="320">
        <v>545.33333333333337</v>
      </c>
      <c r="L25" s="320">
        <v>1767.3333333333333</v>
      </c>
      <c r="M25" s="320">
        <v>803.33333333333337</v>
      </c>
      <c r="N25" s="320">
        <v>0</v>
      </c>
      <c r="O25" s="320">
        <v>300</v>
      </c>
      <c r="P25" s="320">
        <v>0</v>
      </c>
      <c r="Q25" s="319">
        <v>0</v>
      </c>
      <c r="R25" s="319">
        <v>100</v>
      </c>
      <c r="S25" s="319">
        <v>95</v>
      </c>
      <c r="T25" s="319">
        <v>0</v>
      </c>
      <c r="U25" s="319">
        <v>0</v>
      </c>
      <c r="V25" s="319">
        <v>478</v>
      </c>
      <c r="W25" s="319">
        <v>500</v>
      </c>
      <c r="X25" s="319">
        <v>0</v>
      </c>
      <c r="Y25" s="319">
        <v>0</v>
      </c>
      <c r="Z25" s="329">
        <f t="shared" si="4"/>
        <v>1473</v>
      </c>
      <c r="AA25" s="329">
        <f t="shared" si="5"/>
        <v>122.75</v>
      </c>
    </row>
    <row r="26" spans="2:28" x14ac:dyDescent="0.25">
      <c r="B26" s="302"/>
      <c r="C26" s="303"/>
      <c r="D26" s="304"/>
      <c r="E26" s="303"/>
      <c r="F26" s="304" t="s">
        <v>416</v>
      </c>
      <c r="G26" s="323">
        <v>0</v>
      </c>
      <c r="H26" s="323">
        <v>816</v>
      </c>
      <c r="I26" s="323">
        <v>1231</v>
      </c>
      <c r="J26" s="323">
        <v>2519</v>
      </c>
      <c r="K26" s="323">
        <v>3520.9166666666665</v>
      </c>
      <c r="L26" s="320">
        <v>3930.6666666666665</v>
      </c>
      <c r="M26" s="320">
        <v>3765</v>
      </c>
      <c r="N26" s="320">
        <v>2851</v>
      </c>
      <c r="O26" s="320">
        <v>1834</v>
      </c>
      <c r="P26" s="320">
        <v>1834</v>
      </c>
      <c r="Q26" s="319">
        <v>1016</v>
      </c>
      <c r="R26" s="319">
        <v>1371</v>
      </c>
      <c r="S26" s="319">
        <v>1345</v>
      </c>
      <c r="T26" s="319">
        <v>1425</v>
      </c>
      <c r="U26" s="319">
        <v>2520</v>
      </c>
      <c r="V26" s="319">
        <v>388</v>
      </c>
      <c r="W26" s="319">
        <v>1000</v>
      </c>
      <c r="X26" s="319">
        <v>771</v>
      </c>
      <c r="Y26" s="319">
        <v>1050</v>
      </c>
      <c r="Z26" s="329">
        <f t="shared" si="4"/>
        <v>17405</v>
      </c>
      <c r="AA26" s="329">
        <f t="shared" si="5"/>
        <v>1450.4166666666667</v>
      </c>
    </row>
    <row r="27" spans="2:28" ht="15.75" thickBot="1" x14ac:dyDescent="0.3">
      <c r="B27" s="302"/>
      <c r="C27" s="303"/>
      <c r="D27" s="304"/>
      <c r="E27" s="303"/>
      <c r="F27" s="304" t="s">
        <v>454</v>
      </c>
      <c r="G27" s="323">
        <v>369</v>
      </c>
      <c r="H27" s="323">
        <v>670</v>
      </c>
      <c r="I27" s="323">
        <v>1278</v>
      </c>
      <c r="J27" s="323">
        <v>2068</v>
      </c>
      <c r="K27" s="323">
        <v>3175</v>
      </c>
      <c r="L27" s="320">
        <v>390</v>
      </c>
      <c r="M27" s="320">
        <v>407.58333333333331</v>
      </c>
      <c r="N27" s="320">
        <v>625</v>
      </c>
      <c r="O27" s="320">
        <v>540</v>
      </c>
      <c r="P27" s="320">
        <v>475</v>
      </c>
      <c r="Q27" s="319">
        <v>55</v>
      </c>
      <c r="R27" s="319">
        <v>162</v>
      </c>
      <c r="S27" s="319">
        <v>80</v>
      </c>
      <c r="T27" s="319">
        <v>365</v>
      </c>
      <c r="U27" s="319">
        <v>170</v>
      </c>
      <c r="V27" s="319">
        <v>615</v>
      </c>
      <c r="W27" s="319">
        <v>245</v>
      </c>
      <c r="X27" s="319">
        <v>185</v>
      </c>
      <c r="Y27" s="319">
        <v>0</v>
      </c>
      <c r="Z27" s="329">
        <f t="shared" si="4"/>
        <v>3517</v>
      </c>
      <c r="AA27" s="329">
        <f t="shared" si="5"/>
        <v>293.08333333333331</v>
      </c>
    </row>
    <row r="28" spans="2:28" ht="15.75" thickBot="1" x14ac:dyDescent="0.3">
      <c r="B28" s="311"/>
      <c r="C28" s="312"/>
      <c r="D28" s="313"/>
      <c r="E28" s="312"/>
      <c r="F28" s="313"/>
      <c r="G28" s="321">
        <f t="shared" ref="G28:Z28" si="6">SUM(G20:G27)</f>
        <v>20615</v>
      </c>
      <c r="H28" s="321">
        <f t="shared" si="6"/>
        <v>24328</v>
      </c>
      <c r="I28" s="321">
        <f t="shared" si="6"/>
        <v>45772</v>
      </c>
      <c r="J28" s="321">
        <f t="shared" si="6"/>
        <v>78347</v>
      </c>
      <c r="K28" s="321">
        <f t="shared" si="6"/>
        <v>87932.166666666672</v>
      </c>
      <c r="L28" s="321">
        <f t="shared" si="6"/>
        <v>85919.75</v>
      </c>
      <c r="M28" s="321">
        <f t="shared" si="6"/>
        <v>58659.916666666672</v>
      </c>
      <c r="N28" s="321">
        <f>SUM(N20:N27)</f>
        <v>35788</v>
      </c>
      <c r="O28" s="321">
        <f t="shared" si="6"/>
        <v>33988</v>
      </c>
      <c r="P28" s="321">
        <f t="shared" si="6"/>
        <v>22011</v>
      </c>
      <c r="Q28" s="321">
        <f t="shared" si="6"/>
        <v>22044</v>
      </c>
      <c r="R28" s="321">
        <f t="shared" si="6"/>
        <v>28578</v>
      </c>
      <c r="S28" s="321">
        <f t="shared" si="6"/>
        <v>35721</v>
      </c>
      <c r="T28" s="321">
        <f t="shared" ref="T28:Y28" si="7">SUM(T20:T27)</f>
        <v>31811</v>
      </c>
      <c r="U28" s="321">
        <f t="shared" si="7"/>
        <v>25650</v>
      </c>
      <c r="V28" s="321">
        <f t="shared" si="7"/>
        <v>23401</v>
      </c>
      <c r="W28" s="321">
        <f t="shared" si="7"/>
        <v>13416</v>
      </c>
      <c r="X28" s="321">
        <f t="shared" si="7"/>
        <v>24007</v>
      </c>
      <c r="Y28" s="321">
        <f t="shared" si="7"/>
        <v>32828</v>
      </c>
      <c r="Z28" s="330">
        <f t="shared" si="6"/>
        <v>329243</v>
      </c>
      <c r="AA28" s="330">
        <f>SUM(AA20:AA27)</f>
        <v>27436.916666666664</v>
      </c>
    </row>
    <row r="29" spans="2:28" ht="15.75" thickBot="1" x14ac:dyDescent="0.3">
      <c r="B29" s="314"/>
      <c r="C29" s="333"/>
      <c r="D29" s="334"/>
      <c r="E29" s="333"/>
      <c r="F29" s="334"/>
      <c r="G29" s="335">
        <f t="shared" ref="G29:AA29" si="8">G17+G28</f>
        <v>61549</v>
      </c>
      <c r="H29" s="335">
        <f t="shared" si="8"/>
        <v>60182</v>
      </c>
      <c r="I29" s="335">
        <f t="shared" si="8"/>
        <v>89065</v>
      </c>
      <c r="J29" s="335">
        <f t="shared" si="8"/>
        <v>130070</v>
      </c>
      <c r="K29" s="335">
        <f t="shared" si="8"/>
        <v>143807.33333333334</v>
      </c>
      <c r="L29" s="335">
        <f t="shared" si="8"/>
        <v>132218.41666666669</v>
      </c>
      <c r="M29" s="335">
        <f t="shared" si="8"/>
        <v>94638.333333333343</v>
      </c>
      <c r="N29" s="335">
        <f t="shared" si="8"/>
        <v>67581</v>
      </c>
      <c r="O29" s="335">
        <f t="shared" si="8"/>
        <v>64396</v>
      </c>
      <c r="P29" s="335">
        <f t="shared" si="8"/>
        <v>40169</v>
      </c>
      <c r="Q29" s="335">
        <f t="shared" si="8"/>
        <v>40186</v>
      </c>
      <c r="R29" s="335">
        <f t="shared" si="8"/>
        <v>56833</v>
      </c>
      <c r="S29" s="335">
        <f t="shared" si="8"/>
        <v>56046</v>
      </c>
      <c r="T29" s="335">
        <f t="shared" si="8"/>
        <v>58813</v>
      </c>
      <c r="U29" s="335">
        <f t="shared" si="8"/>
        <v>50422</v>
      </c>
      <c r="V29" s="335">
        <f t="shared" si="8"/>
        <v>41073</v>
      </c>
      <c r="W29" s="335">
        <f t="shared" si="8"/>
        <v>37364</v>
      </c>
      <c r="X29" s="335">
        <f t="shared" si="8"/>
        <v>48856</v>
      </c>
      <c r="Y29" s="335">
        <f t="shared" si="8"/>
        <v>48203</v>
      </c>
      <c r="Z29" s="335">
        <f t="shared" si="8"/>
        <v>609942</v>
      </c>
      <c r="AA29" s="335">
        <f t="shared" si="8"/>
        <v>50828.5</v>
      </c>
      <c r="AB29" s="12"/>
    </row>
    <row r="30" spans="2:28" x14ac:dyDescent="0.25">
      <c r="B30" s="296"/>
      <c r="C30" s="297"/>
      <c r="D30" s="298"/>
      <c r="E30" s="297"/>
      <c r="F30" s="298"/>
      <c r="G30" s="318"/>
      <c r="H30" s="318"/>
      <c r="I30" s="318"/>
      <c r="J30" s="318"/>
      <c r="K30" s="318"/>
      <c r="L30" s="318"/>
      <c r="M30" s="318"/>
      <c r="N30" s="318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28"/>
      <c r="AA30" s="328"/>
    </row>
    <row r="31" spans="2:28" x14ac:dyDescent="0.25">
      <c r="B31" s="299">
        <v>3</v>
      </c>
      <c r="C31" s="297" t="s">
        <v>562</v>
      </c>
      <c r="D31" s="387" t="s">
        <v>563</v>
      </c>
      <c r="E31" s="309" t="s">
        <v>439</v>
      </c>
      <c r="F31" s="301"/>
      <c r="G31" s="319"/>
      <c r="H31" s="319"/>
      <c r="I31" s="319"/>
      <c r="J31" s="319"/>
      <c r="K31" s="319"/>
      <c r="L31" s="319"/>
      <c r="M31" s="319"/>
      <c r="N31" s="319"/>
      <c r="O31" s="319"/>
      <c r="P31" s="319"/>
      <c r="Q31" s="319"/>
      <c r="R31" s="319"/>
      <c r="S31" s="319"/>
      <c r="T31" s="319"/>
      <c r="U31" s="319"/>
      <c r="V31" s="319"/>
      <c r="W31" s="319"/>
      <c r="X31" s="319"/>
      <c r="Y31" s="319"/>
      <c r="Z31" s="329"/>
      <c r="AA31" s="329"/>
    </row>
    <row r="32" spans="2:28" x14ac:dyDescent="0.25">
      <c r="B32" s="299"/>
      <c r="C32" s="300"/>
      <c r="D32" s="301"/>
      <c r="E32" s="300"/>
      <c r="F32" s="301" t="s">
        <v>440</v>
      </c>
      <c r="G32" s="320">
        <v>731</v>
      </c>
      <c r="H32" s="320">
        <v>425</v>
      </c>
      <c r="I32" s="320">
        <v>499</v>
      </c>
      <c r="J32" s="320">
        <v>445</v>
      </c>
      <c r="K32" s="320">
        <v>266.83333333333331</v>
      </c>
      <c r="L32" s="320">
        <v>192.5</v>
      </c>
      <c r="M32" s="320">
        <v>150.16666666666666</v>
      </c>
      <c r="N32" s="320">
        <v>87</v>
      </c>
      <c r="O32" s="320">
        <v>210</v>
      </c>
      <c r="P32" s="320">
        <v>225</v>
      </c>
      <c r="Q32" s="320">
        <v>245</v>
      </c>
      <c r="R32" s="320">
        <v>115</v>
      </c>
      <c r="S32" s="320">
        <v>70</v>
      </c>
      <c r="T32" s="320">
        <v>90</v>
      </c>
      <c r="U32" s="320">
        <v>150</v>
      </c>
      <c r="V32" s="320">
        <v>16</v>
      </c>
      <c r="W32" s="320">
        <v>140</v>
      </c>
      <c r="X32" s="320">
        <v>40</v>
      </c>
      <c r="Y32" s="320">
        <v>0</v>
      </c>
      <c r="Z32" s="329">
        <f>SUM(N32:Y32)</f>
        <v>1388</v>
      </c>
      <c r="AA32" s="329">
        <f t="shared" ref="AA32:AA35" si="9">Z32/12</f>
        <v>115.66666666666667</v>
      </c>
    </row>
    <row r="33" spans="2:27" x14ac:dyDescent="0.25">
      <c r="B33" s="299"/>
      <c r="C33" s="300"/>
      <c r="D33" s="301"/>
      <c r="E33" s="300"/>
      <c r="F33" s="301" t="s">
        <v>441</v>
      </c>
      <c r="G33" s="320">
        <v>17861</v>
      </c>
      <c r="H33" s="320">
        <v>17056</v>
      </c>
      <c r="I33" s="320">
        <v>16980</v>
      </c>
      <c r="J33" s="320">
        <v>17460</v>
      </c>
      <c r="K33" s="320">
        <v>12947.416666666666</v>
      </c>
      <c r="L33" s="320">
        <v>8134.25</v>
      </c>
      <c r="M33" s="320">
        <v>5743.583333333333</v>
      </c>
      <c r="N33" s="320">
        <v>3602</v>
      </c>
      <c r="O33" s="320">
        <v>5696</v>
      </c>
      <c r="P33" s="320">
        <v>3444</v>
      </c>
      <c r="Q33" s="320">
        <v>3915</v>
      </c>
      <c r="R33" s="320">
        <v>5418</v>
      </c>
      <c r="S33" s="320">
        <v>4699</v>
      </c>
      <c r="T33" s="320">
        <v>5896</v>
      </c>
      <c r="U33" s="320">
        <v>5425</v>
      </c>
      <c r="V33" s="320">
        <v>8677</v>
      </c>
      <c r="W33" s="320">
        <v>6555</v>
      </c>
      <c r="X33" s="320">
        <v>7107</v>
      </c>
      <c r="Y33" s="320">
        <v>1982</v>
      </c>
      <c r="Z33" s="329">
        <f>SUM(N33:Y33)</f>
        <v>62416</v>
      </c>
      <c r="AA33" s="329">
        <f t="shared" si="9"/>
        <v>5201.333333333333</v>
      </c>
    </row>
    <row r="34" spans="2:27" x14ac:dyDescent="0.25">
      <c r="B34" s="299"/>
      <c r="C34" s="300"/>
      <c r="D34" s="301"/>
      <c r="E34" s="300"/>
      <c r="F34" s="301" t="s">
        <v>442</v>
      </c>
      <c r="G34" s="320">
        <v>7714</v>
      </c>
      <c r="H34" s="320">
        <v>8012</v>
      </c>
      <c r="I34" s="320">
        <v>7765</v>
      </c>
      <c r="J34" s="320">
        <v>10882</v>
      </c>
      <c r="K34" s="320">
        <v>10402.083333333334</v>
      </c>
      <c r="L34" s="320">
        <v>7768.166666666667</v>
      </c>
      <c r="M34" s="320">
        <v>6140.75</v>
      </c>
      <c r="N34" s="320">
        <v>6594</v>
      </c>
      <c r="O34" s="320">
        <v>8255</v>
      </c>
      <c r="P34" s="320">
        <v>6124</v>
      </c>
      <c r="Q34" s="320">
        <v>4606</v>
      </c>
      <c r="R34" s="320">
        <v>7195</v>
      </c>
      <c r="S34" s="320">
        <v>5327</v>
      </c>
      <c r="T34" s="320">
        <v>6413</v>
      </c>
      <c r="U34" s="320">
        <v>4882</v>
      </c>
      <c r="V34" s="320">
        <v>3131</v>
      </c>
      <c r="W34" s="320">
        <v>2501</v>
      </c>
      <c r="X34" s="320">
        <v>8990</v>
      </c>
      <c r="Y34" s="320">
        <v>4146</v>
      </c>
      <c r="Z34" s="329">
        <f>SUM(N34:Y34)</f>
        <v>68164</v>
      </c>
      <c r="AA34" s="329">
        <f t="shared" si="9"/>
        <v>5680.333333333333</v>
      </c>
    </row>
    <row r="35" spans="2:27" ht="15.75" thickBot="1" x14ac:dyDescent="0.3">
      <c r="B35" s="302"/>
      <c r="C35" s="303"/>
      <c r="D35" s="304"/>
      <c r="E35" s="303"/>
      <c r="F35" s="304" t="s">
        <v>443</v>
      </c>
      <c r="G35" s="323">
        <v>2339</v>
      </c>
      <c r="H35" s="323">
        <v>2105</v>
      </c>
      <c r="I35" s="323">
        <v>3053</v>
      </c>
      <c r="J35" s="323">
        <v>6503</v>
      </c>
      <c r="K35" s="323">
        <v>10466.833333333334</v>
      </c>
      <c r="L35" s="320">
        <v>8037.416666666667</v>
      </c>
      <c r="M35" s="320">
        <v>6084.583333333333</v>
      </c>
      <c r="N35" s="320">
        <v>6571</v>
      </c>
      <c r="O35" s="320">
        <v>5506</v>
      </c>
      <c r="P35" s="320">
        <v>4013</v>
      </c>
      <c r="Q35" s="320">
        <v>2872</v>
      </c>
      <c r="R35" s="320">
        <v>7630</v>
      </c>
      <c r="S35" s="320">
        <v>3284</v>
      </c>
      <c r="T35" s="320">
        <v>6662</v>
      </c>
      <c r="U35" s="320">
        <v>5849</v>
      </c>
      <c r="V35" s="320">
        <v>5286</v>
      </c>
      <c r="W35" s="320">
        <v>2788</v>
      </c>
      <c r="X35" s="320">
        <v>3748</v>
      </c>
      <c r="Y35" s="320">
        <v>200</v>
      </c>
      <c r="Z35" s="329">
        <f>SUM(N35:Y35)</f>
        <v>54409</v>
      </c>
      <c r="AA35" s="329">
        <f t="shared" si="9"/>
        <v>4534.083333333333</v>
      </c>
    </row>
    <row r="36" spans="2:27" ht="15.75" thickBot="1" x14ac:dyDescent="0.3">
      <c r="B36" s="311"/>
      <c r="C36" s="312"/>
      <c r="D36" s="313"/>
      <c r="E36" s="312"/>
      <c r="F36" s="313"/>
      <c r="G36" s="321">
        <f>SUM(G32:G35)</f>
        <v>28645</v>
      </c>
      <c r="H36" s="321">
        <f t="shared" ref="H36:Z36" si="10">SUM(H32:H35)</f>
        <v>27598</v>
      </c>
      <c r="I36" s="321">
        <f t="shared" si="10"/>
        <v>28297</v>
      </c>
      <c r="J36" s="321">
        <f t="shared" si="10"/>
        <v>35290</v>
      </c>
      <c r="K36" s="321">
        <f t="shared" si="10"/>
        <v>34083.166666666672</v>
      </c>
      <c r="L36" s="321">
        <f t="shared" si="10"/>
        <v>24132.333333333336</v>
      </c>
      <c r="M36" s="321">
        <f t="shared" si="10"/>
        <v>18119.083333333332</v>
      </c>
      <c r="N36" s="321">
        <f>SUM(N32:N35)</f>
        <v>16854</v>
      </c>
      <c r="O36" s="321">
        <f t="shared" si="10"/>
        <v>19667</v>
      </c>
      <c r="P36" s="321">
        <f t="shared" si="10"/>
        <v>13806</v>
      </c>
      <c r="Q36" s="321">
        <f t="shared" si="10"/>
        <v>11638</v>
      </c>
      <c r="R36" s="321">
        <f t="shared" si="10"/>
        <v>20358</v>
      </c>
      <c r="S36" s="321">
        <f t="shared" si="10"/>
        <v>13380</v>
      </c>
      <c r="T36" s="321">
        <f t="shared" si="10"/>
        <v>19061</v>
      </c>
      <c r="U36" s="321">
        <f t="shared" si="10"/>
        <v>16306</v>
      </c>
      <c r="V36" s="321">
        <f t="shared" si="10"/>
        <v>17110</v>
      </c>
      <c r="W36" s="321">
        <f t="shared" si="10"/>
        <v>11984</v>
      </c>
      <c r="X36" s="321">
        <f t="shared" ref="X36:Y36" si="11">SUM(X32:X35)</f>
        <v>19885</v>
      </c>
      <c r="Y36" s="321">
        <f t="shared" si="11"/>
        <v>6328</v>
      </c>
      <c r="Z36" s="330">
        <f t="shared" si="10"/>
        <v>186377</v>
      </c>
      <c r="AA36" s="330">
        <f>SUM(AA32:AA35)</f>
        <v>15531.416666666664</v>
      </c>
    </row>
    <row r="37" spans="2:27" x14ac:dyDescent="0.25">
      <c r="B37" s="296"/>
      <c r="C37" s="297"/>
      <c r="D37" s="298"/>
      <c r="E37" s="297"/>
      <c r="F37" s="298"/>
      <c r="G37" s="318"/>
      <c r="H37" s="318"/>
      <c r="I37" s="318"/>
      <c r="J37" s="318"/>
      <c r="K37" s="318"/>
      <c r="L37" s="318"/>
      <c r="M37" s="318"/>
      <c r="N37" s="318"/>
      <c r="O37" s="318"/>
      <c r="P37" s="318"/>
      <c r="Q37" s="318"/>
      <c r="R37" s="318"/>
      <c r="S37" s="318"/>
      <c r="T37" s="318"/>
      <c r="U37" s="318"/>
      <c r="V37" s="318"/>
      <c r="W37" s="318"/>
      <c r="X37" s="318"/>
      <c r="Y37" s="318"/>
      <c r="Z37" s="328"/>
      <c r="AA37" s="328"/>
    </row>
    <row r="38" spans="2:27" x14ac:dyDescent="0.25">
      <c r="B38" s="299">
        <v>4</v>
      </c>
      <c r="C38" s="300" t="s">
        <v>399</v>
      </c>
      <c r="D38" s="301" t="s">
        <v>444</v>
      </c>
      <c r="E38" s="309" t="s">
        <v>439</v>
      </c>
      <c r="F38" s="301"/>
      <c r="G38" s="319"/>
      <c r="H38" s="319"/>
      <c r="I38" s="319"/>
      <c r="J38" s="319"/>
      <c r="K38" s="319"/>
      <c r="L38" s="319"/>
      <c r="M38" s="319"/>
      <c r="N38" s="319"/>
      <c r="O38" s="319"/>
      <c r="P38" s="319"/>
      <c r="Q38" s="319"/>
      <c r="R38" s="319"/>
      <c r="S38" s="319"/>
      <c r="T38" s="319"/>
      <c r="U38" s="319"/>
      <c r="V38" s="319"/>
      <c r="W38" s="319"/>
      <c r="X38" s="319"/>
      <c r="Y38" s="319"/>
      <c r="Z38" s="329"/>
      <c r="AA38" s="329"/>
    </row>
    <row r="39" spans="2:27" x14ac:dyDescent="0.25">
      <c r="B39" s="299"/>
      <c r="C39" s="300"/>
      <c r="D39" s="301"/>
      <c r="E39" s="300"/>
      <c r="F39" s="301" t="s">
        <v>445</v>
      </c>
      <c r="G39" s="320">
        <v>1742</v>
      </c>
      <c r="H39" s="320">
        <v>2708</v>
      </c>
      <c r="I39" s="320">
        <v>5520</v>
      </c>
      <c r="J39" s="320">
        <v>12566</v>
      </c>
      <c r="K39" s="320">
        <v>24845.333333333332</v>
      </c>
      <c r="L39" s="320">
        <v>24235.833333333332</v>
      </c>
      <c r="M39" s="320">
        <v>17765.25</v>
      </c>
      <c r="N39" s="320">
        <v>14739</v>
      </c>
      <c r="O39" s="320">
        <v>10764</v>
      </c>
      <c r="P39" s="320">
        <v>14016</v>
      </c>
      <c r="Q39" s="320">
        <v>9947</v>
      </c>
      <c r="R39" s="320">
        <v>8432</v>
      </c>
      <c r="S39" s="320">
        <v>10747</v>
      </c>
      <c r="T39" s="320">
        <v>12494</v>
      </c>
      <c r="U39" s="320">
        <v>11859</v>
      </c>
      <c r="V39" s="320">
        <v>5456</v>
      </c>
      <c r="W39" s="320">
        <v>3345</v>
      </c>
      <c r="X39" s="320">
        <v>7278</v>
      </c>
      <c r="Y39" s="320">
        <v>9385</v>
      </c>
      <c r="Z39" s="329">
        <f>SUM(N39:Y39)</f>
        <v>118462</v>
      </c>
      <c r="AA39" s="329">
        <f t="shared" ref="AA39:AA42" si="12">Z39/12</f>
        <v>9871.8333333333339</v>
      </c>
    </row>
    <row r="40" spans="2:27" x14ac:dyDescent="0.25">
      <c r="B40" s="299"/>
      <c r="C40" s="300"/>
      <c r="D40" s="301"/>
      <c r="E40" s="300"/>
      <c r="F40" s="301" t="s">
        <v>446</v>
      </c>
      <c r="G40" s="320">
        <v>682</v>
      </c>
      <c r="H40" s="320">
        <v>2450</v>
      </c>
      <c r="I40" s="320">
        <v>9924</v>
      </c>
      <c r="J40" s="320">
        <v>22430</v>
      </c>
      <c r="K40" s="320">
        <v>35835.583333333336</v>
      </c>
      <c r="L40" s="320">
        <v>37882.416666666664</v>
      </c>
      <c r="M40" s="320">
        <v>27348</v>
      </c>
      <c r="N40" s="320">
        <v>13117</v>
      </c>
      <c r="O40" s="320">
        <v>12179</v>
      </c>
      <c r="P40" s="320">
        <v>8009</v>
      </c>
      <c r="Q40" s="320">
        <v>7118</v>
      </c>
      <c r="R40" s="320">
        <v>5188</v>
      </c>
      <c r="S40" s="320">
        <v>6323</v>
      </c>
      <c r="T40" s="320">
        <v>10627</v>
      </c>
      <c r="U40" s="320">
        <v>19532</v>
      </c>
      <c r="V40" s="320">
        <v>11421</v>
      </c>
      <c r="W40" s="320">
        <v>8463</v>
      </c>
      <c r="X40" s="320">
        <v>11327</v>
      </c>
      <c r="Y40" s="320">
        <v>12520</v>
      </c>
      <c r="Z40" s="329">
        <f>SUM(N40:Y40)</f>
        <v>125824</v>
      </c>
      <c r="AA40" s="329">
        <f t="shared" si="12"/>
        <v>10485.333333333334</v>
      </c>
    </row>
    <row r="41" spans="2:27" x14ac:dyDescent="0.25">
      <c r="B41" s="299"/>
      <c r="C41" s="300"/>
      <c r="D41" s="301"/>
      <c r="E41" s="300"/>
      <c r="F41" s="301" t="s">
        <v>447</v>
      </c>
      <c r="G41" s="320">
        <v>682</v>
      </c>
      <c r="H41" s="320">
        <v>721</v>
      </c>
      <c r="I41" s="320">
        <v>280</v>
      </c>
      <c r="J41" s="320">
        <v>238</v>
      </c>
      <c r="K41" s="320">
        <v>176.5</v>
      </c>
      <c r="L41" s="320">
        <v>7.25</v>
      </c>
      <c r="M41" s="320">
        <v>85.833333333333329</v>
      </c>
      <c r="N41" s="320">
        <v>0</v>
      </c>
      <c r="O41" s="320">
        <v>70</v>
      </c>
      <c r="P41" s="320">
        <v>0</v>
      </c>
      <c r="Q41" s="320">
        <v>0</v>
      </c>
      <c r="R41" s="320">
        <v>0</v>
      </c>
      <c r="S41" s="320">
        <v>0</v>
      </c>
      <c r="T41" s="320">
        <v>800</v>
      </c>
      <c r="U41" s="320">
        <v>0</v>
      </c>
      <c r="V41" s="320">
        <v>0</v>
      </c>
      <c r="W41" s="320">
        <v>0</v>
      </c>
      <c r="X41" s="320">
        <v>0</v>
      </c>
      <c r="Y41" s="320">
        <v>0</v>
      </c>
      <c r="Z41" s="329">
        <f>SUM(N41:Y41)</f>
        <v>870</v>
      </c>
      <c r="AA41" s="329">
        <f t="shared" si="12"/>
        <v>72.5</v>
      </c>
    </row>
    <row r="42" spans="2:27" ht="15.75" thickBot="1" x14ac:dyDescent="0.3">
      <c r="B42" s="299"/>
      <c r="C42" s="300"/>
      <c r="D42" s="301"/>
      <c r="E42" s="300"/>
      <c r="F42" s="304" t="s">
        <v>448</v>
      </c>
      <c r="G42" s="320">
        <v>832</v>
      </c>
      <c r="H42" s="320">
        <v>3023</v>
      </c>
      <c r="I42" s="320">
        <v>0</v>
      </c>
      <c r="J42" s="320">
        <v>1116</v>
      </c>
      <c r="K42" s="320">
        <v>3715.8333333333335</v>
      </c>
      <c r="L42" s="320">
        <v>3250.6666666666665</v>
      </c>
      <c r="M42" s="320">
        <v>3094.5</v>
      </c>
      <c r="N42" s="320">
        <v>2885</v>
      </c>
      <c r="O42" s="320">
        <v>6291</v>
      </c>
      <c r="P42" s="320">
        <v>1180</v>
      </c>
      <c r="Q42" s="320">
        <v>1190</v>
      </c>
      <c r="R42" s="320">
        <v>740</v>
      </c>
      <c r="S42" s="320">
        <v>680</v>
      </c>
      <c r="T42" s="320">
        <v>1955</v>
      </c>
      <c r="U42" s="320">
        <v>4874</v>
      </c>
      <c r="V42" s="320">
        <v>3014</v>
      </c>
      <c r="W42" s="320">
        <v>448</v>
      </c>
      <c r="X42" s="320">
        <v>2940</v>
      </c>
      <c r="Y42" s="320">
        <v>1260</v>
      </c>
      <c r="Z42" s="329">
        <f>SUM(N42:Y42)</f>
        <v>27457</v>
      </c>
      <c r="AA42" s="329">
        <f t="shared" si="12"/>
        <v>2288.0833333333335</v>
      </c>
    </row>
    <row r="43" spans="2:27" ht="15.75" thickBot="1" x14ac:dyDescent="0.3">
      <c r="B43" s="311"/>
      <c r="C43" s="312"/>
      <c r="D43" s="313"/>
      <c r="E43" s="312"/>
      <c r="F43" s="313"/>
      <c r="G43" s="321">
        <f t="shared" ref="G43:AA43" si="13">SUM(G39:G42)</f>
        <v>3938</v>
      </c>
      <c r="H43" s="321">
        <f t="shared" si="13"/>
        <v>8902</v>
      </c>
      <c r="I43" s="321">
        <f t="shared" si="13"/>
        <v>15724</v>
      </c>
      <c r="J43" s="321">
        <f t="shared" si="13"/>
        <v>36350</v>
      </c>
      <c r="K43" s="321">
        <f t="shared" si="13"/>
        <v>64573.250000000007</v>
      </c>
      <c r="L43" s="321">
        <f t="shared" si="13"/>
        <v>65376.166666666664</v>
      </c>
      <c r="M43" s="321">
        <f t="shared" si="13"/>
        <v>48293.583333333336</v>
      </c>
      <c r="N43" s="321">
        <f>SUM(N39:N42)</f>
        <v>30741</v>
      </c>
      <c r="O43" s="321">
        <f t="shared" si="13"/>
        <v>29304</v>
      </c>
      <c r="P43" s="321">
        <f t="shared" si="13"/>
        <v>23205</v>
      </c>
      <c r="Q43" s="321">
        <f t="shared" si="13"/>
        <v>18255</v>
      </c>
      <c r="R43" s="321">
        <f t="shared" si="13"/>
        <v>14360</v>
      </c>
      <c r="S43" s="321">
        <f t="shared" si="13"/>
        <v>17750</v>
      </c>
      <c r="T43" s="321">
        <f t="shared" si="13"/>
        <v>25876</v>
      </c>
      <c r="U43" s="321">
        <f t="shared" si="13"/>
        <v>36265</v>
      </c>
      <c r="V43" s="321">
        <f t="shared" si="13"/>
        <v>19891</v>
      </c>
      <c r="W43" s="321">
        <f t="shared" si="13"/>
        <v>12256</v>
      </c>
      <c r="X43" s="321">
        <f t="shared" ref="X43:Y43" si="14">SUM(X39:X42)</f>
        <v>21545</v>
      </c>
      <c r="Y43" s="321">
        <f t="shared" si="14"/>
        <v>23165</v>
      </c>
      <c r="Z43" s="347">
        <f t="shared" si="13"/>
        <v>272613</v>
      </c>
      <c r="AA43" s="331">
        <f t="shared" si="13"/>
        <v>22717.75</v>
      </c>
    </row>
    <row r="44" spans="2:27" x14ac:dyDescent="0.25">
      <c r="B44" s="296"/>
      <c r="C44" s="297"/>
      <c r="D44" s="298"/>
      <c r="E44" s="297"/>
      <c r="F44" s="298"/>
      <c r="G44" s="318"/>
      <c r="H44" s="318"/>
      <c r="I44" s="318"/>
      <c r="J44" s="318"/>
      <c r="K44" s="318"/>
      <c r="L44" s="318"/>
      <c r="M44" s="318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28"/>
      <c r="AA44" s="328"/>
    </row>
    <row r="45" spans="2:27" x14ac:dyDescent="0.25">
      <c r="B45" s="299">
        <v>5</v>
      </c>
      <c r="C45" s="300" t="s">
        <v>399</v>
      </c>
      <c r="D45" s="387" t="s">
        <v>438</v>
      </c>
      <c r="E45" s="309" t="s">
        <v>426</v>
      </c>
      <c r="F45" s="301"/>
      <c r="G45" s="319"/>
      <c r="H45" s="319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Y45" s="319"/>
      <c r="Z45" s="329"/>
      <c r="AA45" s="329"/>
    </row>
    <row r="46" spans="2:27" x14ac:dyDescent="0.25">
      <c r="B46" s="299"/>
      <c r="C46" s="300"/>
      <c r="D46" s="301"/>
      <c r="E46" s="300"/>
      <c r="F46" s="301" t="s">
        <v>428</v>
      </c>
      <c r="G46" s="320">
        <v>27144</v>
      </c>
      <c r="H46" s="320">
        <v>19671</v>
      </c>
      <c r="I46" s="320">
        <v>24141</v>
      </c>
      <c r="J46" s="320">
        <v>22175</v>
      </c>
      <c r="K46" s="320">
        <v>26995.666666666668</v>
      </c>
      <c r="L46" s="320">
        <v>23765.583333333332</v>
      </c>
      <c r="M46" s="320">
        <v>13138.083333333334</v>
      </c>
      <c r="N46" s="320">
        <v>5870</v>
      </c>
      <c r="O46" s="320">
        <v>4117</v>
      </c>
      <c r="P46" s="320">
        <v>5080</v>
      </c>
      <c r="Q46" s="320">
        <v>5870</v>
      </c>
      <c r="R46" s="320">
        <v>4453</v>
      </c>
      <c r="S46" s="320">
        <v>4363</v>
      </c>
      <c r="T46" s="320">
        <v>4703</v>
      </c>
      <c r="U46" s="320">
        <v>3018</v>
      </c>
      <c r="V46" s="320">
        <v>6973</v>
      </c>
      <c r="W46" s="320">
        <v>4089</v>
      </c>
      <c r="X46" s="320">
        <v>8184</v>
      </c>
      <c r="Y46" s="320">
        <v>2761</v>
      </c>
      <c r="Z46" s="329">
        <f t="shared" ref="Z46:Z53" si="15">SUM(N46:Y46)</f>
        <v>59481</v>
      </c>
      <c r="AA46" s="329">
        <f t="shared" ref="AA46:AA53" si="16">Z46/12</f>
        <v>4956.75</v>
      </c>
    </row>
    <row r="47" spans="2:27" x14ac:dyDescent="0.25">
      <c r="B47" s="299"/>
      <c r="C47" s="300"/>
      <c r="D47" s="301"/>
      <c r="E47" s="300"/>
      <c r="F47" s="301" t="s">
        <v>430</v>
      </c>
      <c r="G47" s="320">
        <v>43711</v>
      </c>
      <c r="H47" s="320">
        <v>42940</v>
      </c>
      <c r="I47" s="320">
        <v>24094</v>
      </c>
      <c r="J47" s="320">
        <v>28730</v>
      </c>
      <c r="K47" s="320">
        <v>23907.833333333332</v>
      </c>
      <c r="L47" s="320">
        <v>15838.583333333334</v>
      </c>
      <c r="M47" s="320">
        <v>8573.4166666666661</v>
      </c>
      <c r="N47" s="320">
        <v>7354</v>
      </c>
      <c r="O47" s="320">
        <v>4904</v>
      </c>
      <c r="P47" s="320">
        <v>5059</v>
      </c>
      <c r="Q47" s="320">
        <v>4845</v>
      </c>
      <c r="R47" s="320">
        <v>4017</v>
      </c>
      <c r="S47" s="320">
        <v>3603</v>
      </c>
      <c r="T47" s="320">
        <v>5156</v>
      </c>
      <c r="U47" s="320">
        <v>3102</v>
      </c>
      <c r="V47" s="320">
        <v>7374</v>
      </c>
      <c r="W47" s="320">
        <v>2500</v>
      </c>
      <c r="X47" s="320">
        <v>3765</v>
      </c>
      <c r="Y47" s="320">
        <v>1415</v>
      </c>
      <c r="Z47" s="329">
        <f t="shared" si="15"/>
        <v>53094</v>
      </c>
      <c r="AA47" s="329">
        <f t="shared" si="16"/>
        <v>4424.5</v>
      </c>
    </row>
    <row r="48" spans="2:27" x14ac:dyDescent="0.25">
      <c r="B48" s="299"/>
      <c r="C48" s="300"/>
      <c r="D48" s="301"/>
      <c r="E48" s="300"/>
      <c r="F48" s="301" t="s">
        <v>432</v>
      </c>
      <c r="G48" s="320">
        <v>0</v>
      </c>
      <c r="H48" s="320">
        <v>133</v>
      </c>
      <c r="I48" s="320">
        <v>9443</v>
      </c>
      <c r="J48" s="320">
        <v>11174</v>
      </c>
      <c r="K48" s="320">
        <v>14006.25</v>
      </c>
      <c r="L48" s="320">
        <v>9105.25</v>
      </c>
      <c r="M48" s="320">
        <v>4152.916666666667</v>
      </c>
      <c r="N48" s="320">
        <v>545</v>
      </c>
      <c r="O48" s="320">
        <v>386</v>
      </c>
      <c r="P48" s="320">
        <v>1200</v>
      </c>
      <c r="Q48" s="320">
        <v>555</v>
      </c>
      <c r="R48" s="320">
        <v>1536</v>
      </c>
      <c r="S48" s="320">
        <v>486</v>
      </c>
      <c r="T48" s="320">
        <v>0</v>
      </c>
      <c r="U48" s="320">
        <v>700</v>
      </c>
      <c r="V48" s="320">
        <v>0</v>
      </c>
      <c r="W48" s="320">
        <v>0</v>
      </c>
      <c r="X48" s="320">
        <v>1630</v>
      </c>
      <c r="Y48" s="320">
        <v>2663</v>
      </c>
      <c r="Z48" s="329">
        <f t="shared" si="15"/>
        <v>9701</v>
      </c>
      <c r="AA48" s="329">
        <f t="shared" si="16"/>
        <v>808.41666666666663</v>
      </c>
    </row>
    <row r="49" spans="2:27" x14ac:dyDescent="0.25">
      <c r="B49" s="299"/>
      <c r="C49" s="300"/>
      <c r="D49" s="301"/>
      <c r="E49" s="300"/>
      <c r="F49" s="301" t="s">
        <v>343</v>
      </c>
      <c r="G49" s="320">
        <v>0</v>
      </c>
      <c r="H49" s="320">
        <v>2183</v>
      </c>
      <c r="I49" s="320">
        <v>339</v>
      </c>
      <c r="J49" s="320">
        <v>11</v>
      </c>
      <c r="K49" s="320">
        <v>763.33333333333337</v>
      </c>
      <c r="L49" s="320">
        <v>531.66666666666663</v>
      </c>
      <c r="M49" s="320">
        <v>0</v>
      </c>
      <c r="N49" s="320">
        <v>0</v>
      </c>
      <c r="O49" s="320">
        <v>0</v>
      </c>
      <c r="P49" s="320">
        <v>0</v>
      </c>
      <c r="Q49" s="320">
        <v>0</v>
      </c>
      <c r="R49" s="320">
        <v>363</v>
      </c>
      <c r="S49" s="320">
        <v>860</v>
      </c>
      <c r="T49" s="320">
        <v>0</v>
      </c>
      <c r="U49" s="320">
        <v>0</v>
      </c>
      <c r="V49" s="320">
        <v>0</v>
      </c>
      <c r="W49" s="320">
        <v>0</v>
      </c>
      <c r="X49" s="320">
        <v>0</v>
      </c>
      <c r="Y49" s="320">
        <v>500</v>
      </c>
      <c r="Z49" s="329">
        <f t="shared" si="15"/>
        <v>1723</v>
      </c>
      <c r="AA49" s="329">
        <f t="shared" si="16"/>
        <v>143.58333333333334</v>
      </c>
    </row>
    <row r="50" spans="2:27" x14ac:dyDescent="0.25">
      <c r="B50" s="299"/>
      <c r="C50" s="300"/>
      <c r="D50" s="301"/>
      <c r="E50" s="300"/>
      <c r="F50" s="301" t="s">
        <v>433</v>
      </c>
      <c r="G50" s="320">
        <v>0</v>
      </c>
      <c r="H50" s="320">
        <v>1125</v>
      </c>
      <c r="I50" s="320">
        <v>13201</v>
      </c>
      <c r="J50" s="320">
        <v>15182</v>
      </c>
      <c r="K50" s="320">
        <v>20189.083333333332</v>
      </c>
      <c r="L50" s="320">
        <v>20893.666666666668</v>
      </c>
      <c r="M50" s="320">
        <v>10921.416666666666</v>
      </c>
      <c r="N50" s="320">
        <v>5844</v>
      </c>
      <c r="O50" s="320">
        <v>5469</v>
      </c>
      <c r="P50" s="320">
        <v>5090</v>
      </c>
      <c r="Q50" s="320">
        <v>6641</v>
      </c>
      <c r="R50" s="320">
        <v>5499</v>
      </c>
      <c r="S50" s="320">
        <v>5176</v>
      </c>
      <c r="T50" s="320">
        <v>5386</v>
      </c>
      <c r="U50" s="320">
        <v>3959</v>
      </c>
      <c r="V50" s="320">
        <v>3346</v>
      </c>
      <c r="W50" s="320">
        <v>425</v>
      </c>
      <c r="X50" s="320">
        <v>4054</v>
      </c>
      <c r="Y50" s="320">
        <v>1340</v>
      </c>
      <c r="Z50" s="329">
        <f t="shared" si="15"/>
        <v>52229</v>
      </c>
      <c r="AA50" s="329">
        <f t="shared" si="16"/>
        <v>4352.416666666667</v>
      </c>
    </row>
    <row r="51" spans="2:27" x14ac:dyDescent="0.25">
      <c r="B51" s="299"/>
      <c r="C51" s="300"/>
      <c r="D51" s="301"/>
      <c r="E51" s="300"/>
      <c r="F51" s="301" t="s">
        <v>434</v>
      </c>
      <c r="G51" s="320">
        <v>0</v>
      </c>
      <c r="H51" s="320">
        <v>0</v>
      </c>
      <c r="I51" s="320">
        <v>0</v>
      </c>
      <c r="J51" s="320">
        <v>0</v>
      </c>
      <c r="K51" s="320">
        <v>0</v>
      </c>
      <c r="L51" s="320">
        <v>122.08333333333333</v>
      </c>
      <c r="M51" s="320">
        <v>466.08333333333331</v>
      </c>
      <c r="N51" s="320">
        <v>818</v>
      </c>
      <c r="O51" s="320">
        <v>2358</v>
      </c>
      <c r="P51" s="320">
        <v>0</v>
      </c>
      <c r="Q51" s="320">
        <v>395</v>
      </c>
      <c r="R51" s="320">
        <v>0</v>
      </c>
      <c r="S51" s="320">
        <v>0</v>
      </c>
      <c r="T51" s="320">
        <v>0</v>
      </c>
      <c r="U51" s="320">
        <v>573</v>
      </c>
      <c r="V51" s="320">
        <v>0</v>
      </c>
      <c r="W51" s="320">
        <v>0</v>
      </c>
      <c r="X51" s="320">
        <v>1500</v>
      </c>
      <c r="Y51" s="320">
        <v>455</v>
      </c>
      <c r="Z51" s="329">
        <f t="shared" si="15"/>
        <v>6099</v>
      </c>
      <c r="AA51" s="329">
        <f t="shared" si="16"/>
        <v>508.25</v>
      </c>
    </row>
    <row r="52" spans="2:27" x14ac:dyDescent="0.25">
      <c r="B52" s="299"/>
      <c r="C52" s="300"/>
      <c r="D52" s="301"/>
      <c r="E52" s="300"/>
      <c r="F52" s="301" t="s">
        <v>435</v>
      </c>
      <c r="G52" s="320">
        <v>11478</v>
      </c>
      <c r="H52" s="320">
        <v>12392</v>
      </c>
      <c r="I52" s="320">
        <v>8003</v>
      </c>
      <c r="J52" s="320">
        <v>4892</v>
      </c>
      <c r="K52" s="320">
        <v>3248.0833333333335</v>
      </c>
      <c r="L52" s="320">
        <v>1987</v>
      </c>
      <c r="M52" s="320">
        <v>1096</v>
      </c>
      <c r="N52" s="320">
        <v>1864</v>
      </c>
      <c r="O52" s="320">
        <v>245</v>
      </c>
      <c r="P52" s="320">
        <v>1762</v>
      </c>
      <c r="Q52" s="320">
        <v>0</v>
      </c>
      <c r="R52" s="320">
        <v>0</v>
      </c>
      <c r="S52" s="320">
        <v>0</v>
      </c>
      <c r="T52" s="320">
        <v>0</v>
      </c>
      <c r="U52" s="320">
        <v>0</v>
      </c>
      <c r="V52" s="320">
        <v>0</v>
      </c>
      <c r="W52" s="320">
        <v>0</v>
      </c>
      <c r="X52" s="320">
        <v>2900</v>
      </c>
      <c r="Y52" s="320">
        <v>0</v>
      </c>
      <c r="Z52" s="329">
        <f t="shared" si="15"/>
        <v>6771</v>
      </c>
      <c r="AA52" s="329">
        <f t="shared" si="16"/>
        <v>564.25</v>
      </c>
    </row>
    <row r="53" spans="2:27" ht="15.75" thickBot="1" x14ac:dyDescent="0.3">
      <c r="B53" s="302"/>
      <c r="C53" s="303"/>
      <c r="D53" s="304"/>
      <c r="E53" s="303"/>
      <c r="F53" s="304" t="s">
        <v>436</v>
      </c>
      <c r="G53" s="323">
        <v>0</v>
      </c>
      <c r="H53" s="323">
        <v>0</v>
      </c>
      <c r="I53" s="323">
        <v>166</v>
      </c>
      <c r="J53" s="323">
        <v>0</v>
      </c>
      <c r="K53" s="320">
        <v>0</v>
      </c>
      <c r="L53" s="320">
        <v>0</v>
      </c>
      <c r="M53" s="320">
        <v>0</v>
      </c>
      <c r="N53" s="320">
        <v>0</v>
      </c>
      <c r="O53" s="320">
        <v>0</v>
      </c>
      <c r="P53" s="320">
        <v>0</v>
      </c>
      <c r="Q53" s="320">
        <v>0</v>
      </c>
      <c r="R53" s="320">
        <v>0</v>
      </c>
      <c r="S53" s="320">
        <v>0</v>
      </c>
      <c r="T53" s="320">
        <v>118</v>
      </c>
      <c r="U53" s="320">
        <v>0</v>
      </c>
      <c r="V53" s="320">
        <v>20</v>
      </c>
      <c r="W53" s="320">
        <v>0</v>
      </c>
      <c r="X53" s="320">
        <v>0</v>
      </c>
      <c r="Y53" s="320">
        <v>364</v>
      </c>
      <c r="Z53" s="329">
        <f t="shared" si="15"/>
        <v>502</v>
      </c>
      <c r="AA53" s="329">
        <f t="shared" si="16"/>
        <v>41.833333333333336</v>
      </c>
    </row>
    <row r="54" spans="2:27" ht="15.75" thickBot="1" x14ac:dyDescent="0.3">
      <c r="B54" s="311"/>
      <c r="C54" s="312"/>
      <c r="D54" s="313"/>
      <c r="E54" s="312"/>
      <c r="F54" s="313"/>
      <c r="G54" s="321">
        <f t="shared" ref="G54:M54" si="17">SUM(G46:G53)</f>
        <v>82333</v>
      </c>
      <c r="H54" s="321">
        <f t="shared" si="17"/>
        <v>78444</v>
      </c>
      <c r="I54" s="321">
        <f t="shared" si="17"/>
        <v>79387</v>
      </c>
      <c r="J54" s="321">
        <f t="shared" si="17"/>
        <v>82164</v>
      </c>
      <c r="K54" s="321">
        <f t="shared" si="17"/>
        <v>89110.249999999985</v>
      </c>
      <c r="L54" s="321">
        <f t="shared" si="17"/>
        <v>72243.833333333328</v>
      </c>
      <c r="M54" s="321">
        <f t="shared" si="17"/>
        <v>38347.916666666672</v>
      </c>
      <c r="N54" s="321">
        <f>SUM(N46:N53)</f>
        <v>22295</v>
      </c>
      <c r="O54" s="321">
        <f t="shared" ref="O54:Z54" si="18">SUM(O46:O53)</f>
        <v>17479</v>
      </c>
      <c r="P54" s="321">
        <f t="shared" si="18"/>
        <v>18191</v>
      </c>
      <c r="Q54" s="321">
        <f t="shared" si="18"/>
        <v>18306</v>
      </c>
      <c r="R54" s="321">
        <f t="shared" si="18"/>
        <v>15868</v>
      </c>
      <c r="S54" s="321">
        <f t="shared" si="18"/>
        <v>14488</v>
      </c>
      <c r="T54" s="321">
        <f t="shared" si="18"/>
        <v>15363</v>
      </c>
      <c r="U54" s="321">
        <f t="shared" si="18"/>
        <v>11352</v>
      </c>
      <c r="V54" s="321">
        <f t="shared" si="18"/>
        <v>17713</v>
      </c>
      <c r="W54" s="321">
        <f t="shared" si="18"/>
        <v>7014</v>
      </c>
      <c r="X54" s="321">
        <f t="shared" si="18"/>
        <v>22033</v>
      </c>
      <c r="Y54" s="321">
        <f t="shared" si="18"/>
        <v>9498</v>
      </c>
      <c r="Z54" s="331">
        <f t="shared" si="18"/>
        <v>189600</v>
      </c>
      <c r="AA54" s="331">
        <f>SUM(AA46:AA53)</f>
        <v>15800.000000000002</v>
      </c>
    </row>
    <row r="55" spans="2:27" x14ac:dyDescent="0.25">
      <c r="B55" s="296"/>
      <c r="C55" s="297"/>
      <c r="D55" s="298"/>
      <c r="E55" s="297"/>
      <c r="F55" s="298"/>
      <c r="G55" s="322"/>
      <c r="H55" s="322"/>
      <c r="I55" s="322"/>
      <c r="J55" s="322"/>
      <c r="K55" s="322"/>
      <c r="L55" s="322"/>
      <c r="M55" s="322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2"/>
      <c r="Y55" s="322"/>
      <c r="Z55" s="328"/>
      <c r="AA55" s="328"/>
    </row>
    <row r="56" spans="2:27" x14ac:dyDescent="0.25">
      <c r="B56" s="299">
        <v>6</v>
      </c>
      <c r="C56" s="300" t="s">
        <v>399</v>
      </c>
      <c r="D56" s="387" t="s">
        <v>438</v>
      </c>
      <c r="E56" s="309" t="s">
        <v>564</v>
      </c>
      <c r="F56" s="301"/>
      <c r="G56" s="319"/>
      <c r="H56" s="319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Y56" s="319"/>
      <c r="Z56" s="329"/>
      <c r="AA56" s="329"/>
    </row>
    <row r="57" spans="2:27" x14ac:dyDescent="0.25">
      <c r="B57" s="299"/>
      <c r="C57" s="300"/>
      <c r="D57" s="301"/>
      <c r="E57" s="300"/>
      <c r="F57" s="301" t="s">
        <v>421</v>
      </c>
      <c r="G57" s="320">
        <v>6236</v>
      </c>
      <c r="H57" s="320">
        <v>7076</v>
      </c>
      <c r="I57" s="320">
        <v>7821</v>
      </c>
      <c r="J57" s="320">
        <v>6994</v>
      </c>
      <c r="K57" s="320">
        <v>8200.4166666666661</v>
      </c>
      <c r="L57" s="320">
        <v>5997</v>
      </c>
      <c r="M57" s="320">
        <v>3752.0833333333335</v>
      </c>
      <c r="N57" s="320">
        <v>1980</v>
      </c>
      <c r="O57" s="320">
        <v>2266</v>
      </c>
      <c r="P57" s="320">
        <v>1655</v>
      </c>
      <c r="Q57" s="319">
        <v>1847</v>
      </c>
      <c r="R57" s="319">
        <v>2954</v>
      </c>
      <c r="S57" s="319">
        <v>2827</v>
      </c>
      <c r="T57" s="319">
        <v>3184</v>
      </c>
      <c r="U57" s="319">
        <v>3081</v>
      </c>
      <c r="V57" s="319">
        <v>1505</v>
      </c>
      <c r="W57" s="319">
        <v>400</v>
      </c>
      <c r="X57" s="319">
        <v>1570</v>
      </c>
      <c r="Y57" s="319">
        <v>3495</v>
      </c>
      <c r="Z57" s="329">
        <f>SUM(N57:Y57)</f>
        <v>26764</v>
      </c>
      <c r="AA57" s="329">
        <f t="shared" ref="AA57:AA59" si="19">Z57/12</f>
        <v>2230.3333333333335</v>
      </c>
    </row>
    <row r="58" spans="2:27" x14ac:dyDescent="0.25">
      <c r="B58" s="299"/>
      <c r="C58" s="300"/>
      <c r="D58" s="301"/>
      <c r="E58" s="300"/>
      <c r="F58" s="301" t="s">
        <v>422</v>
      </c>
      <c r="G58" s="320">
        <v>33789</v>
      </c>
      <c r="H58" s="320">
        <v>46387</v>
      </c>
      <c r="I58" s="320">
        <v>15417</v>
      </c>
      <c r="J58" s="320">
        <v>16542</v>
      </c>
      <c r="K58" s="320">
        <v>15307.416666666666</v>
      </c>
      <c r="L58" s="320">
        <v>11840.166666666666</v>
      </c>
      <c r="M58" s="320">
        <v>9497.4166666666661</v>
      </c>
      <c r="N58" s="320">
        <v>6182</v>
      </c>
      <c r="O58" s="320">
        <v>9137</v>
      </c>
      <c r="P58" s="320">
        <v>6879</v>
      </c>
      <c r="Q58" s="319">
        <v>4270</v>
      </c>
      <c r="R58" s="319">
        <v>10333</v>
      </c>
      <c r="S58" s="319">
        <v>9311</v>
      </c>
      <c r="T58" s="319">
        <v>7537</v>
      </c>
      <c r="U58" s="319">
        <v>6263</v>
      </c>
      <c r="V58" s="319">
        <v>2709</v>
      </c>
      <c r="W58" s="319">
        <v>3090</v>
      </c>
      <c r="X58" s="319">
        <v>5471</v>
      </c>
      <c r="Y58" s="319">
        <v>10526</v>
      </c>
      <c r="Z58" s="329">
        <f>SUM(N58:Y58)</f>
        <v>81708</v>
      </c>
      <c r="AA58" s="329">
        <f t="shared" si="19"/>
        <v>6809</v>
      </c>
    </row>
    <row r="59" spans="2:27" ht="15.75" thickBot="1" x14ac:dyDescent="0.3">
      <c r="B59" s="302"/>
      <c r="C59" s="303"/>
      <c r="D59" s="304"/>
      <c r="E59" s="303"/>
      <c r="F59" s="304" t="s">
        <v>417</v>
      </c>
      <c r="G59" s="323">
        <v>0</v>
      </c>
      <c r="H59" s="323">
        <v>3739</v>
      </c>
      <c r="I59" s="323">
        <v>776</v>
      </c>
      <c r="J59" s="323">
        <v>538</v>
      </c>
      <c r="K59" s="323">
        <v>390.83333333333331</v>
      </c>
      <c r="L59" s="323">
        <v>1737.75</v>
      </c>
      <c r="M59" s="323">
        <v>3004.75</v>
      </c>
      <c r="N59" s="323">
        <v>2030</v>
      </c>
      <c r="O59" s="323">
        <v>3439</v>
      </c>
      <c r="P59" s="323">
        <v>2659</v>
      </c>
      <c r="Q59" s="319">
        <v>3745</v>
      </c>
      <c r="R59" s="319">
        <v>3510</v>
      </c>
      <c r="S59" s="319">
        <v>2850</v>
      </c>
      <c r="T59" s="319">
        <v>2728</v>
      </c>
      <c r="U59" s="319">
        <v>1900</v>
      </c>
      <c r="V59" s="319">
        <v>2950</v>
      </c>
      <c r="W59" s="319">
        <v>4825</v>
      </c>
      <c r="X59" s="319">
        <v>4240</v>
      </c>
      <c r="Y59" s="319">
        <v>4915</v>
      </c>
      <c r="Z59" s="329">
        <f>SUM(N59:Y59)</f>
        <v>39791</v>
      </c>
      <c r="AA59" s="329">
        <f t="shared" si="19"/>
        <v>3315.9166666666665</v>
      </c>
    </row>
    <row r="60" spans="2:27" ht="15.75" thickBot="1" x14ac:dyDescent="0.3">
      <c r="B60" s="311"/>
      <c r="C60" s="312"/>
      <c r="D60" s="313"/>
      <c r="E60" s="312"/>
      <c r="F60" s="313"/>
      <c r="G60" s="321">
        <f>SUM(G57:G59)</f>
        <v>40025</v>
      </c>
      <c r="H60" s="321">
        <f t="shared" ref="H60:Y60" si="20">SUM(H57:H59)</f>
        <v>57202</v>
      </c>
      <c r="I60" s="321">
        <f t="shared" si="20"/>
        <v>24014</v>
      </c>
      <c r="J60" s="321">
        <f t="shared" si="20"/>
        <v>24074</v>
      </c>
      <c r="K60" s="321">
        <f t="shared" si="20"/>
        <v>23898.666666666664</v>
      </c>
      <c r="L60" s="321">
        <f t="shared" si="20"/>
        <v>19574.916666666664</v>
      </c>
      <c r="M60" s="321">
        <f t="shared" si="20"/>
        <v>16254.25</v>
      </c>
      <c r="N60" s="321">
        <f t="shared" si="20"/>
        <v>10192</v>
      </c>
      <c r="O60" s="321">
        <f t="shared" si="20"/>
        <v>14842</v>
      </c>
      <c r="P60" s="321">
        <f t="shared" si="20"/>
        <v>11193</v>
      </c>
      <c r="Q60" s="321">
        <f t="shared" si="20"/>
        <v>9862</v>
      </c>
      <c r="R60" s="321">
        <f t="shared" si="20"/>
        <v>16797</v>
      </c>
      <c r="S60" s="321">
        <f t="shared" si="20"/>
        <v>14988</v>
      </c>
      <c r="T60" s="321">
        <f t="shared" si="20"/>
        <v>13449</v>
      </c>
      <c r="U60" s="321">
        <f t="shared" si="20"/>
        <v>11244</v>
      </c>
      <c r="V60" s="321">
        <f t="shared" si="20"/>
        <v>7164</v>
      </c>
      <c r="W60" s="321">
        <f t="shared" si="20"/>
        <v>8315</v>
      </c>
      <c r="X60" s="321">
        <f t="shared" si="20"/>
        <v>11281</v>
      </c>
      <c r="Y60" s="321">
        <f t="shared" si="20"/>
        <v>18936</v>
      </c>
      <c r="Z60" s="321">
        <f>SUM(Z57:Z59)</f>
        <v>148263</v>
      </c>
      <c r="AA60" s="321">
        <f>SUM(AA57:AA59)</f>
        <v>12355.25</v>
      </c>
    </row>
    <row r="61" spans="2:27" x14ac:dyDescent="0.25">
      <c r="B61" s="299">
        <v>6</v>
      </c>
      <c r="C61" s="300" t="s">
        <v>399</v>
      </c>
      <c r="D61" s="301" t="s">
        <v>444</v>
      </c>
      <c r="E61" s="309" t="s">
        <v>565</v>
      </c>
      <c r="F61" s="301"/>
      <c r="G61" s="319"/>
      <c r="H61" s="31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Y61" s="319"/>
      <c r="Z61" s="329"/>
      <c r="AA61" s="329"/>
    </row>
    <row r="62" spans="2:27" x14ac:dyDescent="0.25">
      <c r="B62" s="302"/>
      <c r="C62" s="303"/>
      <c r="D62" s="304"/>
      <c r="E62" s="303"/>
      <c r="F62" s="304" t="s">
        <v>424</v>
      </c>
      <c r="G62" s="323">
        <v>1122</v>
      </c>
      <c r="H62" s="323">
        <v>2255</v>
      </c>
      <c r="I62" s="323">
        <v>2056</v>
      </c>
      <c r="J62" s="323">
        <v>2317</v>
      </c>
      <c r="K62" s="320">
        <v>3184</v>
      </c>
      <c r="L62" s="320">
        <v>3663.3333333333335</v>
      </c>
      <c r="M62" s="320">
        <v>3428.1666666666665</v>
      </c>
      <c r="N62" s="320">
        <v>2008</v>
      </c>
      <c r="O62" s="320">
        <v>2421</v>
      </c>
      <c r="P62" s="320">
        <v>4192</v>
      </c>
      <c r="Q62" s="319">
        <v>785</v>
      </c>
      <c r="R62" s="319">
        <v>3567</v>
      </c>
      <c r="S62" s="319">
        <v>5071</v>
      </c>
      <c r="T62" s="319">
        <v>1829</v>
      </c>
      <c r="U62" s="319">
        <v>3549</v>
      </c>
      <c r="V62" s="319">
        <v>2267</v>
      </c>
      <c r="W62" s="319">
        <v>5082</v>
      </c>
      <c r="X62" s="319">
        <v>1731</v>
      </c>
      <c r="Y62" s="319">
        <v>1730</v>
      </c>
      <c r="Z62" s="329">
        <f>SUM(N62:Y62)</f>
        <v>34232</v>
      </c>
      <c r="AA62" s="329">
        <f t="shared" ref="AA62:AA63" si="21">Z62/12</f>
        <v>2852.6666666666665</v>
      </c>
    </row>
    <row r="63" spans="2:27" ht="15.75" thickBot="1" x14ac:dyDescent="0.3">
      <c r="B63" s="299"/>
      <c r="C63" s="300"/>
      <c r="D63" s="301"/>
      <c r="E63" s="300"/>
      <c r="F63" s="301" t="s">
        <v>423</v>
      </c>
      <c r="G63" s="320">
        <v>1122</v>
      </c>
      <c r="H63" s="320">
        <v>1057</v>
      </c>
      <c r="I63" s="320">
        <v>926</v>
      </c>
      <c r="J63" s="320">
        <v>1569</v>
      </c>
      <c r="K63" s="320">
        <v>2670.1666666666665</v>
      </c>
      <c r="L63" s="320">
        <v>3552.75</v>
      </c>
      <c r="M63" s="320">
        <v>2555.9166666666665</v>
      </c>
      <c r="N63" s="320">
        <v>3498</v>
      </c>
      <c r="O63" s="320">
        <v>4747</v>
      </c>
      <c r="P63" s="320">
        <v>3379</v>
      </c>
      <c r="Q63" s="319">
        <v>1645</v>
      </c>
      <c r="R63" s="319">
        <v>2755</v>
      </c>
      <c r="S63" s="319">
        <v>2882</v>
      </c>
      <c r="T63" s="319">
        <v>3061</v>
      </c>
      <c r="U63" s="319">
        <v>4350</v>
      </c>
      <c r="V63" s="319">
        <v>2068</v>
      </c>
      <c r="W63" s="319">
        <v>137</v>
      </c>
      <c r="X63" s="319">
        <v>1199</v>
      </c>
      <c r="Y63" s="319">
        <v>3014</v>
      </c>
      <c r="Z63" s="329">
        <f>SUM(N63:Y63)</f>
        <v>32735</v>
      </c>
      <c r="AA63" s="329">
        <f t="shared" si="21"/>
        <v>2727.9166666666665</v>
      </c>
    </row>
    <row r="64" spans="2:27" ht="15.75" thickBot="1" x14ac:dyDescent="0.3">
      <c r="B64" s="311"/>
      <c r="C64" s="312"/>
      <c r="D64" s="313"/>
      <c r="E64" s="312"/>
      <c r="F64" s="313"/>
      <c r="G64" s="324">
        <f>SUM(G62:G63)</f>
        <v>2244</v>
      </c>
      <c r="H64" s="324">
        <f t="shared" ref="H64:Z64" si="22">SUM(H62:H63)</f>
        <v>3312</v>
      </c>
      <c r="I64" s="324">
        <f t="shared" si="22"/>
        <v>2982</v>
      </c>
      <c r="J64" s="324">
        <f t="shared" si="22"/>
        <v>3886</v>
      </c>
      <c r="K64" s="324">
        <f t="shared" si="22"/>
        <v>5854.1666666666661</v>
      </c>
      <c r="L64" s="324">
        <f t="shared" si="22"/>
        <v>7216.0833333333339</v>
      </c>
      <c r="M64" s="324">
        <f t="shared" si="22"/>
        <v>5984.083333333333</v>
      </c>
      <c r="N64" s="324">
        <f t="shared" si="22"/>
        <v>5506</v>
      </c>
      <c r="O64" s="324">
        <f t="shared" si="22"/>
        <v>7168</v>
      </c>
      <c r="P64" s="324">
        <f t="shared" si="22"/>
        <v>7571</v>
      </c>
      <c r="Q64" s="324">
        <f t="shared" si="22"/>
        <v>2430</v>
      </c>
      <c r="R64" s="324">
        <f t="shared" si="22"/>
        <v>6322</v>
      </c>
      <c r="S64" s="324">
        <f t="shared" si="22"/>
        <v>7953</v>
      </c>
      <c r="T64" s="324">
        <f t="shared" si="22"/>
        <v>4890</v>
      </c>
      <c r="U64" s="324">
        <f t="shared" si="22"/>
        <v>7899</v>
      </c>
      <c r="V64" s="324">
        <f t="shared" si="22"/>
        <v>4335</v>
      </c>
      <c r="W64" s="324">
        <f t="shared" si="22"/>
        <v>5219</v>
      </c>
      <c r="X64" s="324">
        <f t="shared" si="22"/>
        <v>2930</v>
      </c>
      <c r="Y64" s="324">
        <f t="shared" si="22"/>
        <v>4744</v>
      </c>
      <c r="Z64" s="324">
        <f t="shared" si="22"/>
        <v>66967</v>
      </c>
      <c r="AA64" s="324">
        <f>Z64/5</f>
        <v>13393.4</v>
      </c>
    </row>
    <row r="65" spans="2:28" ht="15.75" thickBot="1" x14ac:dyDescent="0.3">
      <c r="B65" s="314"/>
      <c r="C65" s="333"/>
      <c r="D65" s="334"/>
      <c r="E65" s="333"/>
      <c r="F65" s="334"/>
      <c r="G65" s="335">
        <f>G36+G43+G54+G60+G64</f>
        <v>157185</v>
      </c>
      <c r="H65" s="335">
        <f t="shared" ref="H65:AA65" si="23">H36+H43+H54+H60+H64</f>
        <v>175458</v>
      </c>
      <c r="I65" s="335">
        <f t="shared" si="23"/>
        <v>150404</v>
      </c>
      <c r="J65" s="335">
        <f t="shared" si="23"/>
        <v>181764</v>
      </c>
      <c r="K65" s="335">
        <f t="shared" si="23"/>
        <v>217519.5</v>
      </c>
      <c r="L65" s="335">
        <f t="shared" si="23"/>
        <v>188543.33333333331</v>
      </c>
      <c r="M65" s="335">
        <f t="shared" si="23"/>
        <v>126998.91666666667</v>
      </c>
      <c r="N65" s="335">
        <f t="shared" si="23"/>
        <v>85588</v>
      </c>
      <c r="O65" s="335">
        <f t="shared" si="23"/>
        <v>88460</v>
      </c>
      <c r="P65" s="335">
        <f t="shared" si="23"/>
        <v>73966</v>
      </c>
      <c r="Q65" s="335">
        <f t="shared" si="23"/>
        <v>60491</v>
      </c>
      <c r="R65" s="335">
        <f t="shared" si="23"/>
        <v>73705</v>
      </c>
      <c r="S65" s="335">
        <f t="shared" si="23"/>
        <v>68559</v>
      </c>
      <c r="T65" s="335">
        <f t="shared" si="23"/>
        <v>78639</v>
      </c>
      <c r="U65" s="335">
        <f t="shared" si="23"/>
        <v>83066</v>
      </c>
      <c r="V65" s="335">
        <f t="shared" si="23"/>
        <v>66213</v>
      </c>
      <c r="W65" s="335">
        <f t="shared" si="23"/>
        <v>44788</v>
      </c>
      <c r="X65" s="335">
        <f t="shared" si="23"/>
        <v>77674</v>
      </c>
      <c r="Y65" s="335">
        <f t="shared" si="23"/>
        <v>62671</v>
      </c>
      <c r="Z65" s="335">
        <f t="shared" si="23"/>
        <v>863820</v>
      </c>
      <c r="AA65" s="335">
        <f t="shared" si="23"/>
        <v>79797.816666666651</v>
      </c>
    </row>
    <row r="66" spans="2:28" x14ac:dyDescent="0.25">
      <c r="B66" s="296"/>
      <c r="C66" s="297"/>
      <c r="D66" s="298"/>
      <c r="E66" s="297"/>
      <c r="F66" s="298"/>
      <c r="G66" s="318"/>
      <c r="H66" s="318"/>
      <c r="I66" s="318"/>
      <c r="J66" s="318"/>
      <c r="K66" s="318"/>
      <c r="L66" s="318"/>
      <c r="M66" s="318"/>
      <c r="N66" s="318"/>
      <c r="O66" s="318"/>
      <c r="P66" s="318"/>
      <c r="Q66" s="318"/>
      <c r="R66" s="318"/>
      <c r="S66" s="318"/>
      <c r="T66" s="318"/>
      <c r="U66" s="318"/>
      <c r="V66" s="318"/>
      <c r="W66" s="318"/>
      <c r="X66" s="318"/>
      <c r="Y66" s="318"/>
      <c r="Z66" s="329"/>
      <c r="AA66" s="329"/>
    </row>
    <row r="67" spans="2:28" x14ac:dyDescent="0.25">
      <c r="B67" s="296">
        <v>7</v>
      </c>
      <c r="C67" s="297"/>
      <c r="D67" s="298"/>
      <c r="E67" s="309" t="s">
        <v>560</v>
      </c>
      <c r="F67" s="301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8"/>
      <c r="R67" s="318"/>
      <c r="S67" s="318"/>
      <c r="T67" s="318"/>
      <c r="U67" s="318"/>
      <c r="V67" s="318"/>
      <c r="W67" s="318"/>
      <c r="X67" s="318"/>
      <c r="Y67" s="318"/>
      <c r="Z67" s="329"/>
      <c r="AA67" s="329"/>
    </row>
    <row r="68" spans="2:28" x14ac:dyDescent="0.25">
      <c r="B68" s="296"/>
      <c r="C68" s="297"/>
      <c r="D68" s="298"/>
      <c r="E68" s="370"/>
      <c r="F68" s="369" t="s">
        <v>451</v>
      </c>
      <c r="G68" s="325">
        <v>4000</v>
      </c>
      <c r="H68" s="325">
        <v>2826</v>
      </c>
      <c r="I68" s="325">
        <v>1303</v>
      </c>
      <c r="J68" s="325">
        <v>865</v>
      </c>
      <c r="K68" s="325">
        <v>4.583333333333333</v>
      </c>
      <c r="L68" s="325">
        <v>637.5</v>
      </c>
      <c r="M68" s="325">
        <v>1350.25</v>
      </c>
      <c r="N68" s="325">
        <v>3800</v>
      </c>
      <c r="O68" s="325">
        <v>1000</v>
      </c>
      <c r="P68" s="325">
        <v>700</v>
      </c>
      <c r="Q68" s="325">
        <v>1400</v>
      </c>
      <c r="R68" s="325">
        <v>1020</v>
      </c>
      <c r="S68" s="325">
        <v>0</v>
      </c>
      <c r="T68" s="325">
        <v>2250</v>
      </c>
      <c r="U68" s="325">
        <v>0</v>
      </c>
      <c r="V68" s="325">
        <v>0</v>
      </c>
      <c r="W68" s="325">
        <v>1000</v>
      </c>
      <c r="X68" s="325">
        <v>2350</v>
      </c>
      <c r="Y68" s="325">
        <v>1350</v>
      </c>
      <c r="Z68" s="329">
        <f t="shared" ref="Z68:Z87" si="24">SUM(N68:Y68)</f>
        <v>14870</v>
      </c>
      <c r="AA68" s="329">
        <f t="shared" ref="AA68:AA72" si="25">Z68/12</f>
        <v>1239.1666666666667</v>
      </c>
    </row>
    <row r="69" spans="2:28" x14ac:dyDescent="0.25">
      <c r="B69" s="296"/>
      <c r="C69" s="297"/>
      <c r="D69" s="298"/>
      <c r="E69" s="300"/>
      <c r="F69" s="298" t="s">
        <v>449</v>
      </c>
      <c r="G69" s="325">
        <v>1558</v>
      </c>
      <c r="H69" s="325">
        <v>783</v>
      </c>
      <c r="I69" s="325">
        <v>178</v>
      </c>
      <c r="J69" s="325">
        <v>10427</v>
      </c>
      <c r="K69" s="325">
        <v>7480.833333333333</v>
      </c>
      <c r="L69" s="325">
        <v>5471.583333333333</v>
      </c>
      <c r="M69" s="325">
        <v>9003.1666666666661</v>
      </c>
      <c r="N69" s="325">
        <v>0</v>
      </c>
      <c r="O69" s="325">
        <v>0</v>
      </c>
      <c r="P69" s="325">
        <v>13253</v>
      </c>
      <c r="Q69" s="325">
        <v>2685</v>
      </c>
      <c r="R69" s="325">
        <v>3000</v>
      </c>
      <c r="S69" s="325">
        <v>0</v>
      </c>
      <c r="T69" s="325">
        <v>1350</v>
      </c>
      <c r="U69" s="325">
        <v>5346</v>
      </c>
      <c r="V69" s="325">
        <v>0</v>
      </c>
      <c r="W69" s="325">
        <v>6600</v>
      </c>
      <c r="X69" s="325">
        <v>6800</v>
      </c>
      <c r="Y69" s="325">
        <v>11636</v>
      </c>
      <c r="Z69" s="329">
        <f t="shared" si="24"/>
        <v>50670</v>
      </c>
      <c r="AA69" s="329">
        <f t="shared" si="25"/>
        <v>4222.5</v>
      </c>
    </row>
    <row r="70" spans="2:28" x14ac:dyDescent="0.25">
      <c r="B70" s="296"/>
      <c r="C70" s="297"/>
      <c r="D70" s="298"/>
      <c r="E70" s="297"/>
      <c r="F70" s="304" t="s">
        <v>544</v>
      </c>
      <c r="G70" s="325">
        <v>0</v>
      </c>
      <c r="H70" s="325">
        <v>0</v>
      </c>
      <c r="I70" s="325">
        <v>0</v>
      </c>
      <c r="J70" s="325">
        <v>0</v>
      </c>
      <c r="K70" s="325">
        <v>0</v>
      </c>
      <c r="L70" s="325">
        <v>0</v>
      </c>
      <c r="M70" s="325">
        <v>1427</v>
      </c>
      <c r="N70" s="325">
        <v>0</v>
      </c>
      <c r="O70" s="325">
        <v>0</v>
      </c>
      <c r="P70" s="325">
        <v>4640</v>
      </c>
      <c r="Q70" s="325">
        <v>0</v>
      </c>
      <c r="R70" s="325">
        <v>0</v>
      </c>
      <c r="S70" s="325">
        <v>0</v>
      </c>
      <c r="T70" s="325">
        <v>2179</v>
      </c>
      <c r="U70" s="325">
        <v>4442</v>
      </c>
      <c r="V70" s="325">
        <v>0</v>
      </c>
      <c r="W70" s="325">
        <v>0</v>
      </c>
      <c r="X70" s="325">
        <v>0</v>
      </c>
      <c r="Y70" s="325">
        <v>0</v>
      </c>
      <c r="Z70" s="329">
        <f t="shared" si="24"/>
        <v>11261</v>
      </c>
      <c r="AA70" s="329">
        <f t="shared" si="25"/>
        <v>938.41666666666663</v>
      </c>
    </row>
    <row r="71" spans="2:28" x14ac:dyDescent="0.25">
      <c r="B71" s="296"/>
      <c r="C71" s="297"/>
      <c r="D71" s="298"/>
      <c r="E71" s="297"/>
      <c r="F71" s="298" t="s">
        <v>450</v>
      </c>
      <c r="G71" s="325">
        <v>0</v>
      </c>
      <c r="H71" s="325">
        <v>0</v>
      </c>
      <c r="I71" s="325">
        <v>2178</v>
      </c>
      <c r="J71" s="325">
        <v>0</v>
      </c>
      <c r="K71" s="325">
        <v>66.666666666666671</v>
      </c>
      <c r="L71" s="325">
        <v>0</v>
      </c>
      <c r="M71" s="325">
        <v>0.33333333333333331</v>
      </c>
      <c r="N71" s="325">
        <v>550</v>
      </c>
      <c r="O71" s="325">
        <v>0</v>
      </c>
      <c r="P71" s="325">
        <v>0</v>
      </c>
      <c r="Q71" s="325">
        <v>880</v>
      </c>
      <c r="R71" s="325">
        <v>3977</v>
      </c>
      <c r="S71" s="325">
        <v>0</v>
      </c>
      <c r="T71" s="325">
        <v>4454</v>
      </c>
      <c r="U71" s="325">
        <v>0</v>
      </c>
      <c r="V71" s="325">
        <v>1650</v>
      </c>
      <c r="W71" s="325">
        <v>1000</v>
      </c>
      <c r="X71" s="325">
        <v>4158</v>
      </c>
      <c r="Y71" s="325">
        <v>8590</v>
      </c>
      <c r="Z71" s="329">
        <f t="shared" si="24"/>
        <v>25259</v>
      </c>
      <c r="AA71" s="329">
        <f t="shared" si="25"/>
        <v>2104.9166666666665</v>
      </c>
    </row>
    <row r="72" spans="2:28" ht="15.75" thickBot="1" x14ac:dyDescent="0.3">
      <c r="B72" s="296"/>
      <c r="C72" s="297"/>
      <c r="D72" s="298"/>
      <c r="F72" s="307" t="s">
        <v>452</v>
      </c>
      <c r="G72" s="325">
        <v>28</v>
      </c>
      <c r="H72" s="325">
        <v>0</v>
      </c>
      <c r="I72" s="325">
        <v>1</v>
      </c>
      <c r="J72" s="325">
        <v>40</v>
      </c>
      <c r="K72" s="325">
        <v>68.666666666666671</v>
      </c>
      <c r="L72" s="325">
        <v>254.16666666666666</v>
      </c>
      <c r="M72" s="325">
        <v>76.666666666666671</v>
      </c>
      <c r="N72" s="325">
        <v>0</v>
      </c>
      <c r="O72" s="325">
        <v>0</v>
      </c>
      <c r="P72" s="325">
        <v>0</v>
      </c>
      <c r="Q72" s="325">
        <v>0</v>
      </c>
      <c r="R72" s="325">
        <v>0</v>
      </c>
      <c r="S72" s="325">
        <v>0</v>
      </c>
      <c r="T72" s="325">
        <v>120</v>
      </c>
      <c r="U72" s="325">
        <v>75</v>
      </c>
      <c r="V72" s="325">
        <v>0</v>
      </c>
      <c r="W72" s="325">
        <v>17</v>
      </c>
      <c r="X72" s="325">
        <v>0</v>
      </c>
      <c r="Y72" s="325">
        <v>0</v>
      </c>
      <c r="Z72" s="329">
        <f t="shared" ref="Z72" si="26">SUM(N72:Y72)</f>
        <v>212</v>
      </c>
      <c r="AA72" s="329">
        <f t="shared" si="25"/>
        <v>17.666666666666668</v>
      </c>
    </row>
    <row r="73" spans="2:28" ht="15.75" thickBot="1" x14ac:dyDescent="0.3">
      <c r="B73" s="314"/>
      <c r="C73" s="333"/>
      <c r="D73" s="334"/>
      <c r="E73" s="333"/>
      <c r="F73" s="334"/>
      <c r="G73" s="335">
        <f t="shared" ref="G73:AA73" si="27">SUM(G68:G72)</f>
        <v>5586</v>
      </c>
      <c r="H73" s="335">
        <f t="shared" si="27"/>
        <v>3609</v>
      </c>
      <c r="I73" s="335">
        <f t="shared" si="27"/>
        <v>3660</v>
      </c>
      <c r="J73" s="335">
        <f t="shared" si="27"/>
        <v>11332</v>
      </c>
      <c r="K73" s="335">
        <f t="shared" si="27"/>
        <v>7620.75</v>
      </c>
      <c r="L73" s="335">
        <f t="shared" si="27"/>
        <v>6363.25</v>
      </c>
      <c r="M73" s="335">
        <f t="shared" si="27"/>
        <v>11857.416666666666</v>
      </c>
      <c r="N73" s="335">
        <f t="shared" si="27"/>
        <v>4350</v>
      </c>
      <c r="O73" s="335">
        <f t="shared" si="27"/>
        <v>1000</v>
      </c>
      <c r="P73" s="335">
        <f t="shared" si="27"/>
        <v>18593</v>
      </c>
      <c r="Q73" s="335">
        <f t="shared" si="27"/>
        <v>4965</v>
      </c>
      <c r="R73" s="335">
        <f t="shared" si="27"/>
        <v>7997</v>
      </c>
      <c r="S73" s="335">
        <f t="shared" si="27"/>
        <v>0</v>
      </c>
      <c r="T73" s="335">
        <f t="shared" si="27"/>
        <v>10353</v>
      </c>
      <c r="U73" s="335">
        <f t="shared" si="27"/>
        <v>9863</v>
      </c>
      <c r="V73" s="335">
        <f t="shared" si="27"/>
        <v>1650</v>
      </c>
      <c r="W73" s="335">
        <f t="shared" si="27"/>
        <v>8617</v>
      </c>
      <c r="X73" s="335">
        <f t="shared" si="27"/>
        <v>13308</v>
      </c>
      <c r="Y73" s="335">
        <f t="shared" si="27"/>
        <v>21576</v>
      </c>
      <c r="Z73" s="335">
        <f t="shared" si="27"/>
        <v>102272</v>
      </c>
      <c r="AA73" s="335">
        <f t="shared" si="27"/>
        <v>8522.6666666666661</v>
      </c>
      <c r="AB73" s="12"/>
    </row>
    <row r="74" spans="2:28" x14ac:dyDescent="0.25">
      <c r="B74" s="296"/>
      <c r="C74" s="297"/>
      <c r="D74" s="298"/>
      <c r="E74" s="297"/>
      <c r="F74" s="298"/>
      <c r="G74" s="318"/>
      <c r="H74" s="318"/>
      <c r="I74" s="318"/>
      <c r="J74" s="318"/>
      <c r="K74" s="318"/>
      <c r="L74" s="318"/>
      <c r="M74" s="318"/>
      <c r="N74" s="318"/>
      <c r="O74" s="318"/>
      <c r="P74" s="318"/>
      <c r="Q74" s="318"/>
      <c r="R74" s="318"/>
      <c r="S74" s="318"/>
      <c r="T74" s="318"/>
      <c r="U74" s="318"/>
      <c r="V74" s="318"/>
      <c r="W74" s="318"/>
      <c r="X74" s="318"/>
      <c r="Y74" s="318"/>
      <c r="Z74" s="329"/>
      <c r="AA74" s="329"/>
    </row>
    <row r="75" spans="2:28" x14ac:dyDescent="0.25">
      <c r="B75" s="296">
        <v>8</v>
      </c>
      <c r="C75" s="297"/>
      <c r="D75" s="298"/>
      <c r="E75" s="309" t="s">
        <v>561</v>
      </c>
      <c r="F75" s="301"/>
      <c r="G75" s="318"/>
      <c r="H75" s="318"/>
      <c r="I75" s="318"/>
      <c r="J75" s="318"/>
      <c r="K75" s="318"/>
      <c r="L75" s="318"/>
      <c r="M75" s="318"/>
      <c r="N75" s="318"/>
      <c r="O75" s="318"/>
      <c r="P75" s="318"/>
      <c r="Q75" s="318"/>
      <c r="R75" s="318"/>
      <c r="S75" s="318"/>
      <c r="T75" s="318"/>
      <c r="U75" s="318"/>
      <c r="V75" s="318"/>
      <c r="W75" s="318"/>
      <c r="X75" s="318"/>
      <c r="Y75" s="318"/>
      <c r="Z75" s="329"/>
      <c r="AA75" s="329"/>
    </row>
    <row r="76" spans="2:28" x14ac:dyDescent="0.25">
      <c r="B76" s="296"/>
      <c r="C76" s="297"/>
      <c r="D76" s="298"/>
      <c r="E76" s="297"/>
      <c r="F76" s="298" t="s">
        <v>532</v>
      </c>
      <c r="G76" s="325">
        <v>0</v>
      </c>
      <c r="H76" s="325">
        <v>0</v>
      </c>
      <c r="I76" s="325">
        <v>0</v>
      </c>
      <c r="J76" s="325">
        <v>0</v>
      </c>
      <c r="K76" s="325">
        <v>0</v>
      </c>
      <c r="L76" s="325">
        <v>435</v>
      </c>
      <c r="M76" s="325">
        <v>290</v>
      </c>
      <c r="N76" s="325">
        <v>0</v>
      </c>
      <c r="O76" s="325">
        <v>1050</v>
      </c>
      <c r="P76" s="325">
        <v>0</v>
      </c>
      <c r="Q76" s="325">
        <v>0</v>
      </c>
      <c r="R76" s="325">
        <v>0</v>
      </c>
      <c r="S76" s="325">
        <v>0</v>
      </c>
      <c r="T76" s="325">
        <v>1050</v>
      </c>
      <c r="U76" s="325">
        <v>0</v>
      </c>
      <c r="V76" s="325">
        <v>0</v>
      </c>
      <c r="W76" s="325">
        <v>0</v>
      </c>
      <c r="X76" s="325">
        <v>0</v>
      </c>
      <c r="Y76" s="325">
        <v>1050</v>
      </c>
      <c r="Z76" s="329">
        <f t="shared" si="24"/>
        <v>3150</v>
      </c>
      <c r="AA76" s="329">
        <f t="shared" ref="AA76:AA87" si="28">Z76/12</f>
        <v>262.5</v>
      </c>
    </row>
    <row r="77" spans="2:28" x14ac:dyDescent="0.25">
      <c r="B77" s="296"/>
      <c r="C77" s="297"/>
      <c r="D77" s="298"/>
      <c r="E77" s="297"/>
      <c r="F77" s="298" t="s">
        <v>533</v>
      </c>
      <c r="G77" s="325">
        <v>0</v>
      </c>
      <c r="H77" s="325">
        <v>0</v>
      </c>
      <c r="I77" s="325">
        <v>0</v>
      </c>
      <c r="J77" s="325">
        <v>0</v>
      </c>
      <c r="K77" s="325">
        <v>377</v>
      </c>
      <c r="L77" s="325">
        <v>3785</v>
      </c>
      <c r="M77" s="325">
        <v>3329.3333333333335</v>
      </c>
      <c r="N77" s="325">
        <v>0</v>
      </c>
      <c r="O77" s="325">
        <v>0</v>
      </c>
      <c r="P77" s="325">
        <v>9550</v>
      </c>
      <c r="Q77" s="325">
        <v>6900</v>
      </c>
      <c r="R77" s="325">
        <v>8400</v>
      </c>
      <c r="S77" s="325">
        <v>600</v>
      </c>
      <c r="T77" s="325">
        <v>0</v>
      </c>
      <c r="U77" s="325">
        <v>0</v>
      </c>
      <c r="V77" s="325">
        <v>0</v>
      </c>
      <c r="W77" s="325">
        <v>3900</v>
      </c>
      <c r="X77" s="325">
        <v>19500</v>
      </c>
      <c r="Y77" s="325">
        <v>0</v>
      </c>
      <c r="Z77" s="329">
        <f t="shared" si="24"/>
        <v>48850</v>
      </c>
      <c r="AA77" s="329">
        <f t="shared" si="28"/>
        <v>4070.8333333333335</v>
      </c>
    </row>
    <row r="78" spans="2:28" x14ac:dyDescent="0.25">
      <c r="B78" s="296"/>
      <c r="C78" s="297"/>
      <c r="D78" s="298"/>
      <c r="E78" s="297"/>
      <c r="F78" s="298" t="s">
        <v>534</v>
      </c>
      <c r="G78" s="325">
        <v>0</v>
      </c>
      <c r="H78" s="325">
        <v>0</v>
      </c>
      <c r="I78" s="325">
        <v>0</v>
      </c>
      <c r="J78" s="325">
        <v>0</v>
      </c>
      <c r="K78" s="325">
        <v>0</v>
      </c>
      <c r="L78" s="325"/>
      <c r="M78" s="325">
        <v>2083.3333333333335</v>
      </c>
      <c r="N78" s="325">
        <v>10800</v>
      </c>
      <c r="O78" s="325">
        <v>0</v>
      </c>
      <c r="P78" s="325">
        <v>21000</v>
      </c>
      <c r="Q78" s="325">
        <v>2100</v>
      </c>
      <c r="R78" s="325">
        <v>0</v>
      </c>
      <c r="S78" s="325">
        <v>0</v>
      </c>
      <c r="T78" s="325">
        <v>0</v>
      </c>
      <c r="U78" s="325">
        <v>0</v>
      </c>
      <c r="V78" s="325">
        <v>10800</v>
      </c>
      <c r="W78" s="325">
        <v>6600</v>
      </c>
      <c r="X78" s="325">
        <v>10800</v>
      </c>
      <c r="Y78" s="325">
        <v>0</v>
      </c>
      <c r="Z78" s="329">
        <f t="shared" si="24"/>
        <v>62100</v>
      </c>
      <c r="AA78" s="329">
        <f t="shared" si="28"/>
        <v>5175</v>
      </c>
    </row>
    <row r="79" spans="2:28" x14ac:dyDescent="0.25">
      <c r="B79" s="296"/>
      <c r="C79" s="297"/>
      <c r="D79" s="298"/>
      <c r="E79" s="297"/>
      <c r="F79" s="298" t="s">
        <v>558</v>
      </c>
      <c r="G79" s="325">
        <v>0</v>
      </c>
      <c r="H79" s="325">
        <v>0</v>
      </c>
      <c r="I79" s="325">
        <v>0</v>
      </c>
      <c r="J79" s="325">
        <v>0</v>
      </c>
      <c r="K79" s="325">
        <v>575</v>
      </c>
      <c r="L79" s="325">
        <v>1798</v>
      </c>
      <c r="M79" s="325">
        <v>5100</v>
      </c>
      <c r="N79" s="325">
        <v>0</v>
      </c>
      <c r="O79" s="325">
        <v>0</v>
      </c>
      <c r="P79" s="325">
        <v>20276</v>
      </c>
      <c r="Q79" s="325">
        <v>22352</v>
      </c>
      <c r="R79" s="325">
        <v>2750</v>
      </c>
      <c r="S79" s="325">
        <v>0</v>
      </c>
      <c r="T79" s="325">
        <v>0</v>
      </c>
      <c r="U79" s="325">
        <v>9900</v>
      </c>
      <c r="V79" s="325">
        <v>12950</v>
      </c>
      <c r="W79" s="325">
        <v>12375</v>
      </c>
      <c r="X79" s="325">
        <v>11050</v>
      </c>
      <c r="Y79" s="325">
        <v>0</v>
      </c>
      <c r="Z79" s="329">
        <f t="shared" si="24"/>
        <v>91653</v>
      </c>
      <c r="AA79" s="329">
        <f t="shared" si="28"/>
        <v>7637.75</v>
      </c>
    </row>
    <row r="80" spans="2:28" x14ac:dyDescent="0.25">
      <c r="B80" s="296"/>
      <c r="C80" s="297"/>
      <c r="D80" s="298"/>
      <c r="E80" s="297"/>
      <c r="F80" s="298" t="s">
        <v>559</v>
      </c>
      <c r="G80" s="325">
        <v>0</v>
      </c>
      <c r="H80" s="325">
        <v>0</v>
      </c>
      <c r="I80" s="325">
        <v>0</v>
      </c>
      <c r="J80" s="325">
        <v>0</v>
      </c>
      <c r="K80" s="325">
        <v>0</v>
      </c>
      <c r="L80" s="325"/>
      <c r="M80" s="325">
        <v>0</v>
      </c>
      <c r="N80" s="325">
        <v>0</v>
      </c>
      <c r="O80" s="325">
        <v>9000</v>
      </c>
      <c r="P80" s="325">
        <v>0</v>
      </c>
      <c r="Q80" s="325">
        <v>0</v>
      </c>
      <c r="R80" s="325">
        <v>0</v>
      </c>
      <c r="S80" s="325">
        <v>0</v>
      </c>
      <c r="T80" s="325">
        <v>0</v>
      </c>
      <c r="U80" s="325">
        <v>0</v>
      </c>
      <c r="V80" s="325">
        <v>0</v>
      </c>
      <c r="W80" s="325">
        <v>5950</v>
      </c>
      <c r="X80" s="325">
        <v>3000</v>
      </c>
      <c r="Y80" s="325">
        <v>0</v>
      </c>
      <c r="Z80" s="329">
        <f t="shared" si="24"/>
        <v>17950</v>
      </c>
      <c r="AA80" s="329">
        <f t="shared" si="28"/>
        <v>1495.8333333333333</v>
      </c>
    </row>
    <row r="81" spans="2:28" x14ac:dyDescent="0.25">
      <c r="B81" s="296"/>
      <c r="C81" s="297"/>
      <c r="D81" s="298"/>
      <c r="E81" s="297"/>
      <c r="F81" s="298" t="s">
        <v>535</v>
      </c>
      <c r="G81" s="325">
        <v>0</v>
      </c>
      <c r="H81" s="325">
        <v>0</v>
      </c>
      <c r="I81" s="325">
        <v>0</v>
      </c>
      <c r="J81" s="325">
        <v>1621</v>
      </c>
      <c r="K81" s="325">
        <v>2106.6666666666665</v>
      </c>
      <c r="L81" s="325">
        <v>1609.75</v>
      </c>
      <c r="M81" s="325">
        <v>1757.5</v>
      </c>
      <c r="N81" s="325">
        <v>12900</v>
      </c>
      <c r="O81" s="325">
        <v>7960</v>
      </c>
      <c r="P81" s="325">
        <v>4990</v>
      </c>
      <c r="Q81" s="325">
        <v>0</v>
      </c>
      <c r="R81" s="325">
        <v>0</v>
      </c>
      <c r="S81" s="325">
        <v>0</v>
      </c>
      <c r="T81" s="325">
        <v>0</v>
      </c>
      <c r="U81" s="325">
        <v>0</v>
      </c>
      <c r="V81" s="325">
        <v>11810</v>
      </c>
      <c r="W81" s="325">
        <v>0</v>
      </c>
      <c r="X81" s="325">
        <v>0</v>
      </c>
      <c r="Y81" s="325">
        <v>0</v>
      </c>
      <c r="Z81" s="329">
        <f t="shared" si="24"/>
        <v>37660</v>
      </c>
      <c r="AA81" s="329">
        <f t="shared" si="28"/>
        <v>3138.3333333333335</v>
      </c>
    </row>
    <row r="82" spans="2:28" x14ac:dyDescent="0.25">
      <c r="B82" s="296"/>
      <c r="C82" s="297"/>
      <c r="D82" s="298"/>
      <c r="E82" s="297"/>
      <c r="F82" s="298" t="s">
        <v>536</v>
      </c>
      <c r="G82" s="325">
        <v>0</v>
      </c>
      <c r="H82" s="325">
        <v>0</v>
      </c>
      <c r="I82" s="325">
        <v>0</v>
      </c>
      <c r="J82" s="325">
        <v>0</v>
      </c>
      <c r="K82" s="325">
        <v>132</v>
      </c>
      <c r="L82" s="325">
        <v>234</v>
      </c>
      <c r="M82" s="325">
        <v>354</v>
      </c>
      <c r="N82" s="325">
        <v>0</v>
      </c>
      <c r="O82" s="325">
        <v>0</v>
      </c>
      <c r="P82" s="325">
        <v>0</v>
      </c>
      <c r="Q82" s="325">
        <v>0</v>
      </c>
      <c r="R82" s="325">
        <v>0</v>
      </c>
      <c r="S82" s="325">
        <v>1975</v>
      </c>
      <c r="T82" s="325">
        <v>0</v>
      </c>
      <c r="U82" s="325">
        <v>0</v>
      </c>
      <c r="V82" s="325">
        <v>0</v>
      </c>
      <c r="W82" s="325">
        <v>0</v>
      </c>
      <c r="X82" s="325">
        <v>0</v>
      </c>
      <c r="Y82" s="325">
        <v>0</v>
      </c>
      <c r="Z82" s="329">
        <f t="shared" si="24"/>
        <v>1975</v>
      </c>
      <c r="AA82" s="329">
        <f t="shared" si="28"/>
        <v>164.58333333333334</v>
      </c>
    </row>
    <row r="83" spans="2:28" x14ac:dyDescent="0.25">
      <c r="B83" s="296"/>
      <c r="C83" s="297"/>
      <c r="D83" s="298"/>
      <c r="E83" s="297"/>
      <c r="F83" s="298" t="s">
        <v>537</v>
      </c>
      <c r="G83" s="325">
        <v>0</v>
      </c>
      <c r="H83" s="325">
        <v>0</v>
      </c>
      <c r="I83" s="325">
        <v>0</v>
      </c>
      <c r="J83" s="325">
        <v>0</v>
      </c>
      <c r="K83" s="325">
        <v>0</v>
      </c>
      <c r="L83" s="325">
        <v>1367.3333333333333</v>
      </c>
      <c r="M83" s="325">
        <v>2245.5</v>
      </c>
      <c r="N83" s="325">
        <v>0</v>
      </c>
      <c r="O83" s="325">
        <v>0</v>
      </c>
      <c r="P83" s="325">
        <v>0</v>
      </c>
      <c r="Q83" s="325">
        <v>0</v>
      </c>
      <c r="R83" s="325">
        <v>0</v>
      </c>
      <c r="S83" s="325">
        <v>14600</v>
      </c>
      <c r="T83" s="325">
        <v>0</v>
      </c>
      <c r="U83" s="325">
        <v>0</v>
      </c>
      <c r="V83" s="325">
        <v>0</v>
      </c>
      <c r="W83" s="325">
        <v>0</v>
      </c>
      <c r="X83" s="325">
        <v>5800</v>
      </c>
      <c r="Y83" s="325">
        <v>11992</v>
      </c>
      <c r="Z83" s="329">
        <f t="shared" si="24"/>
        <v>32392</v>
      </c>
      <c r="AA83" s="329">
        <f t="shared" si="28"/>
        <v>2699.3333333333335</v>
      </c>
    </row>
    <row r="84" spans="2:28" x14ac:dyDescent="0.25">
      <c r="B84" s="296"/>
      <c r="C84" s="297"/>
      <c r="D84" s="298"/>
      <c r="E84" s="297"/>
      <c r="F84" s="298" t="s">
        <v>538</v>
      </c>
      <c r="G84" s="325">
        <v>0</v>
      </c>
      <c r="H84" s="325">
        <v>0</v>
      </c>
      <c r="I84" s="325">
        <v>0</v>
      </c>
      <c r="J84" s="325">
        <v>0</v>
      </c>
      <c r="K84" s="325">
        <v>0</v>
      </c>
      <c r="L84" s="325">
        <v>0</v>
      </c>
      <c r="M84" s="325">
        <v>0</v>
      </c>
      <c r="N84" s="325">
        <v>0</v>
      </c>
      <c r="O84" s="325">
        <v>0</v>
      </c>
      <c r="P84" s="325">
        <v>0</v>
      </c>
      <c r="Q84" s="325">
        <v>0</v>
      </c>
      <c r="R84" s="325">
        <v>0</v>
      </c>
      <c r="S84" s="325">
        <v>0</v>
      </c>
      <c r="T84" s="325">
        <v>0</v>
      </c>
      <c r="U84" s="325">
        <v>0</v>
      </c>
      <c r="V84" s="325">
        <v>0</v>
      </c>
      <c r="W84" s="325">
        <v>0</v>
      </c>
      <c r="X84" s="325">
        <v>0</v>
      </c>
      <c r="Y84" s="325">
        <v>0</v>
      </c>
      <c r="Z84" s="329">
        <f t="shared" si="24"/>
        <v>0</v>
      </c>
      <c r="AA84" s="329">
        <f t="shared" si="28"/>
        <v>0</v>
      </c>
    </row>
    <row r="85" spans="2:28" x14ac:dyDescent="0.25">
      <c r="B85" s="296"/>
      <c r="C85" s="297"/>
      <c r="D85" s="298"/>
      <c r="E85" s="297"/>
      <c r="F85" s="298" t="s">
        <v>539</v>
      </c>
      <c r="G85" s="325">
        <v>0</v>
      </c>
      <c r="H85" s="325">
        <v>0</v>
      </c>
      <c r="I85" s="325">
        <v>0</v>
      </c>
      <c r="J85" s="325">
        <v>0</v>
      </c>
      <c r="K85" s="325">
        <v>0</v>
      </c>
      <c r="L85" s="325">
        <v>0</v>
      </c>
      <c r="M85" s="325">
        <v>0</v>
      </c>
      <c r="N85" s="325">
        <v>0</v>
      </c>
      <c r="O85" s="325">
        <v>0</v>
      </c>
      <c r="P85" s="325">
        <v>0</v>
      </c>
      <c r="Q85" s="325">
        <v>0</v>
      </c>
      <c r="R85" s="325">
        <v>0</v>
      </c>
      <c r="S85" s="325">
        <v>0</v>
      </c>
      <c r="T85" s="325">
        <v>0</v>
      </c>
      <c r="U85" s="325">
        <v>0</v>
      </c>
      <c r="V85" s="325">
        <v>0</v>
      </c>
      <c r="W85" s="325">
        <v>0</v>
      </c>
      <c r="X85" s="325">
        <v>0</v>
      </c>
      <c r="Y85" s="325">
        <v>0</v>
      </c>
      <c r="Z85" s="329">
        <f t="shared" si="24"/>
        <v>0</v>
      </c>
      <c r="AA85" s="329">
        <f t="shared" si="28"/>
        <v>0</v>
      </c>
    </row>
    <row r="86" spans="2:28" x14ac:dyDescent="0.25">
      <c r="B86" s="296"/>
      <c r="C86" s="297"/>
      <c r="D86" s="298"/>
      <c r="E86" s="297"/>
      <c r="F86" s="298" t="s">
        <v>540</v>
      </c>
      <c r="G86" s="325">
        <v>0</v>
      </c>
      <c r="H86" s="325">
        <v>0</v>
      </c>
      <c r="I86" s="325">
        <v>0</v>
      </c>
      <c r="J86" s="325">
        <v>0</v>
      </c>
      <c r="K86" s="325">
        <v>0</v>
      </c>
      <c r="L86" s="325">
        <v>0</v>
      </c>
      <c r="M86" s="325">
        <v>0</v>
      </c>
      <c r="N86" s="325">
        <v>0</v>
      </c>
      <c r="O86" s="325">
        <v>0</v>
      </c>
      <c r="P86" s="325">
        <v>0</v>
      </c>
      <c r="Q86" s="325">
        <v>0</v>
      </c>
      <c r="R86" s="325">
        <v>0</v>
      </c>
      <c r="S86" s="325">
        <v>0</v>
      </c>
      <c r="T86" s="325">
        <v>0</v>
      </c>
      <c r="U86" s="325">
        <v>0</v>
      </c>
      <c r="V86" s="325">
        <v>0</v>
      </c>
      <c r="W86" s="325">
        <v>5421</v>
      </c>
      <c r="X86" s="325">
        <v>0</v>
      </c>
      <c r="Y86" s="325">
        <v>0</v>
      </c>
      <c r="Z86" s="329">
        <f t="shared" si="24"/>
        <v>5421</v>
      </c>
      <c r="AA86" s="329">
        <f t="shared" si="28"/>
        <v>451.75</v>
      </c>
    </row>
    <row r="87" spans="2:28" ht="15.75" thickBot="1" x14ac:dyDescent="0.3">
      <c r="B87" s="299"/>
      <c r="C87" s="300"/>
      <c r="D87" s="301"/>
      <c r="E87" s="300"/>
      <c r="F87" s="371" t="s">
        <v>541</v>
      </c>
      <c r="G87" s="325">
        <v>0</v>
      </c>
      <c r="H87" s="325">
        <v>0</v>
      </c>
      <c r="I87" s="325">
        <v>0</v>
      </c>
      <c r="J87" s="320">
        <v>0</v>
      </c>
      <c r="K87" s="320">
        <v>0</v>
      </c>
      <c r="L87" s="325">
        <v>0</v>
      </c>
      <c r="M87" s="325">
        <v>0</v>
      </c>
      <c r="N87" s="325">
        <v>0</v>
      </c>
      <c r="O87" s="325">
        <v>0</v>
      </c>
      <c r="P87" s="325">
        <v>0</v>
      </c>
      <c r="Q87" s="325">
        <v>0</v>
      </c>
      <c r="R87" s="325">
        <v>0</v>
      </c>
      <c r="S87" s="325">
        <v>0</v>
      </c>
      <c r="T87" s="325">
        <v>0</v>
      </c>
      <c r="U87" s="325">
        <v>0</v>
      </c>
      <c r="V87" s="325">
        <v>0</v>
      </c>
      <c r="W87" s="325">
        <v>0</v>
      </c>
      <c r="X87" s="325">
        <v>0</v>
      </c>
      <c r="Y87" s="325">
        <v>0</v>
      </c>
      <c r="Z87" s="329">
        <f t="shared" si="24"/>
        <v>0</v>
      </c>
      <c r="AA87" s="329">
        <f t="shared" si="28"/>
        <v>0</v>
      </c>
    </row>
    <row r="88" spans="2:28" ht="15.75" thickBot="1" x14ac:dyDescent="0.3">
      <c r="B88" s="314"/>
      <c r="C88" s="333"/>
      <c r="D88" s="334"/>
      <c r="E88" s="333"/>
      <c r="F88" s="334"/>
      <c r="G88" s="335">
        <f t="shared" ref="G88:AA88" si="29">SUM(G76:G87)</f>
        <v>0</v>
      </c>
      <c r="H88" s="335">
        <f t="shared" si="29"/>
        <v>0</v>
      </c>
      <c r="I88" s="335">
        <f t="shared" si="29"/>
        <v>0</v>
      </c>
      <c r="J88" s="335">
        <f t="shared" si="29"/>
        <v>1621</v>
      </c>
      <c r="K88" s="335">
        <f t="shared" si="29"/>
        <v>3190.6666666666665</v>
      </c>
      <c r="L88" s="335">
        <f t="shared" si="29"/>
        <v>9229.0833333333339</v>
      </c>
      <c r="M88" s="335">
        <f t="shared" si="29"/>
        <v>15159.666666666668</v>
      </c>
      <c r="N88" s="335">
        <f t="shared" si="29"/>
        <v>23700</v>
      </c>
      <c r="O88" s="335">
        <f t="shared" si="29"/>
        <v>18010</v>
      </c>
      <c r="P88" s="335">
        <f t="shared" si="29"/>
        <v>55816</v>
      </c>
      <c r="Q88" s="335">
        <f t="shared" si="29"/>
        <v>31352</v>
      </c>
      <c r="R88" s="335">
        <f t="shared" si="29"/>
        <v>11150</v>
      </c>
      <c r="S88" s="335">
        <f t="shared" si="29"/>
        <v>17175</v>
      </c>
      <c r="T88" s="335">
        <f t="shared" si="29"/>
        <v>1050</v>
      </c>
      <c r="U88" s="335">
        <f t="shared" si="29"/>
        <v>9900</v>
      </c>
      <c r="V88" s="335">
        <f t="shared" si="29"/>
        <v>35560</v>
      </c>
      <c r="W88" s="335">
        <f t="shared" si="29"/>
        <v>34246</v>
      </c>
      <c r="X88" s="335">
        <f t="shared" si="29"/>
        <v>50150</v>
      </c>
      <c r="Y88" s="335">
        <f t="shared" si="29"/>
        <v>13042</v>
      </c>
      <c r="Z88" s="335">
        <f t="shared" si="29"/>
        <v>301151</v>
      </c>
      <c r="AA88" s="335">
        <f t="shared" si="29"/>
        <v>25095.916666666664</v>
      </c>
      <c r="AB88" s="12"/>
    </row>
    <row r="89" spans="2:28" x14ac:dyDescent="0.25">
      <c r="B89" s="296"/>
      <c r="C89" s="297"/>
      <c r="D89" s="298"/>
      <c r="E89" s="297"/>
      <c r="F89" s="298"/>
      <c r="G89" s="318"/>
      <c r="H89" s="318"/>
      <c r="I89" s="318"/>
      <c r="J89" s="318"/>
      <c r="K89" s="318"/>
      <c r="L89" s="318"/>
      <c r="M89" s="318"/>
      <c r="N89" s="318"/>
      <c r="O89" s="318"/>
      <c r="P89" s="318"/>
      <c r="Q89" s="318"/>
      <c r="R89" s="318"/>
      <c r="S89" s="318"/>
      <c r="T89" s="318"/>
      <c r="U89" s="318"/>
      <c r="V89" s="318"/>
      <c r="W89" s="318"/>
      <c r="X89" s="318"/>
      <c r="Y89" s="318"/>
      <c r="Z89" s="329"/>
      <c r="AA89" s="329"/>
    </row>
    <row r="90" spans="2:28" x14ac:dyDescent="0.25">
      <c r="B90" s="299">
        <v>9</v>
      </c>
      <c r="C90" s="300"/>
      <c r="D90" s="301"/>
      <c r="E90" s="308" t="s">
        <v>453</v>
      </c>
      <c r="F90" s="301"/>
      <c r="G90" s="319"/>
      <c r="H90" s="319"/>
      <c r="I90" s="319"/>
      <c r="J90" s="319"/>
      <c r="K90" s="319"/>
      <c r="L90" s="319"/>
      <c r="M90" s="319"/>
      <c r="N90" s="319"/>
      <c r="O90" s="319"/>
      <c r="P90" s="319"/>
      <c r="Q90" s="319"/>
      <c r="R90" s="319"/>
      <c r="S90" s="319"/>
      <c r="T90" s="319"/>
      <c r="U90" s="319"/>
      <c r="V90" s="319"/>
      <c r="W90" s="319"/>
      <c r="X90" s="319"/>
      <c r="Y90" s="319"/>
      <c r="Z90" s="329"/>
      <c r="AA90" s="329"/>
    </row>
    <row r="91" spans="2:28" x14ac:dyDescent="0.25">
      <c r="B91" s="299"/>
      <c r="C91" s="300"/>
      <c r="D91" s="301"/>
      <c r="E91" s="300"/>
      <c r="F91" s="316" t="s">
        <v>455</v>
      </c>
      <c r="G91" s="320">
        <v>7380</v>
      </c>
      <c r="H91" s="320">
        <v>11409</v>
      </c>
      <c r="I91" s="320">
        <v>20307</v>
      </c>
      <c r="J91" s="320">
        <v>13456</v>
      </c>
      <c r="K91" s="320">
        <v>16274.583333333334</v>
      </c>
      <c r="L91" s="320">
        <v>16057.916666666666</v>
      </c>
      <c r="M91" s="320">
        <v>7930.25</v>
      </c>
      <c r="N91" s="320">
        <v>1300</v>
      </c>
      <c r="O91" s="320">
        <v>1605</v>
      </c>
      <c r="P91" s="320">
        <v>660</v>
      </c>
      <c r="Q91" s="320">
        <v>7860</v>
      </c>
      <c r="R91" s="320">
        <v>2950</v>
      </c>
      <c r="S91" s="320">
        <v>230</v>
      </c>
      <c r="T91" s="320">
        <v>0</v>
      </c>
      <c r="U91" s="320">
        <v>1600</v>
      </c>
      <c r="V91" s="320">
        <v>1350</v>
      </c>
      <c r="W91" s="320">
        <v>2600</v>
      </c>
      <c r="X91" s="320">
        <v>2445</v>
      </c>
      <c r="Y91" s="320">
        <v>550</v>
      </c>
      <c r="Z91" s="329">
        <f t="shared" ref="Z91:Z105" si="30">SUM(N91:Y91)</f>
        <v>23150</v>
      </c>
      <c r="AA91" s="329">
        <f t="shared" ref="AA91:AA105" si="31">Z91/12</f>
        <v>1929.1666666666667</v>
      </c>
    </row>
    <row r="92" spans="2:28" x14ac:dyDescent="0.25">
      <c r="B92" s="299"/>
      <c r="C92" s="300"/>
      <c r="D92" s="301"/>
      <c r="E92" s="300"/>
      <c r="F92" s="316" t="s">
        <v>456</v>
      </c>
      <c r="G92" s="320">
        <v>1069</v>
      </c>
      <c r="H92" s="320">
        <v>529</v>
      </c>
      <c r="I92" s="320">
        <v>868</v>
      </c>
      <c r="J92" s="320">
        <v>379</v>
      </c>
      <c r="K92" s="320">
        <v>90</v>
      </c>
      <c r="L92" s="320">
        <v>190.83333333333334</v>
      </c>
      <c r="M92" s="320">
        <v>325.41666666666669</v>
      </c>
      <c r="N92" s="320">
        <v>0</v>
      </c>
      <c r="O92" s="320">
        <v>80</v>
      </c>
      <c r="P92" s="320">
        <v>1000</v>
      </c>
      <c r="Q92" s="320">
        <v>0</v>
      </c>
      <c r="R92" s="320">
        <v>1170</v>
      </c>
      <c r="S92" s="320">
        <v>1000</v>
      </c>
      <c r="T92" s="320">
        <v>1000</v>
      </c>
      <c r="U92" s="320">
        <v>1050</v>
      </c>
      <c r="V92" s="320">
        <v>0</v>
      </c>
      <c r="W92" s="320">
        <v>1170</v>
      </c>
      <c r="X92" s="320">
        <v>0</v>
      </c>
      <c r="Y92" s="320">
        <v>120</v>
      </c>
      <c r="Z92" s="329">
        <f t="shared" si="30"/>
        <v>6590</v>
      </c>
      <c r="AA92" s="329">
        <f t="shared" si="31"/>
        <v>549.16666666666663</v>
      </c>
    </row>
    <row r="93" spans="2:28" x14ac:dyDescent="0.25">
      <c r="B93" s="299"/>
      <c r="C93" s="300"/>
      <c r="D93" s="301"/>
      <c r="E93" s="300"/>
      <c r="F93" s="316" t="s">
        <v>457</v>
      </c>
      <c r="G93" s="320">
        <v>0</v>
      </c>
      <c r="H93" s="320">
        <v>0</v>
      </c>
      <c r="I93" s="320">
        <v>0</v>
      </c>
      <c r="J93" s="320">
        <v>0</v>
      </c>
      <c r="K93" s="320">
        <v>0</v>
      </c>
      <c r="L93" s="320">
        <v>0</v>
      </c>
      <c r="M93" s="320">
        <v>0</v>
      </c>
      <c r="N93" s="320">
        <v>0</v>
      </c>
      <c r="O93" s="320">
        <v>0</v>
      </c>
      <c r="P93" s="320">
        <v>0</v>
      </c>
      <c r="Q93" s="320">
        <v>0</v>
      </c>
      <c r="R93" s="320">
        <v>0</v>
      </c>
      <c r="S93" s="320">
        <v>0</v>
      </c>
      <c r="T93" s="320">
        <v>0</v>
      </c>
      <c r="U93" s="320">
        <v>0</v>
      </c>
      <c r="V93" s="320">
        <v>0</v>
      </c>
      <c r="W93" s="320">
        <v>0</v>
      </c>
      <c r="X93" s="320">
        <v>0</v>
      </c>
      <c r="Y93" s="320">
        <v>0</v>
      </c>
      <c r="Z93" s="329">
        <f t="shared" si="30"/>
        <v>0</v>
      </c>
      <c r="AA93" s="329">
        <f t="shared" si="31"/>
        <v>0</v>
      </c>
    </row>
    <row r="94" spans="2:28" x14ac:dyDescent="0.25">
      <c r="B94" s="299"/>
      <c r="C94" s="300"/>
      <c r="D94" s="301"/>
      <c r="E94" s="300"/>
      <c r="F94" s="316" t="s">
        <v>458</v>
      </c>
      <c r="G94" s="320">
        <v>1128</v>
      </c>
      <c r="H94" s="320">
        <v>0</v>
      </c>
      <c r="I94" s="320">
        <v>0</v>
      </c>
      <c r="J94" s="320">
        <v>0</v>
      </c>
      <c r="K94" s="320">
        <v>0</v>
      </c>
      <c r="L94" s="320">
        <v>0</v>
      </c>
      <c r="M94" s="320">
        <v>0</v>
      </c>
      <c r="N94" s="320">
        <v>0</v>
      </c>
      <c r="O94" s="320">
        <v>0</v>
      </c>
      <c r="P94" s="320">
        <v>0</v>
      </c>
      <c r="Q94" s="320">
        <v>0</v>
      </c>
      <c r="R94" s="320">
        <v>0</v>
      </c>
      <c r="S94" s="320">
        <v>0</v>
      </c>
      <c r="T94" s="320">
        <v>0</v>
      </c>
      <c r="U94" s="320">
        <v>0</v>
      </c>
      <c r="V94" s="320">
        <v>0</v>
      </c>
      <c r="W94" s="320">
        <v>0</v>
      </c>
      <c r="X94" s="320">
        <v>0</v>
      </c>
      <c r="Y94" s="320">
        <v>0</v>
      </c>
      <c r="Z94" s="329">
        <f t="shared" si="30"/>
        <v>0</v>
      </c>
      <c r="AA94" s="329">
        <f t="shared" si="31"/>
        <v>0</v>
      </c>
    </row>
    <row r="95" spans="2:28" x14ac:dyDescent="0.25">
      <c r="B95" s="299"/>
      <c r="C95" s="300"/>
      <c r="D95" s="301"/>
      <c r="E95" s="300"/>
      <c r="F95" s="316" t="s">
        <v>473</v>
      </c>
      <c r="G95" s="320">
        <v>2206</v>
      </c>
      <c r="H95" s="320">
        <v>173</v>
      </c>
      <c r="I95" s="320">
        <v>1550</v>
      </c>
      <c r="J95" s="320">
        <v>0</v>
      </c>
      <c r="K95" s="320">
        <v>0</v>
      </c>
      <c r="L95" s="320">
        <v>0</v>
      </c>
      <c r="M95" s="320">
        <v>0</v>
      </c>
      <c r="N95" s="320">
        <v>0</v>
      </c>
      <c r="O95" s="320">
        <v>0</v>
      </c>
      <c r="P95" s="320">
        <v>0</v>
      </c>
      <c r="Q95" s="320">
        <v>0</v>
      </c>
      <c r="R95" s="320">
        <v>0</v>
      </c>
      <c r="S95" s="320">
        <v>0</v>
      </c>
      <c r="T95" s="320">
        <v>0</v>
      </c>
      <c r="U95" s="320">
        <v>0</v>
      </c>
      <c r="V95" s="320">
        <v>0</v>
      </c>
      <c r="W95" s="320">
        <v>0</v>
      </c>
      <c r="X95" s="320">
        <v>0</v>
      </c>
      <c r="Y95" s="320">
        <v>0</v>
      </c>
      <c r="Z95" s="329">
        <f t="shared" si="30"/>
        <v>0</v>
      </c>
      <c r="AA95" s="329">
        <f t="shared" si="31"/>
        <v>0</v>
      </c>
    </row>
    <row r="96" spans="2:28" x14ac:dyDescent="0.25">
      <c r="B96" s="299"/>
      <c r="C96" s="300"/>
      <c r="D96" s="301"/>
      <c r="E96" s="300"/>
      <c r="F96" s="316" t="s">
        <v>459</v>
      </c>
      <c r="G96" s="320">
        <v>0</v>
      </c>
      <c r="H96" s="320">
        <v>1058</v>
      </c>
      <c r="I96" s="320">
        <v>275</v>
      </c>
      <c r="J96" s="320">
        <v>0</v>
      </c>
      <c r="K96" s="320">
        <v>0</v>
      </c>
      <c r="L96" s="320">
        <v>0</v>
      </c>
      <c r="M96" s="320">
        <v>0</v>
      </c>
      <c r="N96" s="320">
        <v>0</v>
      </c>
      <c r="O96" s="320">
        <v>0</v>
      </c>
      <c r="P96" s="320">
        <v>0</v>
      </c>
      <c r="Q96" s="320">
        <v>0</v>
      </c>
      <c r="R96" s="320">
        <v>0</v>
      </c>
      <c r="S96" s="320">
        <v>0</v>
      </c>
      <c r="T96" s="320">
        <v>0</v>
      </c>
      <c r="U96" s="320">
        <v>0</v>
      </c>
      <c r="V96" s="320">
        <v>0</v>
      </c>
      <c r="W96" s="320">
        <v>0</v>
      </c>
      <c r="X96" s="320">
        <v>0</v>
      </c>
      <c r="Y96" s="320">
        <v>0</v>
      </c>
      <c r="Z96" s="329">
        <f t="shared" si="30"/>
        <v>0</v>
      </c>
      <c r="AA96" s="329">
        <f t="shared" si="31"/>
        <v>0</v>
      </c>
    </row>
    <row r="97" spans="2:28" x14ac:dyDescent="0.25">
      <c r="B97" s="299"/>
      <c r="C97" s="300"/>
      <c r="D97" s="301"/>
      <c r="E97" s="300"/>
      <c r="F97" s="316" t="s">
        <v>471</v>
      </c>
      <c r="G97" s="320">
        <v>232</v>
      </c>
      <c r="H97" s="320">
        <v>46</v>
      </c>
      <c r="I97" s="320">
        <v>30</v>
      </c>
      <c r="J97" s="320">
        <v>21</v>
      </c>
      <c r="K97" s="320">
        <v>0</v>
      </c>
      <c r="L97" s="320">
        <v>0</v>
      </c>
      <c r="M97" s="320">
        <v>0</v>
      </c>
      <c r="N97" s="320">
        <v>0</v>
      </c>
      <c r="O97" s="320">
        <v>0</v>
      </c>
      <c r="P97" s="320">
        <v>0</v>
      </c>
      <c r="Q97" s="320">
        <v>0</v>
      </c>
      <c r="R97" s="320">
        <v>0</v>
      </c>
      <c r="S97" s="320">
        <v>0</v>
      </c>
      <c r="T97" s="320">
        <v>0</v>
      </c>
      <c r="U97" s="320">
        <v>0</v>
      </c>
      <c r="V97" s="320">
        <v>0</v>
      </c>
      <c r="W97" s="320">
        <v>0</v>
      </c>
      <c r="X97" s="320">
        <v>0</v>
      </c>
      <c r="Y97" s="320">
        <v>0</v>
      </c>
      <c r="Z97" s="329">
        <f t="shared" si="30"/>
        <v>0</v>
      </c>
      <c r="AA97" s="329">
        <f t="shared" si="31"/>
        <v>0</v>
      </c>
    </row>
    <row r="98" spans="2:28" x14ac:dyDescent="0.25">
      <c r="B98" s="299"/>
      <c r="C98" s="300"/>
      <c r="D98" s="301"/>
      <c r="E98" s="300"/>
      <c r="F98" s="316" t="s">
        <v>481</v>
      </c>
      <c r="G98" s="320">
        <v>0</v>
      </c>
      <c r="H98" s="320">
        <v>0</v>
      </c>
      <c r="I98" s="320">
        <v>0</v>
      </c>
      <c r="J98" s="320">
        <v>529</v>
      </c>
      <c r="K98" s="320">
        <v>0</v>
      </c>
      <c r="L98" s="320">
        <v>0</v>
      </c>
      <c r="M98" s="320">
        <v>0</v>
      </c>
      <c r="N98" s="320">
        <v>0</v>
      </c>
      <c r="O98" s="320">
        <v>0</v>
      </c>
      <c r="P98" s="320">
        <v>0</v>
      </c>
      <c r="Q98" s="320">
        <v>997</v>
      </c>
      <c r="R98" s="320">
        <v>0</v>
      </c>
      <c r="S98" s="320">
        <v>0</v>
      </c>
      <c r="T98" s="320">
        <v>0</v>
      </c>
      <c r="U98" s="320">
        <v>0</v>
      </c>
      <c r="V98" s="320">
        <v>0</v>
      </c>
      <c r="W98" s="320">
        <v>0</v>
      </c>
      <c r="X98" s="320">
        <v>0</v>
      </c>
      <c r="Y98" s="320">
        <v>0</v>
      </c>
      <c r="Z98" s="329">
        <f t="shared" si="30"/>
        <v>997</v>
      </c>
      <c r="AA98" s="329">
        <f t="shared" si="31"/>
        <v>83.083333333333329</v>
      </c>
    </row>
    <row r="99" spans="2:28" x14ac:dyDescent="0.25">
      <c r="B99" s="299"/>
      <c r="C99" s="300"/>
      <c r="D99" s="301"/>
      <c r="E99" s="300"/>
      <c r="F99" s="316" t="s">
        <v>472</v>
      </c>
      <c r="G99" s="320">
        <v>5146</v>
      </c>
      <c r="H99" s="320">
        <v>217</v>
      </c>
      <c r="I99" s="320">
        <v>78</v>
      </c>
      <c r="J99" s="320">
        <v>63</v>
      </c>
      <c r="K99" s="320">
        <v>0.16666666666666666</v>
      </c>
      <c r="L99" s="320">
        <v>59.583333333333336</v>
      </c>
      <c r="M99" s="320">
        <v>474.16666666666669</v>
      </c>
      <c r="N99" s="320">
        <v>0</v>
      </c>
      <c r="O99" s="320">
        <v>0</v>
      </c>
      <c r="P99" s="320">
        <v>0</v>
      </c>
      <c r="Q99" s="320">
        <v>0</v>
      </c>
      <c r="R99" s="320">
        <v>0</v>
      </c>
      <c r="S99" s="320">
        <v>1380</v>
      </c>
      <c r="T99" s="320">
        <v>0</v>
      </c>
      <c r="U99" s="320">
        <v>0</v>
      </c>
      <c r="V99" s="320">
        <v>0</v>
      </c>
      <c r="W99" s="320">
        <v>0</v>
      </c>
      <c r="X99" s="320">
        <v>0</v>
      </c>
      <c r="Y99" s="320">
        <v>0</v>
      </c>
      <c r="Z99" s="329">
        <f t="shared" si="30"/>
        <v>1380</v>
      </c>
      <c r="AA99" s="329">
        <f t="shared" si="31"/>
        <v>115</v>
      </c>
    </row>
    <row r="100" spans="2:28" x14ac:dyDescent="0.25">
      <c r="B100" s="299"/>
      <c r="C100" s="300"/>
      <c r="D100" s="301"/>
      <c r="E100" s="300"/>
      <c r="F100" s="316" t="s">
        <v>483</v>
      </c>
      <c r="G100" s="320">
        <v>0</v>
      </c>
      <c r="H100" s="320">
        <v>0</v>
      </c>
      <c r="I100" s="320">
        <v>0</v>
      </c>
      <c r="J100" s="320">
        <v>6</v>
      </c>
      <c r="K100" s="320">
        <v>0</v>
      </c>
      <c r="L100" s="320">
        <v>16.666666666666668</v>
      </c>
      <c r="M100" s="320">
        <v>62.5</v>
      </c>
      <c r="N100" s="320">
        <v>0</v>
      </c>
      <c r="O100" s="320">
        <v>0</v>
      </c>
      <c r="P100" s="320">
        <v>0</v>
      </c>
      <c r="Q100" s="320">
        <v>0</v>
      </c>
      <c r="R100" s="320">
        <v>0</v>
      </c>
      <c r="S100" s="320">
        <v>0</v>
      </c>
      <c r="T100" s="320">
        <v>0</v>
      </c>
      <c r="U100" s="320">
        <v>0</v>
      </c>
      <c r="V100" s="320">
        <v>0</v>
      </c>
      <c r="W100" s="320">
        <v>0</v>
      </c>
      <c r="X100" s="320">
        <v>0</v>
      </c>
      <c r="Y100" s="320">
        <v>0</v>
      </c>
      <c r="Z100" s="329">
        <f t="shared" si="30"/>
        <v>0</v>
      </c>
      <c r="AA100" s="329">
        <f t="shared" si="31"/>
        <v>0</v>
      </c>
    </row>
    <row r="101" spans="2:28" x14ac:dyDescent="0.25">
      <c r="B101" s="299"/>
      <c r="C101" s="300"/>
      <c r="D101" s="301"/>
      <c r="E101" s="300"/>
      <c r="F101" s="316" t="s">
        <v>460</v>
      </c>
      <c r="G101" s="320">
        <v>2835</v>
      </c>
      <c r="H101" s="320">
        <v>158</v>
      </c>
      <c r="I101" s="320">
        <v>138</v>
      </c>
      <c r="J101" s="320">
        <v>0</v>
      </c>
      <c r="K101" s="320">
        <v>12.5</v>
      </c>
      <c r="L101" s="320">
        <v>8.5</v>
      </c>
      <c r="M101" s="320">
        <v>8.3333333333333339</v>
      </c>
      <c r="N101" s="320">
        <v>0</v>
      </c>
      <c r="O101" s="320">
        <v>0</v>
      </c>
      <c r="P101" s="320">
        <v>0</v>
      </c>
      <c r="Q101" s="320">
        <v>0</v>
      </c>
      <c r="R101" s="320">
        <v>0</v>
      </c>
      <c r="S101" s="320">
        <v>0</v>
      </c>
      <c r="T101" s="320">
        <v>0</v>
      </c>
      <c r="U101" s="320">
        <v>0</v>
      </c>
      <c r="V101" s="320">
        <v>0</v>
      </c>
      <c r="W101" s="320">
        <v>0</v>
      </c>
      <c r="X101" s="320">
        <v>0</v>
      </c>
      <c r="Y101" s="320">
        <v>0</v>
      </c>
      <c r="Z101" s="329">
        <f t="shared" si="30"/>
        <v>0</v>
      </c>
      <c r="AA101" s="329">
        <f t="shared" si="31"/>
        <v>0</v>
      </c>
    </row>
    <row r="102" spans="2:28" x14ac:dyDescent="0.25">
      <c r="B102" s="299"/>
      <c r="C102" s="300"/>
      <c r="D102" s="301"/>
      <c r="E102" s="300"/>
      <c r="F102" s="316" t="s">
        <v>461</v>
      </c>
      <c r="G102" s="320">
        <v>0</v>
      </c>
      <c r="H102" s="320">
        <v>29</v>
      </c>
      <c r="I102" s="320">
        <v>58</v>
      </c>
      <c r="J102" s="320">
        <v>92</v>
      </c>
      <c r="K102" s="320">
        <v>13.333333333333334</v>
      </c>
      <c r="L102" s="320">
        <v>23.75</v>
      </c>
      <c r="M102" s="320">
        <v>15.166666666666666</v>
      </c>
      <c r="N102" s="320">
        <v>0</v>
      </c>
      <c r="O102" s="320">
        <v>70</v>
      </c>
      <c r="P102" s="320">
        <v>295</v>
      </c>
      <c r="Q102" s="320">
        <v>110</v>
      </c>
      <c r="R102" s="320">
        <v>35</v>
      </c>
      <c r="S102" s="320">
        <v>265</v>
      </c>
      <c r="T102" s="320">
        <v>0</v>
      </c>
      <c r="U102" s="320">
        <v>259</v>
      </c>
      <c r="V102" s="320">
        <v>250</v>
      </c>
      <c r="W102" s="320">
        <v>150</v>
      </c>
      <c r="X102" s="320">
        <v>360</v>
      </c>
      <c r="Y102" s="320">
        <v>220</v>
      </c>
      <c r="Z102" s="329">
        <f t="shared" si="30"/>
        <v>2014</v>
      </c>
      <c r="AA102" s="329">
        <f t="shared" si="31"/>
        <v>167.83333333333334</v>
      </c>
    </row>
    <row r="103" spans="2:28" x14ac:dyDescent="0.25">
      <c r="B103" s="299"/>
      <c r="C103" s="300"/>
      <c r="D103" s="301"/>
      <c r="E103" s="300"/>
      <c r="F103" s="316" t="s">
        <v>462</v>
      </c>
      <c r="G103" s="320">
        <v>93</v>
      </c>
      <c r="H103" s="320">
        <v>0</v>
      </c>
      <c r="I103" s="320">
        <v>0</v>
      </c>
      <c r="J103" s="320">
        <v>0</v>
      </c>
      <c r="K103" s="320">
        <v>294.16666666666669</v>
      </c>
      <c r="L103" s="320">
        <v>0</v>
      </c>
      <c r="M103" s="320">
        <v>0</v>
      </c>
      <c r="N103" s="320">
        <v>0</v>
      </c>
      <c r="O103" s="320">
        <v>0</v>
      </c>
      <c r="P103" s="320">
        <v>0</v>
      </c>
      <c r="Q103" s="320">
        <v>0</v>
      </c>
      <c r="R103" s="320">
        <v>0</v>
      </c>
      <c r="S103" s="320">
        <v>0</v>
      </c>
      <c r="T103" s="320">
        <v>0</v>
      </c>
      <c r="U103" s="320">
        <v>0</v>
      </c>
      <c r="V103" s="320">
        <v>0</v>
      </c>
      <c r="W103" s="320">
        <v>0</v>
      </c>
      <c r="X103" s="320">
        <v>0</v>
      </c>
      <c r="Y103" s="320">
        <v>0</v>
      </c>
      <c r="Z103" s="329">
        <f t="shared" si="30"/>
        <v>0</v>
      </c>
      <c r="AA103" s="329">
        <f t="shared" si="31"/>
        <v>0</v>
      </c>
    </row>
    <row r="104" spans="2:28" x14ac:dyDescent="0.25">
      <c r="B104" s="299"/>
      <c r="C104" s="300"/>
      <c r="D104" s="301"/>
      <c r="E104" s="300"/>
      <c r="F104" s="316" t="s">
        <v>463</v>
      </c>
      <c r="G104" s="320">
        <v>702</v>
      </c>
      <c r="H104" s="320">
        <v>335</v>
      </c>
      <c r="I104" s="320">
        <v>676</v>
      </c>
      <c r="J104" s="320">
        <v>150</v>
      </c>
      <c r="K104" s="320">
        <v>3215.8333333333335</v>
      </c>
      <c r="L104" s="320">
        <v>4026.6666666666665</v>
      </c>
      <c r="M104" s="320">
        <v>4458.166666666667</v>
      </c>
      <c r="N104" s="320">
        <v>5058</v>
      </c>
      <c r="O104" s="320">
        <v>2470</v>
      </c>
      <c r="P104" s="320">
        <v>4870</v>
      </c>
      <c r="Q104" s="320">
        <v>4904</v>
      </c>
      <c r="R104" s="320">
        <v>3276</v>
      </c>
      <c r="S104" s="320">
        <v>3812</v>
      </c>
      <c r="T104" s="320">
        <v>1650</v>
      </c>
      <c r="U104" s="320">
        <v>5160</v>
      </c>
      <c r="V104" s="320">
        <v>5290</v>
      </c>
      <c r="W104" s="320">
        <v>7850</v>
      </c>
      <c r="X104" s="320">
        <v>6500</v>
      </c>
      <c r="Y104" s="320">
        <v>1200</v>
      </c>
      <c r="Z104" s="329">
        <f t="shared" si="30"/>
        <v>52040</v>
      </c>
      <c r="AA104" s="329">
        <f t="shared" si="31"/>
        <v>4336.666666666667</v>
      </c>
    </row>
    <row r="105" spans="2:28" ht="15.75" thickBot="1" x14ac:dyDescent="0.3">
      <c r="B105" s="305"/>
      <c r="C105" s="306"/>
      <c r="D105" s="307"/>
      <c r="E105" s="306"/>
      <c r="F105" s="317" t="s">
        <v>464</v>
      </c>
      <c r="G105" s="323">
        <v>0</v>
      </c>
      <c r="H105" s="323">
        <v>0</v>
      </c>
      <c r="I105" s="323">
        <v>627</v>
      </c>
      <c r="J105" s="323">
        <v>13</v>
      </c>
      <c r="K105" s="323">
        <v>63.083333333333336</v>
      </c>
      <c r="L105" s="320">
        <v>112.5</v>
      </c>
      <c r="M105" s="320">
        <v>288.58333333333331</v>
      </c>
      <c r="N105" s="320">
        <v>0</v>
      </c>
      <c r="O105" s="320">
        <v>100</v>
      </c>
      <c r="P105" s="320">
        <v>40</v>
      </c>
      <c r="Q105" s="320">
        <v>0</v>
      </c>
      <c r="R105" s="320">
        <v>0</v>
      </c>
      <c r="S105" s="320">
        <v>1500</v>
      </c>
      <c r="T105" s="320">
        <v>4538</v>
      </c>
      <c r="U105" s="320">
        <v>825</v>
      </c>
      <c r="V105" s="320">
        <v>0</v>
      </c>
      <c r="W105" s="320">
        <v>100</v>
      </c>
      <c r="X105" s="320">
        <v>0</v>
      </c>
      <c r="Y105" s="320">
        <v>0</v>
      </c>
      <c r="Z105" s="329">
        <f t="shared" si="30"/>
        <v>7103</v>
      </c>
      <c r="AA105" s="329">
        <f t="shared" si="31"/>
        <v>591.91666666666663</v>
      </c>
    </row>
    <row r="106" spans="2:28" ht="15.75" thickBot="1" x14ac:dyDescent="0.3">
      <c r="B106" s="314"/>
      <c r="C106" s="315"/>
      <c r="D106" s="315"/>
      <c r="E106" s="315"/>
      <c r="F106" s="315"/>
      <c r="G106" s="327">
        <f t="shared" ref="G106:Z106" si="32">SUM(G91:G105)</f>
        <v>20791</v>
      </c>
      <c r="H106" s="327">
        <f t="shared" si="32"/>
        <v>13954</v>
      </c>
      <c r="I106" s="327">
        <f t="shared" si="32"/>
        <v>24607</v>
      </c>
      <c r="J106" s="327">
        <f>SUM(J91:J105)</f>
        <v>14709</v>
      </c>
      <c r="K106" s="327">
        <f t="shared" si="32"/>
        <v>19963.666666666664</v>
      </c>
      <c r="L106" s="327">
        <f>SUM(L91:L105)</f>
        <v>20496.416666666668</v>
      </c>
      <c r="M106" s="327">
        <f>SUM(M91:M105)</f>
        <v>13562.583333333334</v>
      </c>
      <c r="N106" s="327">
        <f t="shared" si="32"/>
        <v>6358</v>
      </c>
      <c r="O106" s="327">
        <f t="shared" si="32"/>
        <v>4325</v>
      </c>
      <c r="P106" s="327">
        <f>SUM(P91:P105)</f>
        <v>6865</v>
      </c>
      <c r="Q106" s="327">
        <f t="shared" si="32"/>
        <v>13871</v>
      </c>
      <c r="R106" s="327">
        <f t="shared" si="32"/>
        <v>7431</v>
      </c>
      <c r="S106" s="327">
        <f t="shared" si="32"/>
        <v>8187</v>
      </c>
      <c r="T106" s="327">
        <f t="shared" si="32"/>
        <v>7188</v>
      </c>
      <c r="U106" s="327">
        <f t="shared" si="32"/>
        <v>8894</v>
      </c>
      <c r="V106" s="327">
        <f t="shared" si="32"/>
        <v>6890</v>
      </c>
      <c r="W106" s="327">
        <f t="shared" si="32"/>
        <v>11870</v>
      </c>
      <c r="X106" s="327">
        <f t="shared" ref="X106:Y106" si="33">SUM(X91:X105)</f>
        <v>9305</v>
      </c>
      <c r="Y106" s="327">
        <f t="shared" si="33"/>
        <v>2090</v>
      </c>
      <c r="Z106" s="327">
        <f t="shared" si="32"/>
        <v>93274</v>
      </c>
      <c r="AA106" s="368">
        <f>SUM(AA91:AA105)</f>
        <v>7772.8333333333348</v>
      </c>
    </row>
    <row r="107" spans="2:28" ht="15.75" thickBot="1" x14ac:dyDescent="0.3">
      <c r="B107" s="455" t="s">
        <v>474</v>
      </c>
      <c r="C107" s="456"/>
      <c r="D107" s="456"/>
      <c r="E107" s="456"/>
      <c r="F107" s="457"/>
      <c r="G107" s="326">
        <f t="shared" ref="G107:AA107" si="34">G29+G65+G73+G88+G106</f>
        <v>245111</v>
      </c>
      <c r="H107" s="326">
        <f t="shared" si="34"/>
        <v>253203</v>
      </c>
      <c r="I107" s="326">
        <f t="shared" si="34"/>
        <v>267736</v>
      </c>
      <c r="J107" s="326">
        <f t="shared" si="34"/>
        <v>339496</v>
      </c>
      <c r="K107" s="326">
        <f t="shared" si="34"/>
        <v>392101.91666666674</v>
      </c>
      <c r="L107" s="326">
        <f t="shared" si="34"/>
        <v>356850.5</v>
      </c>
      <c r="M107" s="326">
        <f t="shared" si="34"/>
        <v>262216.91666666663</v>
      </c>
      <c r="N107" s="326">
        <f t="shared" si="34"/>
        <v>187577</v>
      </c>
      <c r="O107" s="326">
        <f t="shared" si="34"/>
        <v>176191</v>
      </c>
      <c r="P107" s="326">
        <f t="shared" si="34"/>
        <v>195409</v>
      </c>
      <c r="Q107" s="326">
        <f t="shared" si="34"/>
        <v>150865</v>
      </c>
      <c r="R107" s="326">
        <f t="shared" si="34"/>
        <v>157116</v>
      </c>
      <c r="S107" s="326">
        <f t="shared" si="34"/>
        <v>149967</v>
      </c>
      <c r="T107" s="326">
        <f t="shared" si="34"/>
        <v>156043</v>
      </c>
      <c r="U107" s="326">
        <f t="shared" si="34"/>
        <v>162145</v>
      </c>
      <c r="V107" s="326">
        <f t="shared" si="34"/>
        <v>151386</v>
      </c>
      <c r="W107" s="326">
        <f t="shared" si="34"/>
        <v>136885</v>
      </c>
      <c r="X107" s="326">
        <f t="shared" si="34"/>
        <v>199293</v>
      </c>
      <c r="Y107" s="326">
        <f t="shared" si="34"/>
        <v>147582</v>
      </c>
      <c r="Z107" s="326">
        <f t="shared" si="34"/>
        <v>1970459</v>
      </c>
      <c r="AA107" s="326">
        <f t="shared" si="34"/>
        <v>172017.73333333331</v>
      </c>
      <c r="AB107" s="12"/>
    </row>
    <row r="108" spans="2:28" x14ac:dyDescent="0.25"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2:28" x14ac:dyDescent="0.25"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443"/>
      <c r="AA109" s="443"/>
    </row>
  </sheetData>
  <mergeCells count="11">
    <mergeCell ref="B107:F107"/>
    <mergeCell ref="Z109:AA109"/>
    <mergeCell ref="G6:Y6"/>
    <mergeCell ref="B2:AA2"/>
    <mergeCell ref="B3:AA3"/>
    <mergeCell ref="B4:AA4"/>
    <mergeCell ref="B6:B7"/>
    <mergeCell ref="C6:D7"/>
    <mergeCell ref="E6:F7"/>
    <mergeCell ref="Z6:Z7"/>
    <mergeCell ref="AA6:AA7"/>
  </mergeCells>
  <pageMargins left="0.7" right="0.7" top="0.75" bottom="0.75" header="0.3" footer="0.3"/>
  <pageSetup paperSize="9" orientation="portrait" horizontalDpi="360" verticalDpi="36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B2:AC113"/>
  <sheetViews>
    <sheetView tabSelected="1" topLeftCell="F1" zoomScale="60" zoomScaleNormal="60" workbookViewId="0">
      <selection activeCell="Q23" sqref="Q23"/>
    </sheetView>
  </sheetViews>
  <sheetFormatPr defaultRowHeight="15" x14ac:dyDescent="0.25"/>
  <cols>
    <col min="2" max="2" width="4.5703125" customWidth="1"/>
    <col min="3" max="3" width="15.7109375" customWidth="1"/>
    <col min="4" max="4" width="22.28515625" customWidth="1"/>
    <col min="5" max="5" width="2.7109375" customWidth="1"/>
    <col min="6" max="6" width="33.28515625" customWidth="1"/>
    <col min="7" max="11" width="15.7109375" customWidth="1"/>
    <col min="12" max="14" width="14.85546875" customWidth="1"/>
    <col min="15" max="22" width="15.5703125" customWidth="1"/>
    <col min="23" max="23" width="18.7109375" bestFit="1" customWidth="1"/>
    <col min="24" max="24" width="15.5703125" customWidth="1"/>
    <col min="25" max="25" width="18.28515625" bestFit="1" customWidth="1"/>
    <col min="26" max="26" width="17.28515625" customWidth="1"/>
    <col min="27" max="27" width="15.5703125" customWidth="1"/>
    <col min="28" max="28" width="15.7109375" customWidth="1"/>
  </cols>
  <sheetData>
    <row r="2" spans="2:28" ht="15.75" x14ac:dyDescent="0.25">
      <c r="B2" s="423" t="s">
        <v>90</v>
      </c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423"/>
      <c r="AA2" s="423"/>
      <c r="AB2" s="423"/>
    </row>
    <row r="3" spans="2:28" x14ac:dyDescent="0.25">
      <c r="B3" s="392" t="s">
        <v>586</v>
      </c>
      <c r="C3" s="392"/>
      <c r="D3" s="392"/>
      <c r="E3" s="392"/>
      <c r="F3" s="392"/>
      <c r="G3" s="392"/>
      <c r="H3" s="392"/>
      <c r="I3" s="392"/>
      <c r="J3" s="392"/>
      <c r="K3" s="392"/>
      <c r="L3" s="392"/>
      <c r="M3" s="392"/>
      <c r="N3" s="392"/>
      <c r="O3" s="392"/>
      <c r="P3" s="392"/>
      <c r="Q3" s="392"/>
      <c r="R3" s="392"/>
      <c r="S3" s="392"/>
      <c r="T3" s="392"/>
      <c r="U3" s="392"/>
      <c r="V3" s="392"/>
      <c r="W3" s="392"/>
      <c r="X3" s="392"/>
      <c r="Y3" s="392"/>
      <c r="Z3" s="392"/>
      <c r="AA3" s="392"/>
      <c r="AB3" s="392"/>
    </row>
    <row r="4" spans="2:28" ht="15.75" thickBot="1" x14ac:dyDescent="0.3">
      <c r="B4" s="450" t="s">
        <v>394</v>
      </c>
      <c r="C4" s="450"/>
      <c r="D4" s="450"/>
      <c r="E4" s="450"/>
      <c r="F4" s="450"/>
      <c r="G4" s="450"/>
      <c r="H4" s="450"/>
      <c r="I4" s="450"/>
      <c r="J4" s="450"/>
      <c r="K4" s="450"/>
      <c r="L4" s="450"/>
      <c r="M4" s="450"/>
      <c r="N4" s="450"/>
      <c r="O4" s="450"/>
      <c r="P4" s="450"/>
      <c r="Q4" s="450"/>
      <c r="R4" s="450"/>
      <c r="S4" s="450"/>
      <c r="T4" s="450"/>
      <c r="U4" s="450"/>
      <c r="V4" s="450"/>
      <c r="W4" s="450"/>
      <c r="X4" s="450"/>
      <c r="Y4" s="450"/>
      <c r="Z4" s="450"/>
      <c r="AA4" s="450"/>
      <c r="AB4" s="450"/>
    </row>
    <row r="5" spans="2:28" ht="16.5" thickTop="1" thickBot="1" x14ac:dyDescent="0.3"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28" ht="15.75" thickBot="1" x14ac:dyDescent="0.3">
      <c r="B6" s="444" t="s">
        <v>503</v>
      </c>
      <c r="C6" s="444" t="s">
        <v>397</v>
      </c>
      <c r="D6" s="445"/>
      <c r="E6" s="444" t="s">
        <v>398</v>
      </c>
      <c r="F6" s="448"/>
      <c r="G6" s="459" t="s">
        <v>5</v>
      </c>
      <c r="H6" s="458"/>
      <c r="I6" s="458"/>
      <c r="J6" s="458"/>
      <c r="K6" s="458"/>
      <c r="L6" s="458"/>
      <c r="M6" s="458"/>
      <c r="N6" s="458"/>
      <c r="O6" s="458"/>
      <c r="P6" s="458"/>
      <c r="Q6" s="458"/>
      <c r="R6" s="458"/>
      <c r="S6" s="458"/>
      <c r="T6" s="458"/>
      <c r="U6" s="458"/>
      <c r="V6" s="458"/>
      <c r="W6" s="458"/>
      <c r="X6" s="458"/>
      <c r="Y6" s="458"/>
      <c r="Z6" s="460"/>
      <c r="AA6" s="451" t="s">
        <v>469</v>
      </c>
      <c r="AB6" s="453" t="s">
        <v>470</v>
      </c>
    </row>
    <row r="7" spans="2:28" ht="15.75" thickBot="1" x14ac:dyDescent="0.3">
      <c r="B7" s="446"/>
      <c r="C7" s="446"/>
      <c r="D7" s="447"/>
      <c r="E7" s="446"/>
      <c r="F7" s="449"/>
      <c r="G7" s="378" t="s">
        <v>89</v>
      </c>
      <c r="H7" s="379" t="s">
        <v>138</v>
      </c>
      <c r="I7" s="380" t="s">
        <v>467</v>
      </c>
      <c r="J7" s="378" t="s">
        <v>493</v>
      </c>
      <c r="K7" s="381" t="s">
        <v>514</v>
      </c>
      <c r="L7" s="381" t="s">
        <v>531</v>
      </c>
      <c r="M7" s="381" t="s">
        <v>545</v>
      </c>
      <c r="N7" s="381" t="s">
        <v>567</v>
      </c>
      <c r="O7" s="374" t="s">
        <v>568</v>
      </c>
      <c r="P7" s="374" t="s">
        <v>569</v>
      </c>
      <c r="Q7" s="374" t="s">
        <v>570</v>
      </c>
      <c r="R7" s="374" t="s">
        <v>571</v>
      </c>
      <c r="S7" s="374" t="s">
        <v>572</v>
      </c>
      <c r="T7" s="374" t="s">
        <v>573</v>
      </c>
      <c r="U7" s="374" t="s">
        <v>574</v>
      </c>
      <c r="V7" s="374" t="s">
        <v>575</v>
      </c>
      <c r="W7" s="374" t="s">
        <v>576</v>
      </c>
      <c r="X7" s="374" t="s">
        <v>577</v>
      </c>
      <c r="Y7" s="374" t="s">
        <v>578</v>
      </c>
      <c r="Z7" s="374" t="s">
        <v>579</v>
      </c>
      <c r="AA7" s="452"/>
      <c r="AB7" s="454"/>
    </row>
    <row r="8" spans="2:28" x14ac:dyDescent="0.25">
      <c r="B8" s="296"/>
      <c r="C8" s="297"/>
      <c r="D8" s="298"/>
      <c r="E8" s="297"/>
      <c r="F8" s="298"/>
      <c r="G8" s="318"/>
      <c r="H8" s="318"/>
      <c r="I8" s="318"/>
      <c r="J8" s="318"/>
      <c r="K8" s="352"/>
      <c r="L8" s="352"/>
      <c r="M8" s="375"/>
      <c r="N8" s="352"/>
      <c r="O8" s="344"/>
      <c r="P8" s="344"/>
      <c r="Q8" s="344"/>
      <c r="R8" s="344"/>
      <c r="S8" s="344"/>
      <c r="T8" s="344"/>
      <c r="U8" s="344"/>
      <c r="V8" s="352"/>
      <c r="W8" s="375"/>
      <c r="X8" s="344"/>
      <c r="Y8" s="344"/>
      <c r="Z8" s="358"/>
      <c r="AA8" s="328"/>
      <c r="AB8" s="328"/>
    </row>
    <row r="9" spans="2:28" x14ac:dyDescent="0.25">
      <c r="B9" s="299">
        <v>1</v>
      </c>
      <c r="C9" s="300" t="s">
        <v>399</v>
      </c>
      <c r="D9" s="387" t="s">
        <v>418</v>
      </c>
      <c r="E9" s="309" t="s">
        <v>401</v>
      </c>
      <c r="F9" s="301"/>
      <c r="G9" s="319"/>
      <c r="H9" s="319"/>
      <c r="I9" s="319"/>
      <c r="J9" s="319"/>
      <c r="K9" s="319"/>
      <c r="L9" s="319"/>
      <c r="M9" s="337"/>
      <c r="N9" s="319"/>
      <c r="O9" s="345"/>
      <c r="P9" s="345"/>
      <c r="Q9" s="345"/>
      <c r="R9" s="345"/>
      <c r="S9" s="345"/>
      <c r="T9" s="345"/>
      <c r="U9" s="345"/>
      <c r="V9" s="319"/>
      <c r="W9" s="337"/>
      <c r="X9" s="345"/>
      <c r="Y9" s="319"/>
      <c r="Z9" s="382"/>
      <c r="AA9" s="329"/>
      <c r="AB9" s="329"/>
    </row>
    <row r="10" spans="2:28" x14ac:dyDescent="0.25">
      <c r="B10" s="299"/>
      <c r="C10" s="300" t="s">
        <v>402</v>
      </c>
      <c r="D10" s="387" t="s">
        <v>543</v>
      </c>
      <c r="E10" s="300"/>
      <c r="F10" s="301" t="s">
        <v>404</v>
      </c>
      <c r="G10" s="320">
        <v>0</v>
      </c>
      <c r="H10" s="320">
        <v>111</v>
      </c>
      <c r="I10" s="320">
        <v>310</v>
      </c>
      <c r="J10" s="320">
        <v>817</v>
      </c>
      <c r="K10" s="320">
        <v>2365.6666666666665</v>
      </c>
      <c r="L10" s="383">
        <v>3345.6666666666665</v>
      </c>
      <c r="M10" s="385">
        <v>2817.4166666666665</v>
      </c>
      <c r="N10" s="385">
        <v>1679</v>
      </c>
      <c r="O10" s="320">
        <v>120</v>
      </c>
      <c r="P10" s="320">
        <v>1930</v>
      </c>
      <c r="Q10" s="320">
        <v>1190</v>
      </c>
      <c r="R10" s="320">
        <v>1600</v>
      </c>
      <c r="S10" s="320">
        <v>700</v>
      </c>
      <c r="T10" s="320">
        <v>350</v>
      </c>
      <c r="U10" s="320">
        <v>510</v>
      </c>
      <c r="V10" s="320">
        <v>650</v>
      </c>
      <c r="W10" s="320">
        <v>355</v>
      </c>
      <c r="X10" s="320">
        <v>350</v>
      </c>
      <c r="Y10" s="320"/>
      <c r="Z10" s="390"/>
      <c r="AA10" s="329">
        <f>SUM(O10:Z10)</f>
        <v>7755</v>
      </c>
      <c r="AB10" s="329">
        <f>AA10/10</f>
        <v>775.5</v>
      </c>
    </row>
    <row r="11" spans="2:28" x14ac:dyDescent="0.25">
      <c r="B11" s="299"/>
      <c r="C11" s="300"/>
      <c r="D11" s="301"/>
      <c r="E11" s="300"/>
      <c r="F11" s="301" t="s">
        <v>405</v>
      </c>
      <c r="G11" s="320">
        <v>17169</v>
      </c>
      <c r="H11" s="320">
        <v>12906</v>
      </c>
      <c r="I11" s="320">
        <v>15554</v>
      </c>
      <c r="J11" s="320">
        <v>13094</v>
      </c>
      <c r="K11" s="320">
        <v>10871</v>
      </c>
      <c r="L11" s="384">
        <v>7470.666666666667</v>
      </c>
      <c r="M11" s="385">
        <v>5540.583333333333</v>
      </c>
      <c r="N11" s="385">
        <v>3257</v>
      </c>
      <c r="O11" s="320">
        <v>4248</v>
      </c>
      <c r="P11" s="320">
        <v>5333</v>
      </c>
      <c r="Q11" s="320">
        <v>2445</v>
      </c>
      <c r="R11" s="320">
        <v>3423</v>
      </c>
      <c r="S11" s="320">
        <v>5872</v>
      </c>
      <c r="T11" s="320">
        <v>3975</v>
      </c>
      <c r="U11" s="320">
        <v>3874</v>
      </c>
      <c r="V11" s="320">
        <v>2905</v>
      </c>
      <c r="W11" s="320">
        <v>3583</v>
      </c>
      <c r="X11" s="320">
        <v>2860</v>
      </c>
      <c r="Y11" s="320"/>
      <c r="Z11" s="320"/>
      <c r="AA11" s="329">
        <f t="shared" ref="AA11:AA16" si="0">SUM(O11:Z11)</f>
        <v>38518</v>
      </c>
      <c r="AB11" s="329">
        <f t="shared" ref="AB11:AB16" si="1">AA11/10</f>
        <v>3851.8</v>
      </c>
    </row>
    <row r="12" spans="2:28" x14ac:dyDescent="0.25">
      <c r="B12" s="299"/>
      <c r="C12" s="300"/>
      <c r="D12" s="301"/>
      <c r="E12" s="300"/>
      <c r="F12" s="301" t="s">
        <v>406</v>
      </c>
      <c r="G12" s="320">
        <v>2438</v>
      </c>
      <c r="H12" s="320">
        <v>5218</v>
      </c>
      <c r="I12" s="320">
        <v>8158</v>
      </c>
      <c r="J12" s="320">
        <v>10717</v>
      </c>
      <c r="K12" s="320">
        <v>9911.8333333333339</v>
      </c>
      <c r="L12" s="384">
        <v>8695.75</v>
      </c>
      <c r="M12" s="377">
        <v>6002.166666666667</v>
      </c>
      <c r="N12" s="385">
        <v>3687.5</v>
      </c>
      <c r="O12" s="320">
        <v>4435</v>
      </c>
      <c r="P12" s="320">
        <v>5343</v>
      </c>
      <c r="Q12" s="320">
        <v>3956</v>
      </c>
      <c r="R12" s="320">
        <v>5054</v>
      </c>
      <c r="S12" s="320">
        <v>6020</v>
      </c>
      <c r="T12" s="320">
        <v>5760</v>
      </c>
      <c r="U12" s="320">
        <v>4872</v>
      </c>
      <c r="V12" s="320">
        <v>2512</v>
      </c>
      <c r="W12" s="320">
        <v>2869</v>
      </c>
      <c r="X12" s="320">
        <v>4189</v>
      </c>
      <c r="Y12" s="320"/>
      <c r="Z12" s="320"/>
      <c r="AA12" s="329">
        <f>SUM(O12:Z12)</f>
        <v>45010</v>
      </c>
      <c r="AB12" s="329">
        <f t="shared" si="1"/>
        <v>4501</v>
      </c>
    </row>
    <row r="13" spans="2:28" x14ac:dyDescent="0.25">
      <c r="B13" s="299"/>
      <c r="C13" s="300"/>
      <c r="D13" s="301"/>
      <c r="E13" s="300"/>
      <c r="F13" s="301" t="s">
        <v>407</v>
      </c>
      <c r="G13" s="320">
        <v>0</v>
      </c>
      <c r="H13" s="320">
        <v>3310</v>
      </c>
      <c r="I13" s="320">
        <v>5277</v>
      </c>
      <c r="J13" s="320">
        <v>6916</v>
      </c>
      <c r="K13" s="320">
        <v>9123.4166666666661</v>
      </c>
      <c r="L13" s="384">
        <v>6485.916666666667</v>
      </c>
      <c r="M13" s="384">
        <v>5244.166666666667</v>
      </c>
      <c r="N13" s="384">
        <v>2111.3333333333335</v>
      </c>
      <c r="O13" s="320">
        <v>3662</v>
      </c>
      <c r="P13" s="320">
        <v>4937</v>
      </c>
      <c r="Q13" s="320">
        <v>3983</v>
      </c>
      <c r="R13" s="320">
        <v>4454</v>
      </c>
      <c r="S13" s="320">
        <v>8313</v>
      </c>
      <c r="T13" s="320">
        <v>3442</v>
      </c>
      <c r="U13" s="320">
        <v>3837</v>
      </c>
      <c r="V13" s="320">
        <v>5229</v>
      </c>
      <c r="W13" s="320">
        <v>5000</v>
      </c>
      <c r="X13" s="320">
        <v>4312</v>
      </c>
      <c r="Y13" s="320"/>
      <c r="Z13" s="320"/>
      <c r="AA13" s="329">
        <f t="shared" si="0"/>
        <v>47169</v>
      </c>
      <c r="AB13" s="329">
        <f t="shared" si="1"/>
        <v>4716.8999999999996</v>
      </c>
    </row>
    <row r="14" spans="2:28" x14ac:dyDescent="0.25">
      <c r="B14" s="299"/>
      <c r="C14" s="300"/>
      <c r="D14" s="301"/>
      <c r="E14" s="300"/>
      <c r="F14" s="301" t="s">
        <v>408</v>
      </c>
      <c r="G14" s="320">
        <v>11736</v>
      </c>
      <c r="H14" s="320">
        <v>7021</v>
      </c>
      <c r="I14" s="320">
        <v>6964</v>
      </c>
      <c r="J14" s="320">
        <v>9029</v>
      </c>
      <c r="K14" s="320">
        <v>10470.75</v>
      </c>
      <c r="L14" s="385">
        <v>9252.6666666666661</v>
      </c>
      <c r="M14" s="385">
        <v>7958.916666666667</v>
      </c>
      <c r="N14" s="385">
        <v>5755.666666666667</v>
      </c>
      <c r="O14" s="320">
        <v>8116</v>
      </c>
      <c r="P14" s="320">
        <v>5106</v>
      </c>
      <c r="Q14" s="320">
        <v>4688</v>
      </c>
      <c r="R14" s="320">
        <v>7158</v>
      </c>
      <c r="S14" s="320">
        <v>4847</v>
      </c>
      <c r="T14" s="320">
        <v>4896</v>
      </c>
      <c r="U14" s="320">
        <v>5044</v>
      </c>
      <c r="V14" s="320">
        <v>4212</v>
      </c>
      <c r="W14" s="320">
        <v>5055</v>
      </c>
      <c r="X14" s="320">
        <v>6322</v>
      </c>
      <c r="Y14" s="320"/>
      <c r="Z14" s="320"/>
      <c r="AA14" s="329">
        <f t="shared" si="0"/>
        <v>55444</v>
      </c>
      <c r="AB14" s="329">
        <f t="shared" si="1"/>
        <v>5544.4</v>
      </c>
    </row>
    <row r="15" spans="2:28" x14ac:dyDescent="0.25">
      <c r="B15" s="299"/>
      <c r="C15" s="300"/>
      <c r="D15" s="301"/>
      <c r="E15" s="300"/>
      <c r="F15" s="301" t="s">
        <v>437</v>
      </c>
      <c r="G15" s="322">
        <v>9591</v>
      </c>
      <c r="H15" s="322">
        <v>7185</v>
      </c>
      <c r="I15" s="322">
        <v>6736</v>
      </c>
      <c r="J15" s="322">
        <v>10324</v>
      </c>
      <c r="K15" s="322">
        <v>12034.75</v>
      </c>
      <c r="L15" s="384">
        <v>10144.083333333334</v>
      </c>
      <c r="M15" s="385">
        <v>7741.75</v>
      </c>
      <c r="N15" s="385">
        <v>6713</v>
      </c>
      <c r="O15" s="320">
        <v>6267</v>
      </c>
      <c r="P15" s="320">
        <v>5324</v>
      </c>
      <c r="Q15" s="320">
        <v>2703</v>
      </c>
      <c r="R15" s="320">
        <v>5812</v>
      </c>
      <c r="S15" s="320">
        <v>7805</v>
      </c>
      <c r="T15" s="320">
        <v>3606</v>
      </c>
      <c r="U15" s="320">
        <v>4314</v>
      </c>
      <c r="V15" s="320">
        <v>4401</v>
      </c>
      <c r="W15" s="320">
        <v>5850</v>
      </c>
      <c r="X15" s="320">
        <v>7910</v>
      </c>
      <c r="Y15" s="320"/>
      <c r="Z15" s="320"/>
      <c r="AA15" s="329">
        <f t="shared" si="0"/>
        <v>53992</v>
      </c>
      <c r="AB15" s="329">
        <f t="shared" si="1"/>
        <v>5399.2</v>
      </c>
    </row>
    <row r="16" spans="2:28" ht="15.75" thickBot="1" x14ac:dyDescent="0.3">
      <c r="B16" s="299"/>
      <c r="C16" s="300"/>
      <c r="D16" s="301"/>
      <c r="E16" s="300"/>
      <c r="F16" s="301" t="s">
        <v>409</v>
      </c>
      <c r="G16" s="320">
        <v>0</v>
      </c>
      <c r="H16" s="320">
        <v>103</v>
      </c>
      <c r="I16" s="320">
        <v>294</v>
      </c>
      <c r="J16" s="320">
        <v>826</v>
      </c>
      <c r="K16" s="320">
        <v>1097.75</v>
      </c>
      <c r="L16" s="386">
        <v>903.91666666666663</v>
      </c>
      <c r="M16" s="377">
        <v>673.41666666666663</v>
      </c>
      <c r="N16" s="386">
        <v>188.08333333333334</v>
      </c>
      <c r="O16" s="320">
        <v>380</v>
      </c>
      <c r="P16" s="320">
        <v>360</v>
      </c>
      <c r="Q16" s="320">
        <v>100</v>
      </c>
      <c r="R16" s="320">
        <v>555</v>
      </c>
      <c r="S16" s="320">
        <v>705</v>
      </c>
      <c r="T16" s="320">
        <v>510</v>
      </c>
      <c r="U16" s="320">
        <v>20</v>
      </c>
      <c r="V16" s="320">
        <v>465</v>
      </c>
      <c r="W16" s="320">
        <v>234</v>
      </c>
      <c r="X16" s="320">
        <v>430</v>
      </c>
      <c r="Y16" s="320"/>
      <c r="Z16" s="320"/>
      <c r="AA16" s="329">
        <f t="shared" si="0"/>
        <v>3759</v>
      </c>
      <c r="AB16" s="329">
        <f t="shared" si="1"/>
        <v>375.9</v>
      </c>
    </row>
    <row r="17" spans="2:29" ht="15.75" thickBot="1" x14ac:dyDescent="0.3">
      <c r="B17" s="388"/>
      <c r="C17" s="312"/>
      <c r="D17" s="313"/>
      <c r="E17" s="312"/>
      <c r="F17" s="313"/>
      <c r="G17" s="321">
        <f>SUM(G10:G16)</f>
        <v>40934</v>
      </c>
      <c r="H17" s="321">
        <f t="shared" ref="H17:AB17" si="2">SUM(H10:H16)</f>
        <v>35854</v>
      </c>
      <c r="I17" s="321">
        <f t="shared" si="2"/>
        <v>43293</v>
      </c>
      <c r="J17" s="321">
        <f t="shared" si="2"/>
        <v>51723</v>
      </c>
      <c r="K17" s="321">
        <f t="shared" si="2"/>
        <v>55875.166666666664</v>
      </c>
      <c r="L17" s="321">
        <f t="shared" si="2"/>
        <v>46298.666666666672</v>
      </c>
      <c r="M17" s="321">
        <f t="shared" si="2"/>
        <v>35978.416666666664</v>
      </c>
      <c r="N17" s="321">
        <f t="shared" ref="N17" si="3">SUM(N10:N16)</f>
        <v>23391.583333333332</v>
      </c>
      <c r="O17" s="321">
        <f>SUM(O10:O16)</f>
        <v>27228</v>
      </c>
      <c r="P17" s="321">
        <f t="shared" si="2"/>
        <v>28333</v>
      </c>
      <c r="Q17" s="321">
        <f t="shared" si="2"/>
        <v>19065</v>
      </c>
      <c r="R17" s="321">
        <f t="shared" si="2"/>
        <v>28056</v>
      </c>
      <c r="S17" s="321">
        <f t="shared" si="2"/>
        <v>34262</v>
      </c>
      <c r="T17" s="321">
        <f t="shared" si="2"/>
        <v>22539</v>
      </c>
      <c r="U17" s="321">
        <f t="shared" si="2"/>
        <v>22471</v>
      </c>
      <c r="V17" s="321">
        <f t="shared" si="2"/>
        <v>20374</v>
      </c>
      <c r="W17" s="321">
        <f t="shared" si="2"/>
        <v>22946</v>
      </c>
      <c r="X17" s="321">
        <f t="shared" si="2"/>
        <v>26373</v>
      </c>
      <c r="Y17" s="321">
        <f t="shared" si="2"/>
        <v>0</v>
      </c>
      <c r="Z17" s="321">
        <f t="shared" si="2"/>
        <v>0</v>
      </c>
      <c r="AA17" s="330">
        <f t="shared" si="2"/>
        <v>251647</v>
      </c>
      <c r="AB17" s="330">
        <f t="shared" si="2"/>
        <v>25164.7</v>
      </c>
    </row>
    <row r="18" spans="2:29" x14ac:dyDescent="0.25">
      <c r="B18" s="296"/>
      <c r="C18" s="297"/>
      <c r="D18" s="298"/>
      <c r="E18" s="297"/>
      <c r="F18" s="298"/>
      <c r="G18" s="322"/>
      <c r="H18" s="322"/>
      <c r="I18" s="322"/>
      <c r="J18" s="322"/>
      <c r="K18" s="322"/>
      <c r="L18" s="322"/>
      <c r="M18" s="322"/>
      <c r="N18" s="322"/>
      <c r="O18" s="322"/>
      <c r="P18" s="322"/>
      <c r="Q18" s="322"/>
      <c r="R18" s="322"/>
      <c r="S18" s="322"/>
      <c r="T18" s="322"/>
      <c r="U18" s="322"/>
      <c r="V18" s="322"/>
      <c r="W18" s="322"/>
      <c r="X18" s="322"/>
      <c r="Y18" s="322"/>
      <c r="Z18" s="322"/>
      <c r="AA18" s="328"/>
      <c r="AB18" s="328"/>
    </row>
    <row r="19" spans="2:29" x14ac:dyDescent="0.25">
      <c r="B19" s="299">
        <v>2</v>
      </c>
      <c r="C19" s="300" t="s">
        <v>399</v>
      </c>
      <c r="D19" s="301" t="s">
        <v>412</v>
      </c>
      <c r="E19" s="309" t="s">
        <v>542</v>
      </c>
      <c r="F19" s="301"/>
      <c r="G19" s="319"/>
      <c r="H19" s="319"/>
      <c r="I19" s="319"/>
      <c r="J19" s="319"/>
      <c r="K19" s="319"/>
      <c r="L19" s="319"/>
      <c r="M19" s="319"/>
      <c r="N19" s="319"/>
      <c r="O19" s="319"/>
      <c r="P19" s="319"/>
      <c r="Q19" s="319"/>
      <c r="R19" s="319"/>
      <c r="S19" s="319"/>
      <c r="T19" s="319"/>
      <c r="U19" s="319"/>
      <c r="V19" s="319"/>
      <c r="W19" s="319"/>
      <c r="X19" s="319"/>
      <c r="Y19" s="319"/>
      <c r="Z19" s="319"/>
      <c r="AA19" s="329"/>
      <c r="AB19" s="329"/>
    </row>
    <row r="20" spans="2:29" x14ac:dyDescent="0.25">
      <c r="B20" s="299"/>
      <c r="C20" s="300" t="s">
        <v>402</v>
      </c>
      <c r="D20" s="301"/>
      <c r="E20" s="300"/>
      <c r="F20" s="301" t="s">
        <v>131</v>
      </c>
      <c r="G20" s="320">
        <v>0</v>
      </c>
      <c r="H20" s="320">
        <v>4126</v>
      </c>
      <c r="I20" s="320">
        <v>17782</v>
      </c>
      <c r="J20" s="320">
        <v>13746</v>
      </c>
      <c r="K20" s="320">
        <v>16055.333333333334</v>
      </c>
      <c r="L20" s="320">
        <v>14879.25</v>
      </c>
      <c r="M20" s="320">
        <v>16253.5</v>
      </c>
      <c r="N20" s="320">
        <v>7527.5</v>
      </c>
      <c r="O20" s="320">
        <v>7379</v>
      </c>
      <c r="P20" s="320">
        <v>8282</v>
      </c>
      <c r="Q20" s="320">
        <v>6046</v>
      </c>
      <c r="R20" s="319">
        <v>3271</v>
      </c>
      <c r="S20" s="319">
        <v>5675</v>
      </c>
      <c r="T20" s="319">
        <v>7647</v>
      </c>
      <c r="U20" s="319">
        <v>3980</v>
      </c>
      <c r="V20" s="319">
        <v>6474</v>
      </c>
      <c r="W20" s="319">
        <v>6051</v>
      </c>
      <c r="X20" s="319">
        <v>6822</v>
      </c>
      <c r="Y20" s="319"/>
      <c r="Z20" s="319"/>
      <c r="AA20" s="329">
        <f t="shared" ref="AA20:AA27" si="4">SUM(O20:Z20)</f>
        <v>61627</v>
      </c>
      <c r="AB20" s="329">
        <f t="shared" ref="AB20:AB27" si="5">AA20/10</f>
        <v>6162.7</v>
      </c>
    </row>
    <row r="21" spans="2:29" x14ac:dyDescent="0.25">
      <c r="B21" s="299"/>
      <c r="C21" s="300"/>
      <c r="D21" s="301"/>
      <c r="E21" s="300"/>
      <c r="F21" s="301" t="s">
        <v>320</v>
      </c>
      <c r="G21" s="320">
        <v>0</v>
      </c>
      <c r="H21" s="320">
        <v>0</v>
      </c>
      <c r="I21" s="320">
        <v>8995</v>
      </c>
      <c r="J21" s="320">
        <v>35001</v>
      </c>
      <c r="K21" s="320">
        <v>32913.25</v>
      </c>
      <c r="L21" s="320">
        <v>30127.833333333332</v>
      </c>
      <c r="M21" s="320">
        <v>17482.083333333332</v>
      </c>
      <c r="N21" s="320">
        <v>8297.75</v>
      </c>
      <c r="O21" s="320">
        <v>14579</v>
      </c>
      <c r="P21" s="320">
        <v>10652</v>
      </c>
      <c r="Q21" s="320">
        <v>6448</v>
      </c>
      <c r="R21" s="319">
        <v>8931</v>
      </c>
      <c r="S21" s="319">
        <v>11644</v>
      </c>
      <c r="T21" s="319">
        <v>11572</v>
      </c>
      <c r="U21" s="319">
        <v>9472</v>
      </c>
      <c r="V21" s="319">
        <v>9837</v>
      </c>
      <c r="W21" s="319">
        <v>13265</v>
      </c>
      <c r="X21" s="319">
        <v>10480</v>
      </c>
      <c r="Y21" s="319"/>
      <c r="Z21" s="319"/>
      <c r="AA21" s="329">
        <f t="shared" si="4"/>
        <v>106880</v>
      </c>
      <c r="AB21" s="329">
        <f t="shared" si="5"/>
        <v>10688</v>
      </c>
    </row>
    <row r="22" spans="2:29" x14ac:dyDescent="0.25">
      <c r="B22" s="299"/>
      <c r="C22" s="300"/>
      <c r="D22" s="301"/>
      <c r="E22" s="300"/>
      <c r="F22" s="301" t="s">
        <v>414</v>
      </c>
      <c r="G22" s="320">
        <v>0</v>
      </c>
      <c r="H22" s="320">
        <v>136</v>
      </c>
      <c r="I22" s="320">
        <v>303</v>
      </c>
      <c r="J22" s="320">
        <v>156</v>
      </c>
      <c r="K22" s="320">
        <v>50</v>
      </c>
      <c r="L22" s="320">
        <v>463.66666666666669</v>
      </c>
      <c r="M22" s="320">
        <v>940.08333333333337</v>
      </c>
      <c r="N22" s="320">
        <v>273.41666666666669</v>
      </c>
      <c r="O22" s="320">
        <v>0</v>
      </c>
      <c r="P22" s="320">
        <v>300</v>
      </c>
      <c r="Q22" s="320">
        <v>100</v>
      </c>
      <c r="R22" s="319">
        <v>250</v>
      </c>
      <c r="S22" s="319">
        <v>0</v>
      </c>
      <c r="T22" s="319">
        <v>373</v>
      </c>
      <c r="U22" s="319">
        <v>5600</v>
      </c>
      <c r="V22" s="319">
        <v>270</v>
      </c>
      <c r="W22" s="319">
        <v>300</v>
      </c>
      <c r="X22" s="319">
        <v>200</v>
      </c>
      <c r="Y22" s="319"/>
      <c r="Z22" s="319"/>
      <c r="AA22" s="329">
        <f t="shared" si="4"/>
        <v>7393</v>
      </c>
      <c r="AB22" s="329">
        <f t="shared" si="5"/>
        <v>739.3</v>
      </c>
    </row>
    <row r="23" spans="2:29" x14ac:dyDescent="0.25">
      <c r="B23" s="299"/>
      <c r="C23" s="300"/>
      <c r="D23" s="301"/>
      <c r="E23" s="300"/>
      <c r="F23" s="301" t="s">
        <v>528</v>
      </c>
      <c r="G23" s="320">
        <v>0</v>
      </c>
      <c r="H23" s="320">
        <v>0</v>
      </c>
      <c r="I23" s="320">
        <v>0</v>
      </c>
      <c r="J23" s="320">
        <v>0</v>
      </c>
      <c r="K23" s="320">
        <v>0</v>
      </c>
      <c r="L23" s="320">
        <v>37.5</v>
      </c>
      <c r="M23" s="320">
        <v>45</v>
      </c>
      <c r="N23" s="320">
        <v>0</v>
      </c>
      <c r="O23" s="320">
        <v>0</v>
      </c>
      <c r="P23" s="320">
        <v>0</v>
      </c>
      <c r="Q23" s="320">
        <v>0</v>
      </c>
      <c r="R23" s="319">
        <v>0</v>
      </c>
      <c r="S23" s="319">
        <v>0</v>
      </c>
      <c r="T23" s="319">
        <v>0</v>
      </c>
      <c r="U23" s="319">
        <v>0</v>
      </c>
      <c r="V23" s="319">
        <v>0</v>
      </c>
      <c r="W23" s="319">
        <v>0</v>
      </c>
      <c r="X23" s="319">
        <v>0</v>
      </c>
      <c r="Y23" s="319"/>
      <c r="Z23" s="319"/>
      <c r="AA23" s="329">
        <f t="shared" si="4"/>
        <v>0</v>
      </c>
      <c r="AB23" s="329">
        <f t="shared" si="5"/>
        <v>0</v>
      </c>
    </row>
    <row r="24" spans="2:29" x14ac:dyDescent="0.25">
      <c r="B24" s="299"/>
      <c r="C24" s="300"/>
      <c r="D24" s="301"/>
      <c r="E24" s="300"/>
      <c r="F24" s="301" t="s">
        <v>125</v>
      </c>
      <c r="G24" s="320">
        <v>12652</v>
      </c>
      <c r="H24" s="320">
        <v>14850</v>
      </c>
      <c r="I24" s="320">
        <v>15131</v>
      </c>
      <c r="J24" s="320">
        <v>23958</v>
      </c>
      <c r="K24" s="320">
        <v>31672.333333333332</v>
      </c>
      <c r="L24" s="320">
        <v>34323.5</v>
      </c>
      <c r="M24" s="320">
        <v>18963.333333333332</v>
      </c>
      <c r="N24" s="320">
        <v>9472</v>
      </c>
      <c r="O24" s="320">
        <v>10272</v>
      </c>
      <c r="P24" s="320">
        <v>11498</v>
      </c>
      <c r="Q24" s="320">
        <v>4687</v>
      </c>
      <c r="R24" s="319">
        <v>11690</v>
      </c>
      <c r="S24" s="319">
        <v>3072</v>
      </c>
      <c r="T24" s="319">
        <v>6949</v>
      </c>
      <c r="U24" s="319">
        <v>10607</v>
      </c>
      <c r="V24" s="319">
        <v>3099</v>
      </c>
      <c r="W24" s="319">
        <v>2975</v>
      </c>
      <c r="X24" s="319">
        <v>3886</v>
      </c>
      <c r="Y24" s="319"/>
      <c r="Z24" s="319"/>
      <c r="AA24" s="329">
        <f t="shared" si="4"/>
        <v>68735</v>
      </c>
      <c r="AB24" s="329">
        <f t="shared" si="5"/>
        <v>6873.5</v>
      </c>
    </row>
    <row r="25" spans="2:29" x14ac:dyDescent="0.25">
      <c r="B25" s="299"/>
      <c r="C25" s="300"/>
      <c r="D25" s="301"/>
      <c r="E25" s="300"/>
      <c r="F25" s="301" t="s">
        <v>415</v>
      </c>
      <c r="G25" s="320">
        <v>7594</v>
      </c>
      <c r="H25" s="320">
        <v>3730</v>
      </c>
      <c r="I25" s="320">
        <v>1052</v>
      </c>
      <c r="J25" s="320">
        <v>899</v>
      </c>
      <c r="K25" s="320">
        <v>545.33333333333337</v>
      </c>
      <c r="L25" s="320">
        <v>1767.3333333333333</v>
      </c>
      <c r="M25" s="320">
        <v>803.33333333333337</v>
      </c>
      <c r="N25" s="320">
        <v>122.75</v>
      </c>
      <c r="O25" s="320">
        <v>100</v>
      </c>
      <c r="P25" s="320">
        <v>0</v>
      </c>
      <c r="Q25" s="320">
        <v>0</v>
      </c>
      <c r="R25" s="319">
        <v>0</v>
      </c>
      <c r="S25" s="319">
        <v>210</v>
      </c>
      <c r="T25" s="319">
        <v>0</v>
      </c>
      <c r="U25" s="319">
        <v>0</v>
      </c>
      <c r="V25" s="319">
        <v>450</v>
      </c>
      <c r="W25" s="319">
        <v>450</v>
      </c>
      <c r="X25" s="319">
        <v>0</v>
      </c>
      <c r="Y25" s="319"/>
      <c r="Z25" s="319"/>
      <c r="AA25" s="329">
        <f t="shared" si="4"/>
        <v>1210</v>
      </c>
      <c r="AB25" s="329">
        <f t="shared" si="5"/>
        <v>121</v>
      </c>
    </row>
    <row r="26" spans="2:29" x14ac:dyDescent="0.25">
      <c r="B26" s="302"/>
      <c r="C26" s="303"/>
      <c r="D26" s="304"/>
      <c r="E26" s="303"/>
      <c r="F26" s="304" t="s">
        <v>416</v>
      </c>
      <c r="G26" s="323">
        <v>0</v>
      </c>
      <c r="H26" s="323">
        <v>816</v>
      </c>
      <c r="I26" s="323">
        <v>1231</v>
      </c>
      <c r="J26" s="323">
        <v>2519</v>
      </c>
      <c r="K26" s="323">
        <v>3520.9166666666665</v>
      </c>
      <c r="L26" s="320">
        <v>3930.6666666666665</v>
      </c>
      <c r="M26" s="320">
        <v>3765</v>
      </c>
      <c r="N26" s="320">
        <v>1450.4166666666667</v>
      </c>
      <c r="O26" s="320">
        <v>1150</v>
      </c>
      <c r="P26" s="320">
        <v>730</v>
      </c>
      <c r="Q26" s="320">
        <v>445</v>
      </c>
      <c r="R26" s="319">
        <v>4379</v>
      </c>
      <c r="S26" s="319">
        <v>580</v>
      </c>
      <c r="T26" s="319">
        <v>880</v>
      </c>
      <c r="U26" s="319">
        <v>800</v>
      </c>
      <c r="V26" s="319">
        <v>942</v>
      </c>
      <c r="W26" s="319">
        <v>2125</v>
      </c>
      <c r="X26" s="319">
        <v>3740</v>
      </c>
      <c r="Y26" s="319"/>
      <c r="Z26" s="319"/>
      <c r="AA26" s="329">
        <f t="shared" si="4"/>
        <v>15771</v>
      </c>
      <c r="AB26" s="329">
        <f t="shared" si="5"/>
        <v>1577.1</v>
      </c>
    </row>
    <row r="27" spans="2:29" ht="15.75" thickBot="1" x14ac:dyDescent="0.3">
      <c r="B27" s="302"/>
      <c r="C27" s="303"/>
      <c r="D27" s="304"/>
      <c r="E27" s="303"/>
      <c r="F27" s="304" t="s">
        <v>454</v>
      </c>
      <c r="G27" s="323">
        <v>369</v>
      </c>
      <c r="H27" s="323">
        <v>670</v>
      </c>
      <c r="I27" s="323">
        <v>1278</v>
      </c>
      <c r="J27" s="323">
        <v>2068</v>
      </c>
      <c r="K27" s="323">
        <v>3175</v>
      </c>
      <c r="L27" s="320">
        <v>390</v>
      </c>
      <c r="M27" s="320">
        <v>407.58333333333331</v>
      </c>
      <c r="N27" s="320">
        <v>293.08333333333331</v>
      </c>
      <c r="O27" s="320">
        <v>0</v>
      </c>
      <c r="P27" s="320">
        <v>210</v>
      </c>
      <c r="Q27" s="320">
        <v>200</v>
      </c>
      <c r="R27" s="319">
        <v>25</v>
      </c>
      <c r="S27" s="319">
        <v>285</v>
      </c>
      <c r="T27" s="319">
        <v>275</v>
      </c>
      <c r="U27" s="319">
        <v>385</v>
      </c>
      <c r="V27" s="319">
        <v>912</v>
      </c>
      <c r="W27" s="319">
        <v>625</v>
      </c>
      <c r="X27" s="319">
        <v>10</v>
      </c>
      <c r="Y27" s="319"/>
      <c r="Z27" s="319"/>
      <c r="AA27" s="329">
        <f t="shared" si="4"/>
        <v>2927</v>
      </c>
      <c r="AB27" s="329">
        <f t="shared" si="5"/>
        <v>292.7</v>
      </c>
    </row>
    <row r="28" spans="2:29" ht="15.75" thickBot="1" x14ac:dyDescent="0.3">
      <c r="B28" s="388"/>
      <c r="C28" s="312"/>
      <c r="D28" s="313"/>
      <c r="E28" s="312"/>
      <c r="F28" s="313"/>
      <c r="G28" s="321">
        <f t="shared" ref="G28:AA28" si="6">SUM(G20:G27)</f>
        <v>20615</v>
      </c>
      <c r="H28" s="321">
        <f t="shared" si="6"/>
        <v>24328</v>
      </c>
      <c r="I28" s="321">
        <f t="shared" si="6"/>
        <v>45772</v>
      </c>
      <c r="J28" s="321">
        <f t="shared" si="6"/>
        <v>78347</v>
      </c>
      <c r="K28" s="321">
        <f t="shared" si="6"/>
        <v>87932.166666666672</v>
      </c>
      <c r="L28" s="321">
        <f t="shared" si="6"/>
        <v>85919.75</v>
      </c>
      <c r="M28" s="321">
        <f t="shared" si="6"/>
        <v>58659.916666666672</v>
      </c>
      <c r="N28" s="321">
        <f t="shared" ref="N28" si="7">SUM(N20:N27)</f>
        <v>27436.916666666664</v>
      </c>
      <c r="O28" s="321">
        <f>SUM(O20:O27)</f>
        <v>33480</v>
      </c>
      <c r="P28" s="321">
        <f t="shared" si="6"/>
        <v>31672</v>
      </c>
      <c r="Q28" s="321">
        <f t="shared" si="6"/>
        <v>17926</v>
      </c>
      <c r="R28" s="321">
        <f t="shared" si="6"/>
        <v>28546</v>
      </c>
      <c r="S28" s="321">
        <f t="shared" si="6"/>
        <v>21466</v>
      </c>
      <c r="T28" s="321">
        <f t="shared" si="6"/>
        <v>27696</v>
      </c>
      <c r="U28" s="321">
        <f t="shared" si="6"/>
        <v>30844</v>
      </c>
      <c r="V28" s="321">
        <f t="shared" si="6"/>
        <v>21984</v>
      </c>
      <c r="W28" s="321">
        <f t="shared" si="6"/>
        <v>25791</v>
      </c>
      <c r="X28" s="321">
        <f t="shared" si="6"/>
        <v>25138</v>
      </c>
      <c r="Y28" s="321">
        <f t="shared" si="6"/>
        <v>0</v>
      </c>
      <c r="Z28" s="321">
        <f t="shared" si="6"/>
        <v>0</v>
      </c>
      <c r="AA28" s="330">
        <f t="shared" si="6"/>
        <v>264543</v>
      </c>
      <c r="AB28" s="330">
        <f>SUM(AB20:AB27)</f>
        <v>26454.3</v>
      </c>
    </row>
    <row r="29" spans="2:29" ht="15.75" thickBot="1" x14ac:dyDescent="0.3">
      <c r="B29" s="389"/>
      <c r="C29" s="333"/>
      <c r="D29" s="334"/>
      <c r="E29" s="333"/>
      <c r="F29" s="334"/>
      <c r="G29" s="335">
        <f t="shared" ref="G29:AA29" si="8">G17+G28</f>
        <v>61549</v>
      </c>
      <c r="H29" s="335">
        <f t="shared" si="8"/>
        <v>60182</v>
      </c>
      <c r="I29" s="335">
        <f t="shared" si="8"/>
        <v>89065</v>
      </c>
      <c r="J29" s="335">
        <f t="shared" si="8"/>
        <v>130070</v>
      </c>
      <c r="K29" s="335">
        <f t="shared" si="8"/>
        <v>143807.33333333334</v>
      </c>
      <c r="L29" s="335">
        <f t="shared" si="8"/>
        <v>132218.41666666669</v>
      </c>
      <c r="M29" s="335">
        <f t="shared" si="8"/>
        <v>94638.333333333343</v>
      </c>
      <c r="N29" s="335">
        <f t="shared" ref="N29" si="9">N17+N28</f>
        <v>50828.5</v>
      </c>
      <c r="O29" s="335">
        <f t="shared" si="8"/>
        <v>60708</v>
      </c>
      <c r="P29" s="335">
        <f t="shared" si="8"/>
        <v>60005</v>
      </c>
      <c r="Q29" s="335">
        <f t="shared" si="8"/>
        <v>36991</v>
      </c>
      <c r="R29" s="335">
        <f t="shared" si="8"/>
        <v>56602</v>
      </c>
      <c r="S29" s="335">
        <f t="shared" si="8"/>
        <v>55728</v>
      </c>
      <c r="T29" s="335">
        <f t="shared" si="8"/>
        <v>50235</v>
      </c>
      <c r="U29" s="335">
        <f t="shared" si="8"/>
        <v>53315</v>
      </c>
      <c r="V29" s="335">
        <f t="shared" si="8"/>
        <v>42358</v>
      </c>
      <c r="W29" s="335">
        <f t="shared" si="8"/>
        <v>48737</v>
      </c>
      <c r="X29" s="335">
        <f t="shared" si="8"/>
        <v>51511</v>
      </c>
      <c r="Y29" s="335">
        <f t="shared" si="8"/>
        <v>0</v>
      </c>
      <c r="Z29" s="335">
        <f t="shared" si="8"/>
        <v>0</v>
      </c>
      <c r="AA29" s="335">
        <f t="shared" si="8"/>
        <v>516190</v>
      </c>
      <c r="AB29" s="335">
        <f>AB17+AB28</f>
        <v>51619</v>
      </c>
      <c r="AC29" s="12"/>
    </row>
    <row r="30" spans="2:29" x14ac:dyDescent="0.25">
      <c r="B30" s="296"/>
      <c r="C30" s="297"/>
      <c r="D30" s="298"/>
      <c r="E30" s="297"/>
      <c r="F30" s="298"/>
      <c r="G30" s="318"/>
      <c r="H30" s="318"/>
      <c r="I30" s="318"/>
      <c r="J30" s="318"/>
      <c r="K30" s="318"/>
      <c r="L30" s="318"/>
      <c r="M30" s="318"/>
      <c r="N30" s="318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8"/>
      <c r="AA30" s="328"/>
      <c r="AB30" s="328"/>
    </row>
    <row r="31" spans="2:29" x14ac:dyDescent="0.25">
      <c r="B31" s="299">
        <v>3</v>
      </c>
      <c r="C31" s="297" t="s">
        <v>562</v>
      </c>
      <c r="D31" s="387" t="s">
        <v>563</v>
      </c>
      <c r="E31" s="309" t="s">
        <v>439</v>
      </c>
      <c r="F31" s="301"/>
      <c r="G31" s="319"/>
      <c r="H31" s="319"/>
      <c r="I31" s="319"/>
      <c r="J31" s="319"/>
      <c r="K31" s="319"/>
      <c r="L31" s="319"/>
      <c r="M31" s="319"/>
      <c r="N31" s="319"/>
      <c r="O31" s="319"/>
      <c r="P31" s="319"/>
      <c r="Q31" s="319"/>
      <c r="R31" s="319"/>
      <c r="S31" s="319"/>
      <c r="T31" s="319"/>
      <c r="U31" s="319"/>
      <c r="V31" s="319"/>
      <c r="W31" s="319"/>
      <c r="X31" s="319"/>
      <c r="Y31" s="319"/>
      <c r="Z31" s="319"/>
      <c r="AA31" s="329"/>
      <c r="AB31" s="329"/>
    </row>
    <row r="32" spans="2:29" x14ac:dyDescent="0.25">
      <c r="B32" s="299"/>
      <c r="C32" s="300"/>
      <c r="D32" s="301"/>
      <c r="E32" s="300"/>
      <c r="F32" s="301" t="s">
        <v>440</v>
      </c>
      <c r="G32" s="320">
        <v>731</v>
      </c>
      <c r="H32" s="320">
        <v>425</v>
      </c>
      <c r="I32" s="320">
        <v>499</v>
      </c>
      <c r="J32" s="320">
        <v>445</v>
      </c>
      <c r="K32" s="320">
        <v>266.83333333333331</v>
      </c>
      <c r="L32" s="320">
        <v>192.5</v>
      </c>
      <c r="M32" s="320">
        <v>150.16666666666666</v>
      </c>
      <c r="N32" s="320">
        <v>115.66666666666667</v>
      </c>
      <c r="O32" s="320">
        <v>722</v>
      </c>
      <c r="P32" s="320">
        <v>55</v>
      </c>
      <c r="Q32" s="320">
        <v>220</v>
      </c>
      <c r="R32" s="320">
        <v>605</v>
      </c>
      <c r="S32" s="320">
        <v>25</v>
      </c>
      <c r="T32" s="320">
        <v>410</v>
      </c>
      <c r="U32" s="320">
        <v>162</v>
      </c>
      <c r="V32" s="320">
        <v>460</v>
      </c>
      <c r="W32" s="320">
        <v>175</v>
      </c>
      <c r="X32" s="320">
        <v>70</v>
      </c>
      <c r="Y32" s="320"/>
      <c r="Z32" s="320"/>
      <c r="AA32" s="329">
        <f>SUM(O32:Z32)</f>
        <v>2904</v>
      </c>
      <c r="AB32" s="329">
        <f t="shared" ref="AB32:AB35" si="10">AA32/10</f>
        <v>290.39999999999998</v>
      </c>
    </row>
    <row r="33" spans="2:28" x14ac:dyDescent="0.25">
      <c r="B33" s="299"/>
      <c r="C33" s="300"/>
      <c r="D33" s="301"/>
      <c r="E33" s="300"/>
      <c r="F33" s="301" t="s">
        <v>441</v>
      </c>
      <c r="G33" s="320">
        <v>17861</v>
      </c>
      <c r="H33" s="320">
        <v>17056</v>
      </c>
      <c r="I33" s="320">
        <v>16980</v>
      </c>
      <c r="J33" s="320">
        <v>17460</v>
      </c>
      <c r="K33" s="320">
        <v>12947.416666666666</v>
      </c>
      <c r="L33" s="320">
        <v>8134.25</v>
      </c>
      <c r="M33" s="320">
        <v>5743.583333333333</v>
      </c>
      <c r="N33" s="320">
        <v>5201.333333333333</v>
      </c>
      <c r="O33" s="320">
        <v>4555</v>
      </c>
      <c r="P33" s="320">
        <v>4616</v>
      </c>
      <c r="Q33" s="320">
        <v>3675</v>
      </c>
      <c r="R33" s="320">
        <v>4690</v>
      </c>
      <c r="S33" s="320">
        <v>6652</v>
      </c>
      <c r="T33" s="320">
        <v>6663</v>
      </c>
      <c r="U33" s="320">
        <v>4817</v>
      </c>
      <c r="V33" s="320">
        <v>4952</v>
      </c>
      <c r="W33" s="320">
        <v>7127</v>
      </c>
      <c r="X33" s="320">
        <v>6756</v>
      </c>
      <c r="Y33" s="320"/>
      <c r="Z33" s="320"/>
      <c r="AA33" s="329">
        <f>SUM(O33:Z33)</f>
        <v>54503</v>
      </c>
      <c r="AB33" s="329">
        <f t="shared" si="10"/>
        <v>5450.3</v>
      </c>
    </row>
    <row r="34" spans="2:28" x14ac:dyDescent="0.25">
      <c r="B34" s="299"/>
      <c r="C34" s="300"/>
      <c r="D34" s="301"/>
      <c r="E34" s="300"/>
      <c r="F34" s="301" t="s">
        <v>442</v>
      </c>
      <c r="G34" s="320">
        <v>7714</v>
      </c>
      <c r="H34" s="320">
        <v>8012</v>
      </c>
      <c r="I34" s="320">
        <v>7765</v>
      </c>
      <c r="J34" s="320">
        <v>10882</v>
      </c>
      <c r="K34" s="320">
        <v>10402.083333333334</v>
      </c>
      <c r="L34" s="320">
        <v>7768.166666666667</v>
      </c>
      <c r="M34" s="320">
        <v>6140.75</v>
      </c>
      <c r="N34" s="320">
        <v>5680.333333333333</v>
      </c>
      <c r="O34" s="320">
        <v>4448</v>
      </c>
      <c r="P34" s="320">
        <v>4226</v>
      </c>
      <c r="Q34" s="320">
        <v>4162</v>
      </c>
      <c r="R34" s="320">
        <v>5537</v>
      </c>
      <c r="S34" s="320">
        <v>6856</v>
      </c>
      <c r="T34" s="320">
        <v>6109</v>
      </c>
      <c r="U34" s="320">
        <v>6757</v>
      </c>
      <c r="V34" s="320">
        <v>7189</v>
      </c>
      <c r="W34" s="320">
        <v>7280</v>
      </c>
      <c r="X34" s="320">
        <v>10338</v>
      </c>
      <c r="Y34" s="320"/>
      <c r="Z34" s="320"/>
      <c r="AA34" s="329">
        <f>SUM(O34:Z34)</f>
        <v>62902</v>
      </c>
      <c r="AB34" s="329">
        <f t="shared" si="10"/>
        <v>6290.2</v>
      </c>
    </row>
    <row r="35" spans="2:28" ht="15.75" thickBot="1" x14ac:dyDescent="0.3">
      <c r="B35" s="302"/>
      <c r="C35" s="303"/>
      <c r="D35" s="304"/>
      <c r="E35" s="303"/>
      <c r="F35" s="304" t="s">
        <v>443</v>
      </c>
      <c r="G35" s="323">
        <v>2339</v>
      </c>
      <c r="H35" s="323">
        <v>2105</v>
      </c>
      <c r="I35" s="323">
        <v>3053</v>
      </c>
      <c r="J35" s="323">
        <v>6503</v>
      </c>
      <c r="K35" s="323">
        <v>10466.833333333334</v>
      </c>
      <c r="L35" s="320">
        <v>8037.416666666667</v>
      </c>
      <c r="M35" s="320">
        <v>6084.583333333333</v>
      </c>
      <c r="N35" s="320">
        <v>4534.083333333333</v>
      </c>
      <c r="O35" s="320">
        <v>1944</v>
      </c>
      <c r="P35" s="320">
        <v>2094</v>
      </c>
      <c r="Q35" s="320">
        <v>2014</v>
      </c>
      <c r="R35" s="320">
        <v>2104</v>
      </c>
      <c r="S35" s="320">
        <v>3952</v>
      </c>
      <c r="T35" s="320">
        <v>4476</v>
      </c>
      <c r="U35" s="320">
        <v>1900</v>
      </c>
      <c r="V35" s="320">
        <v>2288</v>
      </c>
      <c r="W35" s="320">
        <v>3141</v>
      </c>
      <c r="X35" s="320">
        <v>3132</v>
      </c>
      <c r="Y35" s="320"/>
      <c r="Z35" s="320"/>
      <c r="AA35" s="329">
        <f>SUM(O35:Z35)</f>
        <v>27045</v>
      </c>
      <c r="AB35" s="329">
        <f t="shared" si="10"/>
        <v>2704.5</v>
      </c>
    </row>
    <row r="36" spans="2:28" ht="15.75" thickBot="1" x14ac:dyDescent="0.3">
      <c r="B36" s="388"/>
      <c r="C36" s="312"/>
      <c r="D36" s="313"/>
      <c r="E36" s="312"/>
      <c r="F36" s="313"/>
      <c r="G36" s="321">
        <f>SUM(G32:G35)</f>
        <v>28645</v>
      </c>
      <c r="H36" s="321">
        <f t="shared" ref="H36:AA36" si="11">SUM(H32:H35)</f>
        <v>27598</v>
      </c>
      <c r="I36" s="321">
        <f t="shared" si="11"/>
        <v>28297</v>
      </c>
      <c r="J36" s="321">
        <f t="shared" si="11"/>
        <v>35290</v>
      </c>
      <c r="K36" s="321">
        <f t="shared" si="11"/>
        <v>34083.166666666672</v>
      </c>
      <c r="L36" s="321">
        <f t="shared" si="11"/>
        <v>24132.333333333336</v>
      </c>
      <c r="M36" s="321">
        <f t="shared" si="11"/>
        <v>18119.083333333332</v>
      </c>
      <c r="N36" s="321">
        <f t="shared" ref="N36" si="12">SUM(N32:N35)</f>
        <v>15531.416666666664</v>
      </c>
      <c r="O36" s="321">
        <f>SUM(O32:O35)</f>
        <v>11669</v>
      </c>
      <c r="P36" s="321">
        <f t="shared" si="11"/>
        <v>10991</v>
      </c>
      <c r="Q36" s="321">
        <f t="shared" si="11"/>
        <v>10071</v>
      </c>
      <c r="R36" s="321">
        <f t="shared" si="11"/>
        <v>12936</v>
      </c>
      <c r="S36" s="321">
        <f t="shared" si="11"/>
        <v>17485</v>
      </c>
      <c r="T36" s="321">
        <f t="shared" si="11"/>
        <v>17658</v>
      </c>
      <c r="U36" s="321">
        <f t="shared" si="11"/>
        <v>13636</v>
      </c>
      <c r="V36" s="321">
        <f t="shared" si="11"/>
        <v>14889</v>
      </c>
      <c r="W36" s="321">
        <f t="shared" si="11"/>
        <v>17723</v>
      </c>
      <c r="X36" s="321">
        <f t="shared" si="11"/>
        <v>20296</v>
      </c>
      <c r="Y36" s="321">
        <f t="shared" si="11"/>
        <v>0</v>
      </c>
      <c r="Z36" s="321">
        <f t="shared" si="11"/>
        <v>0</v>
      </c>
      <c r="AA36" s="330">
        <f t="shared" si="11"/>
        <v>147354</v>
      </c>
      <c r="AB36" s="330">
        <f>SUM(AB32:AB35)</f>
        <v>14735.4</v>
      </c>
    </row>
    <row r="37" spans="2:28" x14ac:dyDescent="0.25">
      <c r="B37" s="296"/>
      <c r="C37" s="297"/>
      <c r="D37" s="298"/>
      <c r="E37" s="297"/>
      <c r="F37" s="298"/>
      <c r="G37" s="318"/>
      <c r="H37" s="318"/>
      <c r="I37" s="318"/>
      <c r="J37" s="318"/>
      <c r="K37" s="318"/>
      <c r="L37" s="318"/>
      <c r="M37" s="318"/>
      <c r="N37" s="318"/>
      <c r="O37" s="318"/>
      <c r="P37" s="318"/>
      <c r="Q37" s="318"/>
      <c r="R37" s="318"/>
      <c r="S37" s="318"/>
      <c r="T37" s="318"/>
      <c r="U37" s="318"/>
      <c r="V37" s="318"/>
      <c r="W37" s="318"/>
      <c r="X37" s="318"/>
      <c r="Y37" s="318"/>
      <c r="Z37" s="318"/>
      <c r="AA37" s="328"/>
      <c r="AB37" s="328"/>
    </row>
    <row r="38" spans="2:28" x14ac:dyDescent="0.25">
      <c r="B38" s="299">
        <v>4</v>
      </c>
      <c r="C38" s="300" t="s">
        <v>399</v>
      </c>
      <c r="D38" s="301" t="s">
        <v>444</v>
      </c>
      <c r="E38" s="309" t="s">
        <v>439</v>
      </c>
      <c r="F38" s="301"/>
      <c r="G38" s="319"/>
      <c r="H38" s="319"/>
      <c r="I38" s="319"/>
      <c r="J38" s="319"/>
      <c r="K38" s="319"/>
      <c r="L38" s="319"/>
      <c r="M38" s="319"/>
      <c r="N38" s="319"/>
      <c r="O38" s="319"/>
      <c r="P38" s="319"/>
      <c r="Q38" s="319"/>
      <c r="R38" s="319"/>
      <c r="S38" s="319"/>
      <c r="T38" s="319"/>
      <c r="U38" s="319"/>
      <c r="V38" s="319"/>
      <c r="W38" s="319"/>
      <c r="X38" s="319"/>
      <c r="Y38" s="319"/>
      <c r="Z38" s="319"/>
      <c r="AA38" s="329"/>
      <c r="AB38" s="329"/>
    </row>
    <row r="39" spans="2:28" x14ac:dyDescent="0.25">
      <c r="B39" s="299"/>
      <c r="C39" s="300"/>
      <c r="D39" s="301"/>
      <c r="E39" s="300"/>
      <c r="F39" s="301" t="s">
        <v>445</v>
      </c>
      <c r="G39" s="320">
        <v>1742</v>
      </c>
      <c r="H39" s="320">
        <v>2708</v>
      </c>
      <c r="I39" s="320">
        <v>5520</v>
      </c>
      <c r="J39" s="320">
        <v>12566</v>
      </c>
      <c r="K39" s="320">
        <v>24845.333333333332</v>
      </c>
      <c r="L39" s="320">
        <v>24235.833333333332</v>
      </c>
      <c r="M39" s="320">
        <v>17765.25</v>
      </c>
      <c r="N39" s="320">
        <v>9871.8333333333339</v>
      </c>
      <c r="O39" s="320">
        <v>18057</v>
      </c>
      <c r="P39" s="320">
        <v>14978</v>
      </c>
      <c r="Q39" s="320">
        <v>15425</v>
      </c>
      <c r="R39" s="320">
        <v>23980</v>
      </c>
      <c r="S39" s="320">
        <v>17803</v>
      </c>
      <c r="T39" s="320">
        <v>11735</v>
      </c>
      <c r="U39" s="320">
        <v>14141</v>
      </c>
      <c r="V39" s="320">
        <v>12746</v>
      </c>
      <c r="W39" s="320">
        <v>13074</v>
      </c>
      <c r="X39" s="320">
        <v>11635</v>
      </c>
      <c r="Y39" s="320"/>
      <c r="Z39" s="320"/>
      <c r="AA39" s="329">
        <f>SUM(O39:Z39)</f>
        <v>153574</v>
      </c>
      <c r="AB39" s="329">
        <f t="shared" ref="AB39:AB42" si="13">AA39/10</f>
        <v>15357.4</v>
      </c>
    </row>
    <row r="40" spans="2:28" x14ac:dyDescent="0.25">
      <c r="B40" s="299"/>
      <c r="C40" s="300"/>
      <c r="D40" s="301"/>
      <c r="E40" s="300"/>
      <c r="F40" s="301" t="s">
        <v>446</v>
      </c>
      <c r="G40" s="320">
        <v>682</v>
      </c>
      <c r="H40" s="320">
        <v>2450</v>
      </c>
      <c r="I40" s="320">
        <v>9924</v>
      </c>
      <c r="J40" s="320">
        <v>22430</v>
      </c>
      <c r="K40" s="320">
        <v>35835.583333333336</v>
      </c>
      <c r="L40" s="320">
        <v>37882.416666666664</v>
      </c>
      <c r="M40" s="320">
        <v>27348</v>
      </c>
      <c r="N40" s="320">
        <v>10485.333333333334</v>
      </c>
      <c r="O40" s="320">
        <v>13264</v>
      </c>
      <c r="P40" s="320">
        <v>10131</v>
      </c>
      <c r="Q40" s="320">
        <v>9155</v>
      </c>
      <c r="R40" s="320">
        <v>13090</v>
      </c>
      <c r="S40" s="320">
        <v>9532</v>
      </c>
      <c r="T40" s="320">
        <v>3551</v>
      </c>
      <c r="U40" s="320">
        <v>3774</v>
      </c>
      <c r="V40" s="320">
        <v>7516</v>
      </c>
      <c r="W40" s="320">
        <v>7207</v>
      </c>
      <c r="X40" s="320">
        <v>8128</v>
      </c>
      <c r="Y40" s="320"/>
      <c r="Z40" s="320"/>
      <c r="AA40" s="329">
        <f>SUM(O40:Z40)</f>
        <v>85348</v>
      </c>
      <c r="AB40" s="329">
        <f t="shared" si="13"/>
        <v>8534.7999999999993</v>
      </c>
    </row>
    <row r="41" spans="2:28" x14ac:dyDescent="0.25">
      <c r="B41" s="299"/>
      <c r="C41" s="300"/>
      <c r="D41" s="301"/>
      <c r="E41" s="300"/>
      <c r="F41" s="301" t="s">
        <v>447</v>
      </c>
      <c r="G41" s="320">
        <v>682</v>
      </c>
      <c r="H41" s="320">
        <v>721</v>
      </c>
      <c r="I41" s="320">
        <v>280</v>
      </c>
      <c r="J41" s="320">
        <v>238</v>
      </c>
      <c r="K41" s="320">
        <v>176.5</v>
      </c>
      <c r="L41" s="320">
        <v>7.25</v>
      </c>
      <c r="M41" s="320">
        <v>85.833333333333329</v>
      </c>
      <c r="N41" s="320">
        <v>72.5</v>
      </c>
      <c r="O41" s="320">
        <v>50</v>
      </c>
      <c r="P41" s="320">
        <v>1530</v>
      </c>
      <c r="Q41" s="320">
        <v>0</v>
      </c>
      <c r="R41" s="320">
        <v>150</v>
      </c>
      <c r="S41" s="320">
        <v>0</v>
      </c>
      <c r="T41" s="320">
        <v>0</v>
      </c>
      <c r="U41" s="320">
        <v>0</v>
      </c>
      <c r="V41" s="320">
        <v>1198</v>
      </c>
      <c r="W41" s="320">
        <v>30</v>
      </c>
      <c r="X41" s="320">
        <v>0</v>
      </c>
      <c r="Y41" s="320"/>
      <c r="Z41" s="320"/>
      <c r="AA41" s="329">
        <f>SUM(O41:Z41)</f>
        <v>2958</v>
      </c>
      <c r="AB41" s="329">
        <f t="shared" si="13"/>
        <v>295.8</v>
      </c>
    </row>
    <row r="42" spans="2:28" ht="15.75" thickBot="1" x14ac:dyDescent="0.3">
      <c r="B42" s="299"/>
      <c r="C42" s="300"/>
      <c r="D42" s="301"/>
      <c r="E42" s="300"/>
      <c r="F42" s="304" t="s">
        <v>448</v>
      </c>
      <c r="G42" s="320">
        <v>832</v>
      </c>
      <c r="H42" s="320">
        <v>3023</v>
      </c>
      <c r="I42" s="320">
        <v>0</v>
      </c>
      <c r="J42" s="320">
        <v>1116</v>
      </c>
      <c r="K42" s="320">
        <v>3715.8333333333335</v>
      </c>
      <c r="L42" s="320">
        <v>3250.6666666666665</v>
      </c>
      <c r="M42" s="320">
        <v>3094.5</v>
      </c>
      <c r="N42" s="320">
        <v>2288.0833333333335</v>
      </c>
      <c r="O42" s="320">
        <v>2559</v>
      </c>
      <c r="P42" s="320">
        <v>1378</v>
      </c>
      <c r="Q42" s="320">
        <v>1287</v>
      </c>
      <c r="R42" s="320">
        <v>635</v>
      </c>
      <c r="S42" s="320">
        <v>340</v>
      </c>
      <c r="T42" s="320">
        <v>400</v>
      </c>
      <c r="U42" s="320">
        <v>2077</v>
      </c>
      <c r="V42" s="320">
        <v>4340</v>
      </c>
      <c r="W42" s="320">
        <v>5724</v>
      </c>
      <c r="X42" s="320">
        <v>2869</v>
      </c>
      <c r="Y42" s="320"/>
      <c r="Z42" s="320"/>
      <c r="AA42" s="329">
        <f>SUM(O42:Z42)</f>
        <v>21609</v>
      </c>
      <c r="AB42" s="329">
        <f t="shared" si="13"/>
        <v>2160.9</v>
      </c>
    </row>
    <row r="43" spans="2:28" ht="15.75" thickBot="1" x14ac:dyDescent="0.3">
      <c r="B43" s="388"/>
      <c r="C43" s="312"/>
      <c r="D43" s="313"/>
      <c r="E43" s="312"/>
      <c r="F43" s="313"/>
      <c r="G43" s="321">
        <f t="shared" ref="G43:AA43" si="14">SUM(G39:G42)</f>
        <v>3938</v>
      </c>
      <c r="H43" s="321">
        <f t="shared" si="14"/>
        <v>8902</v>
      </c>
      <c r="I43" s="321">
        <f t="shared" si="14"/>
        <v>15724</v>
      </c>
      <c r="J43" s="321">
        <f t="shared" si="14"/>
        <v>36350</v>
      </c>
      <c r="K43" s="321">
        <f t="shared" si="14"/>
        <v>64573.250000000007</v>
      </c>
      <c r="L43" s="321">
        <f t="shared" si="14"/>
        <v>65376.166666666664</v>
      </c>
      <c r="M43" s="321">
        <f t="shared" si="14"/>
        <v>48293.583333333336</v>
      </c>
      <c r="N43" s="321">
        <f t="shared" ref="N43" si="15">SUM(N39:N42)</f>
        <v>22717.75</v>
      </c>
      <c r="O43" s="321">
        <f>SUM(O39:O42)</f>
        <v>33930</v>
      </c>
      <c r="P43" s="321">
        <f t="shared" si="14"/>
        <v>28017</v>
      </c>
      <c r="Q43" s="321">
        <f t="shared" si="14"/>
        <v>25867</v>
      </c>
      <c r="R43" s="321">
        <f t="shared" si="14"/>
        <v>37855</v>
      </c>
      <c r="S43" s="321">
        <f t="shared" si="14"/>
        <v>27675</v>
      </c>
      <c r="T43" s="321">
        <f t="shared" si="14"/>
        <v>15686</v>
      </c>
      <c r="U43" s="321">
        <f t="shared" si="14"/>
        <v>19992</v>
      </c>
      <c r="V43" s="321">
        <f t="shared" si="14"/>
        <v>25800</v>
      </c>
      <c r="W43" s="321">
        <f t="shared" si="14"/>
        <v>26035</v>
      </c>
      <c r="X43" s="321">
        <f t="shared" si="14"/>
        <v>22632</v>
      </c>
      <c r="Y43" s="321">
        <f t="shared" si="14"/>
        <v>0</v>
      </c>
      <c r="Z43" s="321">
        <f t="shared" si="14"/>
        <v>0</v>
      </c>
      <c r="AA43" s="347">
        <f t="shared" si="14"/>
        <v>263489</v>
      </c>
      <c r="AB43" s="331">
        <f>SUM(AB39:AB42)</f>
        <v>26348.899999999998</v>
      </c>
    </row>
    <row r="44" spans="2:28" x14ac:dyDescent="0.25">
      <c r="B44" s="296"/>
      <c r="C44" s="297"/>
      <c r="D44" s="298"/>
      <c r="E44" s="297"/>
      <c r="F44" s="298"/>
      <c r="G44" s="318"/>
      <c r="H44" s="318"/>
      <c r="I44" s="318"/>
      <c r="J44" s="318"/>
      <c r="K44" s="318"/>
      <c r="L44" s="318"/>
      <c r="M44" s="318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  <c r="AA44" s="328"/>
      <c r="AB44" s="328"/>
    </row>
    <row r="45" spans="2:28" x14ac:dyDescent="0.25">
      <c r="B45" s="299">
        <v>5</v>
      </c>
      <c r="C45" s="300" t="s">
        <v>399</v>
      </c>
      <c r="D45" s="387" t="s">
        <v>438</v>
      </c>
      <c r="E45" s="309" t="s">
        <v>426</v>
      </c>
      <c r="F45" s="301"/>
      <c r="G45" s="319"/>
      <c r="H45" s="319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Y45" s="319"/>
      <c r="Z45" s="319"/>
      <c r="AA45" s="329"/>
      <c r="AB45" s="329"/>
    </row>
    <row r="46" spans="2:28" x14ac:dyDescent="0.25">
      <c r="B46" s="299"/>
      <c r="C46" s="300"/>
      <c r="D46" s="301"/>
      <c r="E46" s="300"/>
      <c r="F46" s="301" t="s">
        <v>428</v>
      </c>
      <c r="G46" s="320">
        <v>27144</v>
      </c>
      <c r="H46" s="320">
        <v>19671</v>
      </c>
      <c r="I46" s="320">
        <v>24141</v>
      </c>
      <c r="J46" s="320">
        <v>22175</v>
      </c>
      <c r="K46" s="320">
        <v>26995.666666666668</v>
      </c>
      <c r="L46" s="320">
        <v>23765.583333333332</v>
      </c>
      <c r="M46" s="320">
        <v>13138.083333333334</v>
      </c>
      <c r="N46" s="320">
        <v>4956.75</v>
      </c>
      <c r="O46" s="320">
        <v>4036</v>
      </c>
      <c r="P46" s="320">
        <v>4756</v>
      </c>
      <c r="Q46" s="320">
        <v>4209</v>
      </c>
      <c r="R46" s="320">
        <v>3790</v>
      </c>
      <c r="S46" s="320">
        <v>3895</v>
      </c>
      <c r="T46" s="320">
        <v>3253</v>
      </c>
      <c r="U46" s="320">
        <v>5096</v>
      </c>
      <c r="V46" s="320">
        <v>4385</v>
      </c>
      <c r="W46" s="320">
        <v>3176</v>
      </c>
      <c r="X46" s="320">
        <v>4638</v>
      </c>
      <c r="Y46" s="320"/>
      <c r="Z46" s="320"/>
      <c r="AA46" s="329">
        <f t="shared" ref="AA46:AA53" si="16">SUM(O46:Z46)</f>
        <v>41234</v>
      </c>
      <c r="AB46" s="329">
        <f t="shared" ref="AB46:AB53" si="17">AA46/10</f>
        <v>4123.3999999999996</v>
      </c>
    </row>
    <row r="47" spans="2:28" x14ac:dyDescent="0.25">
      <c r="B47" s="299"/>
      <c r="C47" s="300"/>
      <c r="D47" s="301"/>
      <c r="E47" s="300"/>
      <c r="F47" s="301" t="s">
        <v>430</v>
      </c>
      <c r="G47" s="320">
        <v>43711</v>
      </c>
      <c r="H47" s="320">
        <v>42940</v>
      </c>
      <c r="I47" s="320">
        <v>24094</v>
      </c>
      <c r="J47" s="320">
        <v>28730</v>
      </c>
      <c r="K47" s="320">
        <v>23907.833333333332</v>
      </c>
      <c r="L47" s="320">
        <v>15838.583333333334</v>
      </c>
      <c r="M47" s="320">
        <v>8573.4166666666661</v>
      </c>
      <c r="N47" s="320">
        <v>4424.5</v>
      </c>
      <c r="O47" s="320">
        <v>1590</v>
      </c>
      <c r="P47" s="320">
        <v>919</v>
      </c>
      <c r="Q47" s="320">
        <v>1962</v>
      </c>
      <c r="R47" s="320">
        <v>2035</v>
      </c>
      <c r="S47" s="320">
        <v>2624</v>
      </c>
      <c r="T47" s="320">
        <v>1025</v>
      </c>
      <c r="U47" s="320">
        <v>2611</v>
      </c>
      <c r="V47" s="320">
        <v>1182</v>
      </c>
      <c r="W47" s="320">
        <v>3108</v>
      </c>
      <c r="X47" s="320">
        <v>2458</v>
      </c>
      <c r="Y47" s="320"/>
      <c r="Z47" s="320"/>
      <c r="AA47" s="329">
        <f t="shared" si="16"/>
        <v>19514</v>
      </c>
      <c r="AB47" s="329">
        <f t="shared" si="17"/>
        <v>1951.4</v>
      </c>
    </row>
    <row r="48" spans="2:28" x14ac:dyDescent="0.25">
      <c r="B48" s="299"/>
      <c r="C48" s="300"/>
      <c r="D48" s="301"/>
      <c r="E48" s="300"/>
      <c r="F48" s="301" t="s">
        <v>432</v>
      </c>
      <c r="G48" s="320">
        <v>0</v>
      </c>
      <c r="H48" s="320">
        <v>133</v>
      </c>
      <c r="I48" s="320">
        <v>9443</v>
      </c>
      <c r="J48" s="320">
        <v>11174</v>
      </c>
      <c r="K48" s="320">
        <v>14006.25</v>
      </c>
      <c r="L48" s="320">
        <v>9105.25</v>
      </c>
      <c r="M48" s="320">
        <v>4152.916666666667</v>
      </c>
      <c r="N48" s="320">
        <v>808.41666666666663</v>
      </c>
      <c r="O48" s="320">
        <v>1460</v>
      </c>
      <c r="P48" s="320">
        <v>1191</v>
      </c>
      <c r="Q48" s="320">
        <v>865</v>
      </c>
      <c r="R48" s="320">
        <v>2540</v>
      </c>
      <c r="S48" s="320">
        <v>6569</v>
      </c>
      <c r="T48" s="320">
        <v>3262</v>
      </c>
      <c r="U48" s="320">
        <v>2584</v>
      </c>
      <c r="V48" s="320">
        <v>5217</v>
      </c>
      <c r="W48" s="320">
        <v>5103</v>
      </c>
      <c r="X48" s="320">
        <v>3764</v>
      </c>
      <c r="Y48" s="320"/>
      <c r="Z48" s="320"/>
      <c r="AA48" s="329">
        <f t="shared" si="16"/>
        <v>32555</v>
      </c>
      <c r="AB48" s="329">
        <f t="shared" si="17"/>
        <v>3255.5</v>
      </c>
    </row>
    <row r="49" spans="2:28" x14ac:dyDescent="0.25">
      <c r="B49" s="299"/>
      <c r="C49" s="300"/>
      <c r="D49" s="301"/>
      <c r="E49" s="300"/>
      <c r="F49" s="301" t="s">
        <v>343</v>
      </c>
      <c r="G49" s="320">
        <v>0</v>
      </c>
      <c r="H49" s="320">
        <v>2183</v>
      </c>
      <c r="I49" s="320">
        <v>339</v>
      </c>
      <c r="J49" s="320">
        <v>11</v>
      </c>
      <c r="K49" s="320">
        <v>763.33333333333337</v>
      </c>
      <c r="L49" s="320">
        <v>531.66666666666663</v>
      </c>
      <c r="M49" s="320">
        <v>0</v>
      </c>
      <c r="N49" s="320">
        <v>143.58333333333334</v>
      </c>
      <c r="O49" s="320">
        <v>0</v>
      </c>
      <c r="P49" s="320">
        <v>400</v>
      </c>
      <c r="Q49" s="320">
        <v>0</v>
      </c>
      <c r="R49" s="320">
        <v>0</v>
      </c>
      <c r="S49" s="320">
        <v>0</v>
      </c>
      <c r="T49" s="320">
        <v>0</v>
      </c>
      <c r="U49" s="320">
        <v>0</v>
      </c>
      <c r="V49" s="320">
        <v>0</v>
      </c>
      <c r="W49" s="320">
        <v>0</v>
      </c>
      <c r="X49" s="320">
        <v>0</v>
      </c>
      <c r="Y49" s="320"/>
      <c r="Z49" s="320"/>
      <c r="AA49" s="329">
        <f t="shared" si="16"/>
        <v>400</v>
      </c>
      <c r="AB49" s="329">
        <f t="shared" si="17"/>
        <v>40</v>
      </c>
    </row>
    <row r="50" spans="2:28" x14ac:dyDescent="0.25">
      <c r="B50" s="299"/>
      <c r="C50" s="300"/>
      <c r="D50" s="301"/>
      <c r="E50" s="300"/>
      <c r="F50" s="301" t="s">
        <v>433</v>
      </c>
      <c r="G50" s="320">
        <v>0</v>
      </c>
      <c r="H50" s="320">
        <v>1125</v>
      </c>
      <c r="I50" s="320">
        <v>13201</v>
      </c>
      <c r="J50" s="320">
        <v>15182</v>
      </c>
      <c r="K50" s="320">
        <v>20189.083333333332</v>
      </c>
      <c r="L50" s="320">
        <v>20893.666666666668</v>
      </c>
      <c r="M50" s="320">
        <v>10921.416666666666</v>
      </c>
      <c r="N50" s="320">
        <v>4352.416666666667</v>
      </c>
      <c r="O50" s="320">
        <v>2068</v>
      </c>
      <c r="P50" s="320">
        <v>2227</v>
      </c>
      <c r="Q50" s="320">
        <v>1813</v>
      </c>
      <c r="R50" s="320">
        <v>1682</v>
      </c>
      <c r="S50" s="320">
        <v>973</v>
      </c>
      <c r="T50" s="320">
        <v>961</v>
      </c>
      <c r="U50" s="320">
        <v>2360</v>
      </c>
      <c r="V50" s="320">
        <v>3132</v>
      </c>
      <c r="W50" s="320">
        <v>983</v>
      </c>
      <c r="X50" s="320">
        <v>1150</v>
      </c>
      <c r="Y50" s="320"/>
      <c r="Z50" s="320"/>
      <c r="AA50" s="329">
        <f t="shared" si="16"/>
        <v>17349</v>
      </c>
      <c r="AB50" s="329">
        <f t="shared" si="17"/>
        <v>1734.9</v>
      </c>
    </row>
    <row r="51" spans="2:28" x14ac:dyDescent="0.25">
      <c r="B51" s="299"/>
      <c r="C51" s="300"/>
      <c r="D51" s="301"/>
      <c r="E51" s="300"/>
      <c r="F51" s="301" t="s">
        <v>434</v>
      </c>
      <c r="G51" s="320">
        <v>0</v>
      </c>
      <c r="H51" s="320">
        <v>0</v>
      </c>
      <c r="I51" s="320">
        <v>0</v>
      </c>
      <c r="J51" s="320">
        <v>0</v>
      </c>
      <c r="K51" s="320">
        <v>0</v>
      </c>
      <c r="L51" s="320">
        <v>122.08333333333333</v>
      </c>
      <c r="M51" s="320">
        <v>466.08333333333331</v>
      </c>
      <c r="N51" s="320">
        <v>508.25</v>
      </c>
      <c r="O51" s="320">
        <v>1682</v>
      </c>
      <c r="P51" s="320">
        <v>0</v>
      </c>
      <c r="Q51" s="320">
        <v>0</v>
      </c>
      <c r="R51" s="320">
        <v>0</v>
      </c>
      <c r="S51" s="320">
        <v>818</v>
      </c>
      <c r="T51" s="320">
        <v>0</v>
      </c>
      <c r="U51" s="320">
        <v>455</v>
      </c>
      <c r="V51" s="320">
        <v>0</v>
      </c>
      <c r="W51" s="320">
        <v>273</v>
      </c>
      <c r="X51" s="320">
        <v>682</v>
      </c>
      <c r="Y51" s="320"/>
      <c r="Z51" s="320"/>
      <c r="AA51" s="329">
        <f t="shared" si="16"/>
        <v>3910</v>
      </c>
      <c r="AB51" s="329">
        <f t="shared" si="17"/>
        <v>391</v>
      </c>
    </row>
    <row r="52" spans="2:28" x14ac:dyDescent="0.25">
      <c r="B52" s="299"/>
      <c r="C52" s="300"/>
      <c r="D52" s="301"/>
      <c r="E52" s="300"/>
      <c r="F52" s="301" t="s">
        <v>435</v>
      </c>
      <c r="G52" s="320">
        <v>11478</v>
      </c>
      <c r="H52" s="320">
        <v>12392</v>
      </c>
      <c r="I52" s="320">
        <v>8003</v>
      </c>
      <c r="J52" s="320">
        <v>4892</v>
      </c>
      <c r="K52" s="320">
        <v>3248.0833333333335</v>
      </c>
      <c r="L52" s="320">
        <v>1987</v>
      </c>
      <c r="M52" s="320">
        <v>1096</v>
      </c>
      <c r="N52" s="320">
        <v>564.25</v>
      </c>
      <c r="O52" s="320">
        <v>0</v>
      </c>
      <c r="P52" s="320">
        <v>393</v>
      </c>
      <c r="Q52" s="320">
        <v>272</v>
      </c>
      <c r="R52" s="320">
        <v>539</v>
      </c>
      <c r="S52" s="320">
        <v>819</v>
      </c>
      <c r="T52" s="320">
        <v>227</v>
      </c>
      <c r="U52" s="320">
        <v>1243</v>
      </c>
      <c r="V52" s="320">
        <v>0</v>
      </c>
      <c r="W52" s="320">
        <v>1000</v>
      </c>
      <c r="X52" s="320">
        <v>150</v>
      </c>
      <c r="Y52" s="320"/>
      <c r="Z52" s="320"/>
      <c r="AA52" s="329">
        <f t="shared" si="16"/>
        <v>4643</v>
      </c>
      <c r="AB52" s="329">
        <f t="shared" si="17"/>
        <v>464.3</v>
      </c>
    </row>
    <row r="53" spans="2:28" ht="15.75" thickBot="1" x14ac:dyDescent="0.3">
      <c r="B53" s="302"/>
      <c r="C53" s="303"/>
      <c r="D53" s="304"/>
      <c r="E53" s="303"/>
      <c r="F53" s="304" t="s">
        <v>436</v>
      </c>
      <c r="G53" s="323">
        <v>0</v>
      </c>
      <c r="H53" s="323">
        <v>0</v>
      </c>
      <c r="I53" s="323">
        <v>166</v>
      </c>
      <c r="J53" s="323">
        <v>0</v>
      </c>
      <c r="K53" s="320">
        <v>0</v>
      </c>
      <c r="L53" s="320">
        <v>0</v>
      </c>
      <c r="M53" s="320">
        <v>0</v>
      </c>
      <c r="N53" s="320">
        <v>41.833333333333336</v>
      </c>
      <c r="O53" s="320">
        <v>0</v>
      </c>
      <c r="P53" s="320">
        <v>0</v>
      </c>
      <c r="Q53" s="320">
        <v>0</v>
      </c>
      <c r="R53" s="320">
        <v>0</v>
      </c>
      <c r="S53" s="320">
        <v>200</v>
      </c>
      <c r="T53" s="320">
        <v>0</v>
      </c>
      <c r="U53" s="320">
        <v>0</v>
      </c>
      <c r="V53" s="320">
        <v>0</v>
      </c>
      <c r="W53" s="320">
        <v>130</v>
      </c>
      <c r="X53" s="320">
        <v>0</v>
      </c>
      <c r="Y53" s="320"/>
      <c r="Z53" s="320"/>
      <c r="AA53" s="329">
        <f t="shared" si="16"/>
        <v>330</v>
      </c>
      <c r="AB53" s="329">
        <f t="shared" si="17"/>
        <v>33</v>
      </c>
    </row>
    <row r="54" spans="2:28" ht="15.75" thickBot="1" x14ac:dyDescent="0.3">
      <c r="B54" s="388"/>
      <c r="C54" s="312"/>
      <c r="D54" s="313"/>
      <c r="E54" s="312"/>
      <c r="F54" s="313"/>
      <c r="G54" s="321">
        <f t="shared" ref="G54:M54" si="18">SUM(G46:G53)</f>
        <v>82333</v>
      </c>
      <c r="H54" s="321">
        <f t="shared" si="18"/>
        <v>78444</v>
      </c>
      <c r="I54" s="321">
        <f t="shared" si="18"/>
        <v>79387</v>
      </c>
      <c r="J54" s="321">
        <f t="shared" si="18"/>
        <v>82164</v>
      </c>
      <c r="K54" s="321">
        <f t="shared" si="18"/>
        <v>89110.249999999985</v>
      </c>
      <c r="L54" s="321">
        <f t="shared" si="18"/>
        <v>72243.833333333328</v>
      </c>
      <c r="M54" s="321">
        <f t="shared" si="18"/>
        <v>38347.916666666672</v>
      </c>
      <c r="N54" s="321">
        <f t="shared" ref="N54" si="19">SUM(N46:N53)</f>
        <v>15800.000000000002</v>
      </c>
      <c r="O54" s="321">
        <f>SUM(O46:O53)</f>
        <v>10836</v>
      </c>
      <c r="P54" s="321">
        <f t="shared" ref="P54:AA54" si="20">SUM(P46:P53)</f>
        <v>9886</v>
      </c>
      <c r="Q54" s="321">
        <f t="shared" si="20"/>
        <v>9121</v>
      </c>
      <c r="R54" s="321">
        <f t="shared" si="20"/>
        <v>10586</v>
      </c>
      <c r="S54" s="321">
        <f t="shared" si="20"/>
        <v>15898</v>
      </c>
      <c r="T54" s="321">
        <f t="shared" si="20"/>
        <v>8728</v>
      </c>
      <c r="U54" s="321">
        <f t="shared" si="20"/>
        <v>14349</v>
      </c>
      <c r="V54" s="321">
        <f t="shared" si="20"/>
        <v>13916</v>
      </c>
      <c r="W54" s="321">
        <f t="shared" si="20"/>
        <v>13773</v>
      </c>
      <c r="X54" s="321">
        <f t="shared" si="20"/>
        <v>12842</v>
      </c>
      <c r="Y54" s="321">
        <f t="shared" si="20"/>
        <v>0</v>
      </c>
      <c r="Z54" s="321">
        <f t="shared" si="20"/>
        <v>0</v>
      </c>
      <c r="AA54" s="331">
        <f t="shared" si="20"/>
        <v>119935</v>
      </c>
      <c r="AB54" s="331">
        <f>SUM(AB46:AB53)</f>
        <v>11993.499999999998</v>
      </c>
    </row>
    <row r="55" spans="2:28" x14ac:dyDescent="0.25">
      <c r="B55" s="296"/>
      <c r="C55" s="297"/>
      <c r="D55" s="298"/>
      <c r="E55" s="297"/>
      <c r="F55" s="298"/>
      <c r="G55" s="322"/>
      <c r="H55" s="322"/>
      <c r="I55" s="322"/>
      <c r="J55" s="322"/>
      <c r="K55" s="322"/>
      <c r="L55" s="322"/>
      <c r="M55" s="322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2"/>
      <c r="Y55" s="322"/>
      <c r="Z55" s="322"/>
      <c r="AA55" s="328"/>
      <c r="AB55" s="328"/>
    </row>
    <row r="56" spans="2:28" x14ac:dyDescent="0.25">
      <c r="B56" s="299">
        <v>6</v>
      </c>
      <c r="C56" s="300" t="s">
        <v>399</v>
      </c>
      <c r="D56" s="387" t="s">
        <v>438</v>
      </c>
      <c r="E56" s="309" t="s">
        <v>564</v>
      </c>
      <c r="F56" s="301"/>
      <c r="G56" s="319"/>
      <c r="H56" s="319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Y56" s="319"/>
      <c r="Z56" s="319"/>
      <c r="AA56" s="329"/>
      <c r="AB56" s="329"/>
    </row>
    <row r="57" spans="2:28" x14ac:dyDescent="0.25">
      <c r="B57" s="299"/>
      <c r="C57" s="300"/>
      <c r="D57" s="301"/>
      <c r="E57" s="300"/>
      <c r="F57" s="301" t="s">
        <v>421</v>
      </c>
      <c r="G57" s="320">
        <v>6236</v>
      </c>
      <c r="H57" s="320">
        <v>7076</v>
      </c>
      <c r="I57" s="320">
        <v>7821</v>
      </c>
      <c r="J57" s="320">
        <v>6994</v>
      </c>
      <c r="K57" s="320">
        <v>8200.4166666666661</v>
      </c>
      <c r="L57" s="320">
        <v>5997</v>
      </c>
      <c r="M57" s="320">
        <v>3752.0833333333335</v>
      </c>
      <c r="N57" s="320">
        <v>2230.3333333333335</v>
      </c>
      <c r="O57" s="320">
        <v>7330</v>
      </c>
      <c r="P57" s="320">
        <v>4200</v>
      </c>
      <c r="Q57" s="320">
        <v>3056</v>
      </c>
      <c r="R57" s="319">
        <v>4252</v>
      </c>
      <c r="S57" s="319">
        <v>5108</v>
      </c>
      <c r="T57" s="319">
        <v>4577</v>
      </c>
      <c r="U57" s="319">
        <v>3279</v>
      </c>
      <c r="V57" s="319">
        <v>3227</v>
      </c>
      <c r="W57" s="319">
        <v>4046</v>
      </c>
      <c r="X57" s="319">
        <v>4969</v>
      </c>
      <c r="Y57" s="319"/>
      <c r="Z57" s="319"/>
      <c r="AA57" s="329">
        <f>SUM(O57:Z57)</f>
        <v>44044</v>
      </c>
      <c r="AB57" s="329">
        <f t="shared" ref="AB57:AB59" si="21">AA57/10</f>
        <v>4404.3999999999996</v>
      </c>
    </row>
    <row r="58" spans="2:28" x14ac:dyDescent="0.25">
      <c r="B58" s="302"/>
      <c r="C58" s="303"/>
      <c r="D58" s="304"/>
      <c r="E58" s="303"/>
      <c r="F58" s="304" t="s">
        <v>417</v>
      </c>
      <c r="G58" s="323">
        <v>0</v>
      </c>
      <c r="H58" s="323">
        <v>3739</v>
      </c>
      <c r="I58" s="323">
        <v>776</v>
      </c>
      <c r="J58" s="323">
        <v>538</v>
      </c>
      <c r="K58" s="323">
        <v>390.83333333333331</v>
      </c>
      <c r="L58" s="323">
        <v>1737.75</v>
      </c>
      <c r="M58" s="323">
        <v>3004.75</v>
      </c>
      <c r="N58" s="323">
        <v>3315.9166666666665</v>
      </c>
      <c r="O58" s="323">
        <v>2110</v>
      </c>
      <c r="P58" s="323">
        <v>2160</v>
      </c>
      <c r="Q58" s="323">
        <v>1550</v>
      </c>
      <c r="R58" s="319">
        <v>2410</v>
      </c>
      <c r="S58" s="319">
        <v>500</v>
      </c>
      <c r="T58" s="319">
        <v>350</v>
      </c>
      <c r="U58" s="319">
        <v>460</v>
      </c>
      <c r="V58" s="319">
        <v>320</v>
      </c>
      <c r="W58" s="319">
        <v>0</v>
      </c>
      <c r="X58" s="319">
        <v>280</v>
      </c>
      <c r="Y58" s="319"/>
      <c r="Z58" s="319"/>
      <c r="AA58" s="329">
        <f>SUM(O58:Z58)</f>
        <v>10140</v>
      </c>
      <c r="AB58" s="329">
        <f t="shared" si="21"/>
        <v>1014</v>
      </c>
    </row>
    <row r="59" spans="2:28" ht="15.75" thickBot="1" x14ac:dyDescent="0.3">
      <c r="B59" s="299"/>
      <c r="C59" s="300"/>
      <c r="D59" s="301"/>
      <c r="E59" s="300"/>
      <c r="F59" s="301" t="s">
        <v>422</v>
      </c>
      <c r="G59" s="320">
        <v>33789</v>
      </c>
      <c r="H59" s="320">
        <v>46387</v>
      </c>
      <c r="I59" s="320">
        <v>15417</v>
      </c>
      <c r="J59" s="320">
        <v>16542</v>
      </c>
      <c r="K59" s="320">
        <v>15307.416666666666</v>
      </c>
      <c r="L59" s="320">
        <v>11840.166666666666</v>
      </c>
      <c r="M59" s="320">
        <v>9497.4166666666661</v>
      </c>
      <c r="N59" s="320">
        <v>6809</v>
      </c>
      <c r="O59" s="320">
        <v>9926</v>
      </c>
      <c r="P59" s="320">
        <v>7053</v>
      </c>
      <c r="Q59" s="320">
        <v>4112</v>
      </c>
      <c r="R59" s="319">
        <v>10426</v>
      </c>
      <c r="S59" s="319">
        <v>10270</v>
      </c>
      <c r="T59" s="319">
        <v>10495</v>
      </c>
      <c r="U59" s="319">
        <v>9285</v>
      </c>
      <c r="V59" s="319">
        <v>10344</v>
      </c>
      <c r="W59" s="319">
        <v>10835</v>
      </c>
      <c r="X59" s="319">
        <v>17293</v>
      </c>
      <c r="Y59" s="319"/>
      <c r="Z59" s="319"/>
      <c r="AA59" s="329">
        <f>SUM(O59:Z59)</f>
        <v>100039</v>
      </c>
      <c r="AB59" s="329">
        <f t="shared" si="21"/>
        <v>10003.9</v>
      </c>
    </row>
    <row r="60" spans="2:28" ht="15.75" thickBot="1" x14ac:dyDescent="0.3">
      <c r="B60" s="388"/>
      <c r="C60" s="312"/>
      <c r="D60" s="313"/>
      <c r="E60" s="312"/>
      <c r="F60" s="313"/>
      <c r="G60" s="321">
        <f t="shared" ref="G60:AA60" si="22">SUM(G57:G59)</f>
        <v>40025</v>
      </c>
      <c r="H60" s="321">
        <f t="shared" si="22"/>
        <v>57202</v>
      </c>
      <c r="I60" s="321">
        <f t="shared" si="22"/>
        <v>24014</v>
      </c>
      <c r="J60" s="321">
        <f t="shared" si="22"/>
        <v>24074</v>
      </c>
      <c r="K60" s="321">
        <f t="shared" si="22"/>
        <v>23898.666666666664</v>
      </c>
      <c r="L60" s="321">
        <f t="shared" si="22"/>
        <v>19574.916666666664</v>
      </c>
      <c r="M60" s="321">
        <f t="shared" si="22"/>
        <v>16254.25</v>
      </c>
      <c r="N60" s="321">
        <f t="shared" si="22"/>
        <v>12355.25</v>
      </c>
      <c r="O60" s="321">
        <f t="shared" si="22"/>
        <v>19366</v>
      </c>
      <c r="P60" s="321">
        <f t="shared" si="22"/>
        <v>13413</v>
      </c>
      <c r="Q60" s="321">
        <f t="shared" si="22"/>
        <v>8718</v>
      </c>
      <c r="R60" s="321">
        <f t="shared" si="22"/>
        <v>17088</v>
      </c>
      <c r="S60" s="321">
        <f t="shared" si="22"/>
        <v>15878</v>
      </c>
      <c r="T60" s="321">
        <f t="shared" si="22"/>
        <v>15422</v>
      </c>
      <c r="U60" s="321">
        <f t="shared" si="22"/>
        <v>13024</v>
      </c>
      <c r="V60" s="321">
        <f t="shared" si="22"/>
        <v>13891</v>
      </c>
      <c r="W60" s="321">
        <f t="shared" si="22"/>
        <v>14881</v>
      </c>
      <c r="X60" s="321">
        <f t="shared" si="22"/>
        <v>22542</v>
      </c>
      <c r="Y60" s="321">
        <f t="shared" si="22"/>
        <v>0</v>
      </c>
      <c r="Z60" s="347">
        <f t="shared" si="22"/>
        <v>0</v>
      </c>
      <c r="AA60" s="331">
        <f t="shared" si="22"/>
        <v>154223</v>
      </c>
      <c r="AB60" s="331">
        <f>SUM(AB57:AB59)</f>
        <v>15422.3</v>
      </c>
    </row>
    <row r="61" spans="2:28" x14ac:dyDescent="0.25">
      <c r="B61" s="299">
        <v>6</v>
      </c>
      <c r="C61" s="300" t="s">
        <v>399</v>
      </c>
      <c r="D61" s="301" t="s">
        <v>444</v>
      </c>
      <c r="E61" s="309" t="s">
        <v>565</v>
      </c>
      <c r="F61" s="301"/>
      <c r="G61" s="319"/>
      <c r="H61" s="31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Y61" s="319"/>
      <c r="Z61" s="319"/>
      <c r="AA61" s="329"/>
      <c r="AB61" s="329"/>
    </row>
    <row r="62" spans="2:28" x14ac:dyDescent="0.25">
      <c r="B62" s="299"/>
      <c r="C62" s="300"/>
      <c r="D62" s="301"/>
      <c r="E62" s="300"/>
      <c r="F62" s="301" t="s">
        <v>423</v>
      </c>
      <c r="G62" s="320">
        <v>1122</v>
      </c>
      <c r="H62" s="320">
        <v>1057</v>
      </c>
      <c r="I62" s="320">
        <v>926</v>
      </c>
      <c r="J62" s="320">
        <v>1569</v>
      </c>
      <c r="K62" s="320">
        <v>2670.1666666666665</v>
      </c>
      <c r="L62" s="320">
        <v>3552.75</v>
      </c>
      <c r="M62" s="320">
        <v>2555.9166666666665</v>
      </c>
      <c r="N62" s="320">
        <v>2727.9166666666665</v>
      </c>
      <c r="O62" s="320">
        <v>5474</v>
      </c>
      <c r="P62" s="320">
        <v>3843</v>
      </c>
      <c r="Q62" s="320">
        <v>3304</v>
      </c>
      <c r="R62" s="319">
        <v>2849</v>
      </c>
      <c r="S62" s="319">
        <v>4312</v>
      </c>
      <c r="T62" s="319">
        <v>2959</v>
      </c>
      <c r="U62" s="319">
        <v>3390</v>
      </c>
      <c r="V62" s="319">
        <v>3678</v>
      </c>
      <c r="W62" s="319">
        <v>3733</v>
      </c>
      <c r="X62" s="319">
        <v>3761</v>
      </c>
      <c r="Y62" s="319"/>
      <c r="Z62" s="319"/>
      <c r="AA62" s="329">
        <f>SUM(O62:Z62)</f>
        <v>37303</v>
      </c>
      <c r="AB62" s="329">
        <f t="shared" ref="AB62:AB63" si="23">AA62/10</f>
        <v>3730.3</v>
      </c>
    </row>
    <row r="63" spans="2:28" ht="15.75" thickBot="1" x14ac:dyDescent="0.3">
      <c r="B63" s="302"/>
      <c r="C63" s="303"/>
      <c r="D63" s="304"/>
      <c r="E63" s="303"/>
      <c r="F63" s="304" t="s">
        <v>424</v>
      </c>
      <c r="G63" s="323">
        <v>1122</v>
      </c>
      <c r="H63" s="323">
        <v>2255</v>
      </c>
      <c r="I63" s="323">
        <v>2056</v>
      </c>
      <c r="J63" s="323">
        <v>2317</v>
      </c>
      <c r="K63" s="320">
        <v>3184</v>
      </c>
      <c r="L63" s="320">
        <v>3663.3333333333335</v>
      </c>
      <c r="M63" s="320">
        <v>3428.1666666666665</v>
      </c>
      <c r="N63" s="320">
        <v>2852.6666666666665</v>
      </c>
      <c r="O63" s="320">
        <v>3913</v>
      </c>
      <c r="P63" s="320">
        <v>6181</v>
      </c>
      <c r="Q63" s="320">
        <v>2089</v>
      </c>
      <c r="R63" s="319">
        <v>1892</v>
      </c>
      <c r="S63" s="319">
        <v>1972</v>
      </c>
      <c r="T63" s="319">
        <v>1857</v>
      </c>
      <c r="U63" s="319">
        <v>3863</v>
      </c>
      <c r="V63" s="319">
        <v>2619</v>
      </c>
      <c r="W63" s="319">
        <v>1620</v>
      </c>
      <c r="X63" s="319">
        <v>1367</v>
      </c>
      <c r="Y63" s="319"/>
      <c r="Z63" s="319"/>
      <c r="AA63" s="329">
        <f>SUM(O63:Z63)</f>
        <v>27373</v>
      </c>
      <c r="AB63" s="329">
        <f t="shared" si="23"/>
        <v>2737.3</v>
      </c>
    </row>
    <row r="64" spans="2:28" ht="15.75" thickBot="1" x14ac:dyDescent="0.3">
      <c r="B64" s="388"/>
      <c r="C64" s="312"/>
      <c r="D64" s="313"/>
      <c r="E64" s="312"/>
      <c r="F64" s="313"/>
      <c r="G64" s="324">
        <f>SUM(G62:G63)</f>
        <v>2244</v>
      </c>
      <c r="H64" s="324">
        <f t="shared" ref="H64:Y64" si="24">SUM(H62:H63)</f>
        <v>3312</v>
      </c>
      <c r="I64" s="324">
        <f t="shared" si="24"/>
        <v>2982</v>
      </c>
      <c r="J64" s="324">
        <f t="shared" si="24"/>
        <v>3886</v>
      </c>
      <c r="K64" s="324">
        <f t="shared" si="24"/>
        <v>5854.1666666666661</v>
      </c>
      <c r="L64" s="324">
        <f t="shared" si="24"/>
        <v>7216.0833333333339</v>
      </c>
      <c r="M64" s="324">
        <f t="shared" si="24"/>
        <v>5984.083333333333</v>
      </c>
      <c r="N64" s="324">
        <f t="shared" si="24"/>
        <v>5580.583333333333</v>
      </c>
      <c r="O64" s="324">
        <f>SUM(O62:O63)</f>
        <v>9387</v>
      </c>
      <c r="P64" s="324">
        <f t="shared" si="24"/>
        <v>10024</v>
      </c>
      <c r="Q64" s="324">
        <f t="shared" si="24"/>
        <v>5393</v>
      </c>
      <c r="R64" s="324">
        <f t="shared" si="24"/>
        <v>4741</v>
      </c>
      <c r="S64" s="324">
        <f t="shared" si="24"/>
        <v>6284</v>
      </c>
      <c r="T64" s="324">
        <f t="shared" si="24"/>
        <v>4816</v>
      </c>
      <c r="U64" s="324">
        <f t="shared" si="24"/>
        <v>7253</v>
      </c>
      <c r="V64" s="324">
        <f t="shared" si="24"/>
        <v>6297</v>
      </c>
      <c r="W64" s="324">
        <f t="shared" si="24"/>
        <v>5353</v>
      </c>
      <c r="X64" s="324">
        <f t="shared" si="24"/>
        <v>5128</v>
      </c>
      <c r="Y64" s="324">
        <f t="shared" si="24"/>
        <v>0</v>
      </c>
      <c r="Z64" s="348">
        <f>SUM(Z62:Z63)</f>
        <v>0</v>
      </c>
      <c r="AA64" s="330">
        <f>SUM(AA62:AA63)</f>
        <v>64676</v>
      </c>
      <c r="AB64" s="330">
        <f>SUM(AB62:AB63)</f>
        <v>6467.6</v>
      </c>
    </row>
    <row r="65" spans="2:29" ht="15.75" thickBot="1" x14ac:dyDescent="0.3">
      <c r="B65" s="389"/>
      <c r="C65" s="333"/>
      <c r="D65" s="334"/>
      <c r="E65" s="333"/>
      <c r="F65" s="334"/>
      <c r="G65" s="335">
        <f t="shared" ref="G65:AB65" si="25">G36+G43+G54+G60+G64</f>
        <v>157185</v>
      </c>
      <c r="H65" s="335">
        <f t="shared" si="25"/>
        <v>175458</v>
      </c>
      <c r="I65" s="335">
        <f t="shared" si="25"/>
        <v>150404</v>
      </c>
      <c r="J65" s="335">
        <f t="shared" si="25"/>
        <v>181764</v>
      </c>
      <c r="K65" s="335">
        <f t="shared" si="25"/>
        <v>217519.5</v>
      </c>
      <c r="L65" s="335">
        <f t="shared" si="25"/>
        <v>188543.33333333331</v>
      </c>
      <c r="M65" s="335">
        <f t="shared" si="25"/>
        <v>126998.91666666667</v>
      </c>
      <c r="N65" s="335">
        <f t="shared" si="25"/>
        <v>71984.999999999985</v>
      </c>
      <c r="O65" s="335">
        <f t="shared" si="25"/>
        <v>85188</v>
      </c>
      <c r="P65" s="335">
        <f t="shared" si="25"/>
        <v>72331</v>
      </c>
      <c r="Q65" s="335">
        <f t="shared" si="25"/>
        <v>59170</v>
      </c>
      <c r="R65" s="335">
        <f t="shared" si="25"/>
        <v>83206</v>
      </c>
      <c r="S65" s="335">
        <f t="shared" si="25"/>
        <v>83220</v>
      </c>
      <c r="T65" s="335">
        <f t="shared" si="25"/>
        <v>62310</v>
      </c>
      <c r="U65" s="335">
        <f t="shared" si="25"/>
        <v>68254</v>
      </c>
      <c r="V65" s="335">
        <f t="shared" si="25"/>
        <v>74793</v>
      </c>
      <c r="W65" s="335">
        <f t="shared" si="25"/>
        <v>77765</v>
      </c>
      <c r="X65" s="335">
        <f t="shared" si="25"/>
        <v>83440</v>
      </c>
      <c r="Y65" s="335">
        <f t="shared" si="25"/>
        <v>0</v>
      </c>
      <c r="Z65" s="346">
        <f t="shared" si="25"/>
        <v>0</v>
      </c>
      <c r="AA65" s="368">
        <f t="shared" si="25"/>
        <v>749677</v>
      </c>
      <c r="AB65" s="368">
        <f t="shared" si="25"/>
        <v>74967.7</v>
      </c>
    </row>
    <row r="66" spans="2:29" x14ac:dyDescent="0.25">
      <c r="B66" s="296"/>
      <c r="C66" s="297"/>
      <c r="D66" s="298"/>
      <c r="E66" s="297"/>
      <c r="F66" s="298"/>
      <c r="G66" s="318"/>
      <c r="H66" s="318"/>
      <c r="I66" s="318"/>
      <c r="J66" s="318"/>
      <c r="K66" s="318"/>
      <c r="L66" s="318"/>
      <c r="M66" s="318"/>
      <c r="N66" s="318"/>
      <c r="O66" s="318"/>
      <c r="P66" s="318"/>
      <c r="Q66" s="318"/>
      <c r="R66" s="318"/>
      <c r="S66" s="318"/>
      <c r="T66" s="318"/>
      <c r="U66" s="318"/>
      <c r="V66" s="318"/>
      <c r="W66" s="318"/>
      <c r="X66" s="318"/>
      <c r="Y66" s="318"/>
      <c r="Z66" s="318"/>
      <c r="AA66" s="329"/>
      <c r="AB66" s="329"/>
    </row>
    <row r="67" spans="2:29" x14ac:dyDescent="0.25">
      <c r="B67" s="296">
        <v>7</v>
      </c>
      <c r="C67" s="297"/>
      <c r="D67" s="298"/>
      <c r="E67" s="309" t="s">
        <v>560</v>
      </c>
      <c r="F67" s="301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8"/>
      <c r="R67" s="318"/>
      <c r="S67" s="318"/>
      <c r="T67" s="318"/>
      <c r="U67" s="318"/>
      <c r="V67" s="318"/>
      <c r="W67" s="318"/>
      <c r="X67" s="318"/>
      <c r="Y67" s="318"/>
      <c r="Z67" s="318"/>
      <c r="AA67" s="329"/>
      <c r="AB67" s="329"/>
    </row>
    <row r="68" spans="2:29" x14ac:dyDescent="0.25">
      <c r="B68" s="296"/>
      <c r="C68" s="297"/>
      <c r="D68" s="298"/>
      <c r="E68" s="370"/>
      <c r="F68" s="369" t="s">
        <v>451</v>
      </c>
      <c r="G68" s="325">
        <v>4000</v>
      </c>
      <c r="H68" s="325">
        <v>2826</v>
      </c>
      <c r="I68" s="325">
        <v>1303</v>
      </c>
      <c r="J68" s="325">
        <v>865</v>
      </c>
      <c r="K68" s="325">
        <v>4.583333333333333</v>
      </c>
      <c r="L68" s="325">
        <v>637.5</v>
      </c>
      <c r="M68" s="325">
        <v>1350.25</v>
      </c>
      <c r="N68" s="325">
        <v>1239.1666666666667</v>
      </c>
      <c r="O68" s="325">
        <v>20</v>
      </c>
      <c r="P68" s="325">
        <v>0</v>
      </c>
      <c r="Q68" s="325">
        <v>1650</v>
      </c>
      <c r="R68" s="325">
        <v>0</v>
      </c>
      <c r="S68" s="325">
        <v>0</v>
      </c>
      <c r="T68" s="325">
        <v>0</v>
      </c>
      <c r="U68" s="325">
        <v>825</v>
      </c>
      <c r="V68" s="325">
        <v>900</v>
      </c>
      <c r="W68" s="325">
        <v>150</v>
      </c>
      <c r="X68" s="325">
        <v>557</v>
      </c>
      <c r="Y68" s="325"/>
      <c r="Z68" s="325"/>
      <c r="AA68" s="329">
        <f t="shared" ref="AA68:AA91" si="26">SUM(O68:Z68)</f>
        <v>4102</v>
      </c>
      <c r="AB68" s="329">
        <f t="shared" ref="AB68:AB76" si="27">AA68/10</f>
        <v>410.2</v>
      </c>
    </row>
    <row r="69" spans="2:29" x14ac:dyDescent="0.25">
      <c r="B69" s="296"/>
      <c r="C69" s="297"/>
      <c r="D69" s="298"/>
      <c r="E69" s="297"/>
      <c r="F69" s="298" t="s">
        <v>450</v>
      </c>
      <c r="G69" s="325">
        <v>0</v>
      </c>
      <c r="H69" s="325">
        <v>0</v>
      </c>
      <c r="I69" s="325">
        <v>2178</v>
      </c>
      <c r="J69" s="325">
        <v>0</v>
      </c>
      <c r="K69" s="325">
        <v>66.666666666666671</v>
      </c>
      <c r="L69" s="325">
        <v>0</v>
      </c>
      <c r="M69" s="325">
        <v>0.33333333333333331</v>
      </c>
      <c r="N69" s="325">
        <v>2104.9166666666665</v>
      </c>
      <c r="O69" s="325">
        <v>1000</v>
      </c>
      <c r="P69" s="325">
        <v>0</v>
      </c>
      <c r="Q69" s="325">
        <v>0</v>
      </c>
      <c r="R69" s="325">
        <v>4158</v>
      </c>
      <c r="S69" s="325">
        <v>0</v>
      </c>
      <c r="T69" s="325">
        <v>0</v>
      </c>
      <c r="U69" s="325">
        <v>0</v>
      </c>
      <c r="V69" s="325">
        <v>0</v>
      </c>
      <c r="W69" s="325">
        <v>0</v>
      </c>
      <c r="X69" s="325">
        <v>50</v>
      </c>
      <c r="Y69" s="325"/>
      <c r="Z69" s="325"/>
      <c r="AA69" s="329">
        <f>SUM(O69:Z69)</f>
        <v>5208</v>
      </c>
      <c r="AB69" s="329">
        <f t="shared" si="27"/>
        <v>520.79999999999995</v>
      </c>
    </row>
    <row r="70" spans="2:29" x14ac:dyDescent="0.25">
      <c r="B70" s="296"/>
      <c r="C70" s="297"/>
      <c r="D70" s="298"/>
      <c r="E70" s="300"/>
      <c r="F70" s="298" t="s">
        <v>449</v>
      </c>
      <c r="G70" s="325">
        <v>1558</v>
      </c>
      <c r="H70" s="325">
        <v>783</v>
      </c>
      <c r="I70" s="325">
        <v>178</v>
      </c>
      <c r="J70" s="325">
        <v>10427</v>
      </c>
      <c r="K70" s="325">
        <v>7480.833333333333</v>
      </c>
      <c r="L70" s="325">
        <v>5471.583333333333</v>
      </c>
      <c r="M70" s="325">
        <v>9003.1666666666661</v>
      </c>
      <c r="N70" s="325">
        <v>4222.5</v>
      </c>
      <c r="O70" s="325">
        <v>0</v>
      </c>
      <c r="P70" s="325">
        <v>12534</v>
      </c>
      <c r="Q70" s="325">
        <v>0</v>
      </c>
      <c r="R70" s="325">
        <v>0</v>
      </c>
      <c r="S70" s="325">
        <v>0</v>
      </c>
      <c r="T70" s="325">
        <v>1350</v>
      </c>
      <c r="U70" s="325">
        <v>0</v>
      </c>
      <c r="V70" s="325">
        <v>820</v>
      </c>
      <c r="W70" s="325">
        <v>0</v>
      </c>
      <c r="X70" s="325">
        <v>330</v>
      </c>
      <c r="Y70" s="325"/>
      <c r="Z70" s="325"/>
      <c r="AA70" s="329">
        <f t="shared" si="26"/>
        <v>15034</v>
      </c>
      <c r="AB70" s="329">
        <f t="shared" si="27"/>
        <v>1503.4</v>
      </c>
    </row>
    <row r="71" spans="2:29" x14ac:dyDescent="0.25">
      <c r="B71" s="296"/>
      <c r="C71" s="297"/>
      <c r="D71" s="298"/>
      <c r="E71" s="297"/>
      <c r="F71" s="304" t="s">
        <v>544</v>
      </c>
      <c r="G71" s="325">
        <v>0</v>
      </c>
      <c r="H71" s="325">
        <v>0</v>
      </c>
      <c r="I71" s="325">
        <v>0</v>
      </c>
      <c r="J71" s="325">
        <v>0</v>
      </c>
      <c r="K71" s="325">
        <v>0</v>
      </c>
      <c r="L71" s="325">
        <v>0</v>
      </c>
      <c r="M71" s="325">
        <v>1427</v>
      </c>
      <c r="N71" s="325">
        <v>938.41666666666663</v>
      </c>
      <c r="O71" s="325">
        <v>0</v>
      </c>
      <c r="P71" s="325">
        <v>2500</v>
      </c>
      <c r="Q71" s="325">
        <v>0</v>
      </c>
      <c r="R71" s="325">
        <v>1000</v>
      </c>
      <c r="S71" s="325">
        <v>1405</v>
      </c>
      <c r="T71" s="325">
        <v>0</v>
      </c>
      <c r="U71" s="325">
        <v>0</v>
      </c>
      <c r="V71" s="325">
        <v>1080</v>
      </c>
      <c r="W71" s="325">
        <v>3080</v>
      </c>
      <c r="X71" s="325">
        <v>910</v>
      </c>
      <c r="Y71" s="325"/>
      <c r="Z71" s="325"/>
      <c r="AA71" s="329">
        <f t="shared" si="26"/>
        <v>9975</v>
      </c>
      <c r="AB71" s="329">
        <f t="shared" si="27"/>
        <v>997.5</v>
      </c>
    </row>
    <row r="72" spans="2:29" x14ac:dyDescent="0.25">
      <c r="B72" s="296"/>
      <c r="C72" s="297"/>
      <c r="D72" s="298"/>
      <c r="E72" s="391"/>
      <c r="F72" s="304" t="s">
        <v>583</v>
      </c>
      <c r="G72" s="325">
        <v>0</v>
      </c>
      <c r="H72" s="325">
        <v>0</v>
      </c>
      <c r="I72" s="325">
        <v>0</v>
      </c>
      <c r="J72" s="325">
        <v>0</v>
      </c>
      <c r="K72" s="325">
        <v>0</v>
      </c>
      <c r="L72" s="325">
        <v>0</v>
      </c>
      <c r="M72" s="325">
        <v>0</v>
      </c>
      <c r="N72" s="325">
        <v>0</v>
      </c>
      <c r="O72" s="325">
        <v>0</v>
      </c>
      <c r="P72" s="325">
        <v>6250</v>
      </c>
      <c r="Q72" s="325">
        <v>5713</v>
      </c>
      <c r="R72" s="325">
        <v>21638</v>
      </c>
      <c r="S72" s="325">
        <v>0</v>
      </c>
      <c r="T72" s="325">
        <v>0</v>
      </c>
      <c r="U72" s="325">
        <v>0</v>
      </c>
      <c r="V72" s="325">
        <v>0</v>
      </c>
      <c r="W72" s="325">
        <v>0</v>
      </c>
      <c r="X72" s="325">
        <v>550</v>
      </c>
      <c r="Y72" s="325"/>
      <c r="Z72" s="325"/>
      <c r="AA72" s="329">
        <f t="shared" si="26"/>
        <v>34151</v>
      </c>
      <c r="AB72" s="329">
        <f t="shared" si="27"/>
        <v>3415.1</v>
      </c>
    </row>
    <row r="73" spans="2:29" x14ac:dyDescent="0.25">
      <c r="B73" s="296"/>
      <c r="C73" s="297"/>
      <c r="D73" s="298"/>
      <c r="E73" s="391"/>
      <c r="F73" s="304" t="s">
        <v>480</v>
      </c>
      <c r="G73" s="325">
        <v>0</v>
      </c>
      <c r="H73" s="325">
        <v>0</v>
      </c>
      <c r="I73" s="325">
        <v>0</v>
      </c>
      <c r="J73" s="325">
        <v>0</v>
      </c>
      <c r="K73" s="325">
        <v>0</v>
      </c>
      <c r="L73" s="325">
        <v>0</v>
      </c>
      <c r="M73" s="325">
        <v>0</v>
      </c>
      <c r="N73" s="325">
        <v>0</v>
      </c>
      <c r="O73" s="325">
        <v>9500</v>
      </c>
      <c r="P73" s="325">
        <v>3350</v>
      </c>
      <c r="Q73" s="325">
        <v>1500</v>
      </c>
      <c r="R73" s="325">
        <v>1800</v>
      </c>
      <c r="S73" s="325">
        <v>0</v>
      </c>
      <c r="T73" s="325">
        <v>0</v>
      </c>
      <c r="U73" s="325">
        <v>0</v>
      </c>
      <c r="V73" s="325">
        <v>4800</v>
      </c>
      <c r="W73" s="325">
        <v>3100</v>
      </c>
      <c r="X73" s="325">
        <v>0</v>
      </c>
      <c r="Y73" s="325"/>
      <c r="Z73" s="325"/>
      <c r="AA73" s="329">
        <f t="shared" si="26"/>
        <v>24050</v>
      </c>
      <c r="AB73" s="329">
        <f t="shared" si="27"/>
        <v>2405</v>
      </c>
    </row>
    <row r="74" spans="2:29" x14ac:dyDescent="0.25">
      <c r="B74" s="296"/>
      <c r="C74" s="297"/>
      <c r="D74" s="298"/>
      <c r="E74" s="391"/>
      <c r="F74" s="304" t="s">
        <v>584</v>
      </c>
      <c r="G74" s="325">
        <v>0</v>
      </c>
      <c r="H74" s="325">
        <v>0</v>
      </c>
      <c r="I74" s="325">
        <v>0</v>
      </c>
      <c r="J74" s="325">
        <v>0</v>
      </c>
      <c r="K74" s="325">
        <v>0</v>
      </c>
      <c r="L74" s="325">
        <v>0</v>
      </c>
      <c r="M74" s="325">
        <v>0</v>
      </c>
      <c r="N74" s="325">
        <v>0</v>
      </c>
      <c r="O74" s="325">
        <v>0</v>
      </c>
      <c r="P74" s="325">
        <v>10437</v>
      </c>
      <c r="Q74" s="325">
        <v>6221</v>
      </c>
      <c r="R74" s="325">
        <v>11040</v>
      </c>
      <c r="S74" s="325">
        <v>5184</v>
      </c>
      <c r="T74" s="325">
        <v>0</v>
      </c>
      <c r="U74" s="325">
        <v>0</v>
      </c>
      <c r="V74" s="325">
        <v>0</v>
      </c>
      <c r="W74" s="325">
        <v>0</v>
      </c>
      <c r="X74" s="325">
        <v>0</v>
      </c>
      <c r="Y74" s="325"/>
      <c r="Z74" s="325"/>
      <c r="AA74" s="329">
        <f t="shared" si="26"/>
        <v>32882</v>
      </c>
      <c r="AB74" s="329">
        <f t="shared" si="27"/>
        <v>3288.2</v>
      </c>
    </row>
    <row r="75" spans="2:29" x14ac:dyDescent="0.25">
      <c r="B75" s="296"/>
      <c r="C75" s="297"/>
      <c r="D75" s="298"/>
      <c r="E75" s="391"/>
      <c r="F75" s="304" t="s">
        <v>585</v>
      </c>
      <c r="G75" s="325">
        <v>0</v>
      </c>
      <c r="H75" s="325">
        <v>0</v>
      </c>
      <c r="I75" s="325">
        <v>0</v>
      </c>
      <c r="J75" s="325">
        <v>0</v>
      </c>
      <c r="K75" s="325">
        <v>0</v>
      </c>
      <c r="L75" s="325">
        <v>0</v>
      </c>
      <c r="M75" s="325">
        <v>0</v>
      </c>
      <c r="N75" s="325">
        <v>0</v>
      </c>
      <c r="O75" s="325">
        <v>2600</v>
      </c>
      <c r="P75" s="325">
        <v>0</v>
      </c>
      <c r="Q75" s="325">
        <v>1800</v>
      </c>
      <c r="R75" s="325">
        <v>0</v>
      </c>
      <c r="S75" s="325">
        <v>0</v>
      </c>
      <c r="T75" s="325">
        <v>0</v>
      </c>
      <c r="U75" s="325">
        <v>0</v>
      </c>
      <c r="V75" s="325">
        <v>5100</v>
      </c>
      <c r="W75" s="325">
        <v>2980</v>
      </c>
      <c r="X75" s="325">
        <v>0</v>
      </c>
      <c r="Y75" s="325"/>
      <c r="Z75" s="325"/>
      <c r="AA75" s="329">
        <f t="shared" si="26"/>
        <v>12480</v>
      </c>
      <c r="AB75" s="329">
        <f t="shared" si="27"/>
        <v>1248</v>
      </c>
    </row>
    <row r="76" spans="2:29" ht="15.75" thickBot="1" x14ac:dyDescent="0.3">
      <c r="B76" s="296"/>
      <c r="C76" s="297"/>
      <c r="D76" s="298"/>
      <c r="F76" s="307" t="s">
        <v>452</v>
      </c>
      <c r="G76" s="325">
        <v>28</v>
      </c>
      <c r="H76" s="325">
        <v>0</v>
      </c>
      <c r="I76" s="325">
        <v>1</v>
      </c>
      <c r="J76" s="325">
        <v>40</v>
      </c>
      <c r="K76" s="325">
        <v>68.666666666666671</v>
      </c>
      <c r="L76" s="325">
        <v>254.16666666666666</v>
      </c>
      <c r="M76" s="325">
        <v>76.666666666666671</v>
      </c>
      <c r="N76" s="325">
        <v>17.666666666666668</v>
      </c>
      <c r="O76" s="325">
        <v>2</v>
      </c>
      <c r="P76" s="325">
        <v>0</v>
      </c>
      <c r="Q76" s="325">
        <v>2</v>
      </c>
      <c r="R76" s="325">
        <v>0</v>
      </c>
      <c r="S76" s="325">
        <v>0</v>
      </c>
      <c r="T76" s="325">
        <v>2</v>
      </c>
      <c r="U76" s="325">
        <v>0</v>
      </c>
      <c r="V76" s="325">
        <v>0</v>
      </c>
      <c r="W76" s="325">
        <v>31</v>
      </c>
      <c r="X76" s="325">
        <v>3</v>
      </c>
      <c r="Y76" s="325"/>
      <c r="Z76" s="325"/>
      <c r="AA76" s="329">
        <f t="shared" ref="AA76" si="28">SUM(O76:Z76)</f>
        <v>40</v>
      </c>
      <c r="AB76" s="329">
        <f t="shared" si="27"/>
        <v>4</v>
      </c>
    </row>
    <row r="77" spans="2:29" ht="15.75" thickBot="1" x14ac:dyDescent="0.3">
      <c r="B77" s="389"/>
      <c r="C77" s="333"/>
      <c r="D77" s="334"/>
      <c r="E77" s="333"/>
      <c r="F77" s="334"/>
      <c r="G77" s="335">
        <f t="shared" ref="G77:AA77" si="29">SUM(G68:G76)</f>
        <v>5586</v>
      </c>
      <c r="H77" s="335">
        <f t="shared" si="29"/>
        <v>3609</v>
      </c>
      <c r="I77" s="335">
        <f t="shared" si="29"/>
        <v>3660</v>
      </c>
      <c r="J77" s="335">
        <f t="shared" si="29"/>
        <v>11332</v>
      </c>
      <c r="K77" s="335">
        <f t="shared" si="29"/>
        <v>7620.75</v>
      </c>
      <c r="L77" s="335">
        <f t="shared" si="29"/>
        <v>6363.25</v>
      </c>
      <c r="M77" s="335">
        <f t="shared" si="29"/>
        <v>11857.416666666666</v>
      </c>
      <c r="N77" s="335">
        <f t="shared" si="29"/>
        <v>8522.6666666666661</v>
      </c>
      <c r="O77" s="335">
        <f t="shared" si="29"/>
        <v>13122</v>
      </c>
      <c r="P77" s="335">
        <f t="shared" si="29"/>
        <v>35071</v>
      </c>
      <c r="Q77" s="335">
        <f t="shared" si="29"/>
        <v>16886</v>
      </c>
      <c r="R77" s="335">
        <f t="shared" si="29"/>
        <v>39636</v>
      </c>
      <c r="S77" s="335">
        <f t="shared" si="29"/>
        <v>6589</v>
      </c>
      <c r="T77" s="335">
        <f t="shared" si="29"/>
        <v>1352</v>
      </c>
      <c r="U77" s="335">
        <f t="shared" si="29"/>
        <v>825</v>
      </c>
      <c r="V77" s="335">
        <f t="shared" si="29"/>
        <v>12700</v>
      </c>
      <c r="W77" s="335">
        <f t="shared" si="29"/>
        <v>9341</v>
      </c>
      <c r="X77" s="335">
        <f t="shared" si="29"/>
        <v>2400</v>
      </c>
      <c r="Y77" s="335">
        <f t="shared" si="29"/>
        <v>0</v>
      </c>
      <c r="Z77" s="346">
        <f t="shared" si="29"/>
        <v>0</v>
      </c>
      <c r="AA77" s="368">
        <f t="shared" si="29"/>
        <v>137922</v>
      </c>
      <c r="AB77" s="349">
        <f>SUM(AB68:AB76)</f>
        <v>13792.2</v>
      </c>
      <c r="AC77" s="12"/>
    </row>
    <row r="78" spans="2:29" x14ac:dyDescent="0.25">
      <c r="B78" s="296"/>
      <c r="C78" s="297"/>
      <c r="D78" s="298"/>
      <c r="E78" s="297"/>
      <c r="F78" s="298"/>
      <c r="G78" s="318"/>
      <c r="H78" s="318"/>
      <c r="I78" s="318"/>
      <c r="J78" s="318"/>
      <c r="K78" s="318"/>
      <c r="L78" s="318"/>
      <c r="M78" s="318"/>
      <c r="N78" s="318"/>
      <c r="O78" s="318"/>
      <c r="P78" s="318"/>
      <c r="Q78" s="318"/>
      <c r="R78" s="318"/>
      <c r="S78" s="318"/>
      <c r="T78" s="318"/>
      <c r="U78" s="318"/>
      <c r="V78" s="318"/>
      <c r="W78" s="318"/>
      <c r="X78" s="318"/>
      <c r="Y78" s="318"/>
      <c r="Z78" s="318"/>
      <c r="AA78" s="329"/>
      <c r="AB78" s="329"/>
    </row>
    <row r="79" spans="2:29" x14ac:dyDescent="0.25">
      <c r="B79" s="296">
        <v>8</v>
      </c>
      <c r="C79" s="297"/>
      <c r="D79" s="298"/>
      <c r="E79" s="309" t="s">
        <v>561</v>
      </c>
      <c r="F79" s="301"/>
      <c r="G79" s="318"/>
      <c r="H79" s="318"/>
      <c r="I79" s="318"/>
      <c r="J79" s="318"/>
      <c r="K79" s="318"/>
      <c r="L79" s="318"/>
      <c r="M79" s="318"/>
      <c r="N79" s="318"/>
      <c r="O79" s="318"/>
      <c r="P79" s="318"/>
      <c r="Q79" s="318"/>
      <c r="R79" s="318"/>
      <c r="S79" s="318"/>
      <c r="T79" s="318"/>
      <c r="U79" s="318"/>
      <c r="V79" s="318"/>
      <c r="W79" s="318"/>
      <c r="X79" s="318"/>
      <c r="Y79" s="318"/>
      <c r="Z79" s="318"/>
      <c r="AA79" s="329"/>
      <c r="AB79" s="329"/>
    </row>
    <row r="80" spans="2:29" x14ac:dyDescent="0.25">
      <c r="B80" s="296"/>
      <c r="C80" s="297"/>
      <c r="D80" s="298"/>
      <c r="E80" s="297"/>
      <c r="F80" s="298" t="s">
        <v>532</v>
      </c>
      <c r="G80" s="325">
        <v>0</v>
      </c>
      <c r="H80" s="325">
        <v>0</v>
      </c>
      <c r="I80" s="325">
        <v>0</v>
      </c>
      <c r="J80" s="325">
        <v>0</v>
      </c>
      <c r="K80" s="325">
        <v>0</v>
      </c>
      <c r="L80" s="325">
        <v>435</v>
      </c>
      <c r="M80" s="325">
        <v>290</v>
      </c>
      <c r="N80" s="325">
        <v>262.5</v>
      </c>
      <c r="O80" s="325">
        <v>0</v>
      </c>
      <c r="P80" s="325">
        <v>0</v>
      </c>
      <c r="Q80" s="325">
        <v>0</v>
      </c>
      <c r="R80" s="325">
        <v>0</v>
      </c>
      <c r="S80" s="325">
        <v>0</v>
      </c>
      <c r="T80" s="325">
        <v>2200</v>
      </c>
      <c r="U80" s="325">
        <v>0</v>
      </c>
      <c r="V80" s="325">
        <v>0</v>
      </c>
      <c r="W80" s="325">
        <v>0</v>
      </c>
      <c r="X80" s="325">
        <v>0</v>
      </c>
      <c r="Y80" s="325"/>
      <c r="Z80" s="325"/>
      <c r="AA80" s="329">
        <f t="shared" si="26"/>
        <v>2200</v>
      </c>
      <c r="AB80" s="329">
        <f t="shared" ref="AB80:AB91" si="30">AA80/10</f>
        <v>220</v>
      </c>
    </row>
    <row r="81" spans="2:29" x14ac:dyDescent="0.25">
      <c r="B81" s="296"/>
      <c r="C81" s="297"/>
      <c r="D81" s="298"/>
      <c r="E81" s="297"/>
      <c r="F81" s="298" t="s">
        <v>533</v>
      </c>
      <c r="G81" s="325">
        <v>0</v>
      </c>
      <c r="H81" s="325">
        <v>0</v>
      </c>
      <c r="I81" s="325">
        <v>0</v>
      </c>
      <c r="J81" s="325">
        <v>0</v>
      </c>
      <c r="K81" s="325">
        <v>377</v>
      </c>
      <c r="L81" s="325">
        <v>3785</v>
      </c>
      <c r="M81" s="325">
        <v>3329.3333333333335</v>
      </c>
      <c r="N81" s="325">
        <v>4070.8333333333335</v>
      </c>
      <c r="O81" s="325">
        <v>0</v>
      </c>
      <c r="P81" s="325">
        <v>0</v>
      </c>
      <c r="Q81" s="325">
        <v>0</v>
      </c>
      <c r="R81" s="325">
        <v>0</v>
      </c>
      <c r="S81" s="325">
        <v>0</v>
      </c>
      <c r="T81" s="325">
        <v>0</v>
      </c>
      <c r="U81" s="325">
        <v>0</v>
      </c>
      <c r="V81" s="325">
        <v>4600</v>
      </c>
      <c r="W81" s="325">
        <v>0</v>
      </c>
      <c r="X81" s="325">
        <v>0</v>
      </c>
      <c r="Y81" s="325"/>
      <c r="Z81" s="325"/>
      <c r="AA81" s="329">
        <f t="shared" si="26"/>
        <v>4600</v>
      </c>
      <c r="AB81" s="329">
        <f t="shared" si="30"/>
        <v>460</v>
      </c>
    </row>
    <row r="82" spans="2:29" x14ac:dyDescent="0.25">
      <c r="B82" s="296"/>
      <c r="C82" s="297"/>
      <c r="D82" s="298"/>
      <c r="E82" s="297"/>
      <c r="F82" s="298" t="s">
        <v>534</v>
      </c>
      <c r="G82" s="325">
        <v>0</v>
      </c>
      <c r="H82" s="325">
        <v>0</v>
      </c>
      <c r="I82" s="325">
        <v>0</v>
      </c>
      <c r="J82" s="325">
        <v>0</v>
      </c>
      <c r="K82" s="325">
        <v>0</v>
      </c>
      <c r="L82" s="325"/>
      <c r="M82" s="325">
        <v>2083.3333333333335</v>
      </c>
      <c r="N82" s="325">
        <v>5175</v>
      </c>
      <c r="O82" s="325">
        <v>0</v>
      </c>
      <c r="P82" s="325">
        <v>0</v>
      </c>
      <c r="Q82" s="325">
        <v>0</v>
      </c>
      <c r="R82" s="325">
        <v>9000</v>
      </c>
      <c r="S82" s="325">
        <v>0</v>
      </c>
      <c r="T82" s="325">
        <v>0</v>
      </c>
      <c r="U82" s="325">
        <v>0</v>
      </c>
      <c r="V82" s="325">
        <v>0</v>
      </c>
      <c r="W82" s="325">
        <v>0</v>
      </c>
      <c r="X82" s="325">
        <v>0</v>
      </c>
      <c r="Y82" s="325"/>
      <c r="Z82" s="325"/>
      <c r="AA82" s="329">
        <f t="shared" si="26"/>
        <v>9000</v>
      </c>
      <c r="AB82" s="329">
        <f t="shared" si="30"/>
        <v>900</v>
      </c>
    </row>
    <row r="83" spans="2:29" x14ac:dyDescent="0.25">
      <c r="B83" s="296"/>
      <c r="C83" s="297"/>
      <c r="D83" s="298"/>
      <c r="E83" s="297"/>
      <c r="F83" s="298" t="s">
        <v>558</v>
      </c>
      <c r="G83" s="325">
        <v>0</v>
      </c>
      <c r="H83" s="325">
        <v>0</v>
      </c>
      <c r="I83" s="325">
        <v>0</v>
      </c>
      <c r="J83" s="325">
        <v>0</v>
      </c>
      <c r="K83" s="325">
        <v>575</v>
      </c>
      <c r="L83" s="325">
        <v>1798</v>
      </c>
      <c r="M83" s="325">
        <v>5100</v>
      </c>
      <c r="N83" s="325">
        <v>7637.75</v>
      </c>
      <c r="O83" s="325">
        <v>0</v>
      </c>
      <c r="P83" s="325">
        <v>0</v>
      </c>
      <c r="Q83" s="325">
        <v>15800</v>
      </c>
      <c r="R83" s="325">
        <v>0</v>
      </c>
      <c r="S83" s="325">
        <v>0</v>
      </c>
      <c r="T83" s="325">
        <v>0</v>
      </c>
      <c r="U83" s="325">
        <v>0</v>
      </c>
      <c r="V83" s="325">
        <v>8500</v>
      </c>
      <c r="W83" s="325">
        <v>7000</v>
      </c>
      <c r="X83" s="325">
        <v>10200</v>
      </c>
      <c r="Y83" s="325"/>
      <c r="Z83" s="325"/>
      <c r="AA83" s="329">
        <f t="shared" si="26"/>
        <v>41500</v>
      </c>
      <c r="AB83" s="329">
        <f t="shared" si="30"/>
        <v>4150</v>
      </c>
    </row>
    <row r="84" spans="2:29" x14ac:dyDescent="0.25">
      <c r="B84" s="296"/>
      <c r="C84" s="297"/>
      <c r="D84" s="298"/>
      <c r="E84" s="297"/>
      <c r="F84" s="298" t="s">
        <v>559</v>
      </c>
      <c r="G84" s="325">
        <v>0</v>
      </c>
      <c r="H84" s="325">
        <v>0</v>
      </c>
      <c r="I84" s="325">
        <v>0</v>
      </c>
      <c r="J84" s="325">
        <v>0</v>
      </c>
      <c r="K84" s="325">
        <v>0</v>
      </c>
      <c r="L84" s="325"/>
      <c r="M84" s="325">
        <v>0</v>
      </c>
      <c r="N84" s="325">
        <v>1495.8333333333333</v>
      </c>
      <c r="O84" s="325">
        <v>0</v>
      </c>
      <c r="P84" s="325">
        <v>9900</v>
      </c>
      <c r="Q84" s="325">
        <v>2400</v>
      </c>
      <c r="R84" s="325">
        <v>0</v>
      </c>
      <c r="S84" s="325">
        <v>0</v>
      </c>
      <c r="T84" s="325">
        <v>0</v>
      </c>
      <c r="U84" s="325">
        <v>0</v>
      </c>
      <c r="V84" s="325">
        <v>1350</v>
      </c>
      <c r="W84" s="325">
        <v>6800</v>
      </c>
      <c r="X84" s="325">
        <v>0</v>
      </c>
      <c r="Y84" s="325"/>
      <c r="Z84" s="325"/>
      <c r="AA84" s="329">
        <f t="shared" si="26"/>
        <v>20450</v>
      </c>
      <c r="AB84" s="329">
        <f t="shared" si="30"/>
        <v>2045</v>
      </c>
    </row>
    <row r="85" spans="2:29" x14ac:dyDescent="0.25">
      <c r="B85" s="296"/>
      <c r="C85" s="297"/>
      <c r="D85" s="298"/>
      <c r="E85" s="297"/>
      <c r="F85" s="298" t="s">
        <v>535</v>
      </c>
      <c r="G85" s="325">
        <v>0</v>
      </c>
      <c r="H85" s="325">
        <v>0</v>
      </c>
      <c r="I85" s="325">
        <v>0</v>
      </c>
      <c r="J85" s="325">
        <v>1621</v>
      </c>
      <c r="K85" s="325">
        <v>2106.6666666666665</v>
      </c>
      <c r="L85" s="325">
        <v>1609.75</v>
      </c>
      <c r="M85" s="325">
        <v>1757.5</v>
      </c>
      <c r="N85" s="325">
        <v>3138.3333333333335</v>
      </c>
      <c r="O85" s="325">
        <v>0</v>
      </c>
      <c r="P85" s="325">
        <v>1185</v>
      </c>
      <c r="Q85" s="325">
        <v>0</v>
      </c>
      <c r="R85" s="325">
        <v>11830</v>
      </c>
      <c r="S85" s="325">
        <v>0</v>
      </c>
      <c r="T85" s="325">
        <v>0</v>
      </c>
      <c r="U85" s="325">
        <v>0</v>
      </c>
      <c r="V85" s="325">
        <v>0</v>
      </c>
      <c r="W85" s="325">
        <v>0</v>
      </c>
      <c r="X85" s="325">
        <v>0</v>
      </c>
      <c r="Y85" s="325"/>
      <c r="Z85" s="325"/>
      <c r="AA85" s="329">
        <f t="shared" si="26"/>
        <v>13015</v>
      </c>
      <c r="AB85" s="329">
        <f t="shared" si="30"/>
        <v>1301.5</v>
      </c>
    </row>
    <row r="86" spans="2:29" x14ac:dyDescent="0.25">
      <c r="B86" s="296"/>
      <c r="C86" s="297"/>
      <c r="D86" s="298"/>
      <c r="E86" s="297"/>
      <c r="F86" s="298" t="s">
        <v>536</v>
      </c>
      <c r="G86" s="325">
        <v>0</v>
      </c>
      <c r="H86" s="325">
        <v>0</v>
      </c>
      <c r="I86" s="325">
        <v>0</v>
      </c>
      <c r="J86" s="325">
        <v>0</v>
      </c>
      <c r="K86" s="325">
        <v>132</v>
      </c>
      <c r="L86" s="325">
        <v>234</v>
      </c>
      <c r="M86" s="325">
        <v>354</v>
      </c>
      <c r="N86" s="325">
        <v>164.58333333333334</v>
      </c>
      <c r="O86" s="325">
        <v>0</v>
      </c>
      <c r="P86" s="325">
        <v>0</v>
      </c>
      <c r="Q86" s="325">
        <v>0</v>
      </c>
      <c r="R86" s="325">
        <v>0</v>
      </c>
      <c r="S86" s="325">
        <v>0</v>
      </c>
      <c r="T86" s="325">
        <v>0</v>
      </c>
      <c r="U86" s="325">
        <v>0</v>
      </c>
      <c r="V86" s="325">
        <v>0</v>
      </c>
      <c r="W86" s="325">
        <v>0</v>
      </c>
      <c r="X86" s="325">
        <v>0</v>
      </c>
      <c r="Y86" s="325"/>
      <c r="Z86" s="325"/>
      <c r="AA86" s="329">
        <f t="shared" si="26"/>
        <v>0</v>
      </c>
      <c r="AB86" s="329">
        <f t="shared" si="30"/>
        <v>0</v>
      </c>
    </row>
    <row r="87" spans="2:29" x14ac:dyDescent="0.25">
      <c r="B87" s="296"/>
      <c r="C87" s="297"/>
      <c r="D87" s="298"/>
      <c r="E87" s="297"/>
      <c r="F87" s="298" t="s">
        <v>537</v>
      </c>
      <c r="G87" s="325">
        <v>0</v>
      </c>
      <c r="H87" s="325">
        <v>0</v>
      </c>
      <c r="I87" s="325">
        <v>0</v>
      </c>
      <c r="J87" s="325">
        <v>0</v>
      </c>
      <c r="K87" s="325">
        <v>0</v>
      </c>
      <c r="L87" s="325">
        <v>1367.3333333333333</v>
      </c>
      <c r="M87" s="325">
        <v>2245.5</v>
      </c>
      <c r="N87" s="325">
        <v>2699.3333333333335</v>
      </c>
      <c r="O87" s="325">
        <v>0</v>
      </c>
      <c r="P87" s="325">
        <v>0</v>
      </c>
      <c r="Q87" s="325">
        <v>0</v>
      </c>
      <c r="R87" s="325">
        <v>0</v>
      </c>
      <c r="S87" s="325">
        <v>0</v>
      </c>
      <c r="T87" s="325">
        <v>0</v>
      </c>
      <c r="U87" s="325">
        <v>15050</v>
      </c>
      <c r="V87" s="325">
        <v>0</v>
      </c>
      <c r="W87" s="325">
        <v>0</v>
      </c>
      <c r="X87" s="325">
        <v>0</v>
      </c>
      <c r="Y87" s="325"/>
      <c r="Z87" s="325"/>
      <c r="AA87" s="329">
        <f t="shared" si="26"/>
        <v>15050</v>
      </c>
      <c r="AB87" s="329">
        <f t="shared" si="30"/>
        <v>1505</v>
      </c>
    </row>
    <row r="88" spans="2:29" x14ac:dyDescent="0.25">
      <c r="B88" s="296"/>
      <c r="C88" s="297"/>
      <c r="D88" s="298"/>
      <c r="E88" s="297"/>
      <c r="F88" s="298" t="s">
        <v>580</v>
      </c>
      <c r="G88" s="325">
        <v>0</v>
      </c>
      <c r="H88" s="325">
        <v>0</v>
      </c>
      <c r="I88" s="325">
        <v>0</v>
      </c>
      <c r="J88" s="325">
        <v>0</v>
      </c>
      <c r="K88" s="325">
        <v>0</v>
      </c>
      <c r="L88" s="325">
        <v>0</v>
      </c>
      <c r="M88" s="325">
        <v>0</v>
      </c>
      <c r="N88" s="325">
        <v>0</v>
      </c>
      <c r="O88" s="325">
        <v>0</v>
      </c>
      <c r="P88" s="325">
        <v>0</v>
      </c>
      <c r="Q88" s="325">
        <v>0</v>
      </c>
      <c r="R88" s="325">
        <v>0</v>
      </c>
      <c r="S88" s="325">
        <v>0</v>
      </c>
      <c r="T88" s="325">
        <v>0</v>
      </c>
      <c r="U88" s="325">
        <v>0</v>
      </c>
      <c r="V88" s="325">
        <v>0</v>
      </c>
      <c r="W88" s="325">
        <v>0</v>
      </c>
      <c r="X88" s="325">
        <v>0</v>
      </c>
      <c r="Y88" s="325"/>
      <c r="Z88" s="325"/>
      <c r="AA88" s="329">
        <f t="shared" si="26"/>
        <v>0</v>
      </c>
      <c r="AB88" s="329">
        <f t="shared" si="30"/>
        <v>0</v>
      </c>
    </row>
    <row r="89" spans="2:29" x14ac:dyDescent="0.25">
      <c r="B89" s="296"/>
      <c r="C89" s="297"/>
      <c r="D89" s="298"/>
      <c r="E89" s="297"/>
      <c r="F89" s="298" t="s">
        <v>581</v>
      </c>
      <c r="G89" s="325">
        <v>0</v>
      </c>
      <c r="H89" s="325">
        <v>0</v>
      </c>
      <c r="I89" s="325">
        <v>0</v>
      </c>
      <c r="J89" s="325">
        <v>0</v>
      </c>
      <c r="K89" s="325">
        <v>0</v>
      </c>
      <c r="L89" s="325">
        <v>0</v>
      </c>
      <c r="M89" s="325">
        <v>0</v>
      </c>
      <c r="N89" s="325">
        <v>0</v>
      </c>
      <c r="O89" s="325">
        <v>0</v>
      </c>
      <c r="P89" s="325">
        <v>0</v>
      </c>
      <c r="Q89" s="325">
        <v>0</v>
      </c>
      <c r="R89" s="325">
        <v>0</v>
      </c>
      <c r="S89" s="325">
        <v>0</v>
      </c>
      <c r="T89" s="325">
        <v>0</v>
      </c>
      <c r="U89" s="325">
        <v>0</v>
      </c>
      <c r="V89" s="325">
        <v>0</v>
      </c>
      <c r="W89" s="325">
        <v>0</v>
      </c>
      <c r="X89" s="325">
        <v>0</v>
      </c>
      <c r="Y89" s="325"/>
      <c r="Z89" s="325"/>
      <c r="AA89" s="329">
        <f t="shared" si="26"/>
        <v>0</v>
      </c>
      <c r="AB89" s="329">
        <f t="shared" si="30"/>
        <v>0</v>
      </c>
    </row>
    <row r="90" spans="2:29" x14ac:dyDescent="0.25">
      <c r="B90" s="296"/>
      <c r="C90" s="297"/>
      <c r="D90" s="298"/>
      <c r="E90" s="297"/>
      <c r="F90" s="298" t="s">
        <v>582</v>
      </c>
      <c r="G90" s="325">
        <v>0</v>
      </c>
      <c r="H90" s="325">
        <v>0</v>
      </c>
      <c r="I90" s="325">
        <v>0</v>
      </c>
      <c r="J90" s="325">
        <v>0</v>
      </c>
      <c r="K90" s="325">
        <v>0</v>
      </c>
      <c r="L90" s="325">
        <v>0</v>
      </c>
      <c r="M90" s="325">
        <v>0</v>
      </c>
      <c r="N90" s="325">
        <v>451.75</v>
      </c>
      <c r="O90" s="325">
        <v>0</v>
      </c>
      <c r="P90" s="325">
        <v>0</v>
      </c>
      <c r="Q90" s="325">
        <v>0</v>
      </c>
      <c r="R90" s="325">
        <v>0</v>
      </c>
      <c r="S90" s="325">
        <v>0</v>
      </c>
      <c r="T90" s="325">
        <v>0</v>
      </c>
      <c r="U90" s="325">
        <v>0</v>
      </c>
      <c r="V90" s="325">
        <v>0</v>
      </c>
      <c r="W90" s="325">
        <v>0</v>
      </c>
      <c r="X90" s="325">
        <v>0</v>
      </c>
      <c r="Y90" s="325"/>
      <c r="Z90" s="325"/>
      <c r="AA90" s="329">
        <f t="shared" si="26"/>
        <v>0</v>
      </c>
      <c r="AB90" s="329">
        <f t="shared" si="30"/>
        <v>0</v>
      </c>
    </row>
    <row r="91" spans="2:29" ht="15.75" thickBot="1" x14ac:dyDescent="0.3">
      <c r="B91" s="299"/>
      <c r="C91" s="300"/>
      <c r="D91" s="301"/>
      <c r="E91" s="300"/>
      <c r="F91" s="371" t="s">
        <v>541</v>
      </c>
      <c r="G91" s="325">
        <v>0</v>
      </c>
      <c r="H91" s="325">
        <v>0</v>
      </c>
      <c r="I91" s="325">
        <v>0</v>
      </c>
      <c r="J91" s="320">
        <v>0</v>
      </c>
      <c r="K91" s="320">
        <v>0</v>
      </c>
      <c r="L91" s="325">
        <v>0</v>
      </c>
      <c r="M91" s="325">
        <v>0</v>
      </c>
      <c r="N91" s="325">
        <v>0</v>
      </c>
      <c r="O91" s="325">
        <v>0</v>
      </c>
      <c r="P91" s="325">
        <v>0</v>
      </c>
      <c r="Q91" s="325">
        <v>0</v>
      </c>
      <c r="R91" s="325">
        <v>0</v>
      </c>
      <c r="S91" s="325">
        <v>0</v>
      </c>
      <c r="T91" s="325">
        <v>0</v>
      </c>
      <c r="U91" s="325">
        <v>0</v>
      </c>
      <c r="V91" s="325">
        <v>0</v>
      </c>
      <c r="W91" s="325">
        <v>0</v>
      </c>
      <c r="X91" s="325">
        <v>0</v>
      </c>
      <c r="Y91" s="325"/>
      <c r="Z91" s="325"/>
      <c r="AA91" s="329">
        <f t="shared" si="26"/>
        <v>0</v>
      </c>
      <c r="AB91" s="329">
        <f t="shared" si="30"/>
        <v>0</v>
      </c>
    </row>
    <row r="92" spans="2:29" ht="15.75" thickBot="1" x14ac:dyDescent="0.3">
      <c r="B92" s="389"/>
      <c r="C92" s="333"/>
      <c r="D92" s="334"/>
      <c r="E92" s="333"/>
      <c r="F92" s="334"/>
      <c r="G92" s="335">
        <f t="shared" ref="G92:AB92" si="31">SUM(G80:G91)</f>
        <v>0</v>
      </c>
      <c r="H92" s="335">
        <f t="shared" si="31"/>
        <v>0</v>
      </c>
      <c r="I92" s="335">
        <f t="shared" si="31"/>
        <v>0</v>
      </c>
      <c r="J92" s="335">
        <f t="shared" si="31"/>
        <v>1621</v>
      </c>
      <c r="K92" s="335">
        <f t="shared" si="31"/>
        <v>3190.6666666666665</v>
      </c>
      <c r="L92" s="335">
        <f t="shared" si="31"/>
        <v>9229.0833333333339</v>
      </c>
      <c r="M92" s="335">
        <f t="shared" si="31"/>
        <v>15159.666666666668</v>
      </c>
      <c r="N92" s="335">
        <f t="shared" ref="N92" si="32">SUM(N80:N91)</f>
        <v>25095.916666666664</v>
      </c>
      <c r="O92" s="335">
        <f t="shared" si="31"/>
        <v>0</v>
      </c>
      <c r="P92" s="335">
        <f t="shared" si="31"/>
        <v>11085</v>
      </c>
      <c r="Q92" s="335">
        <f t="shared" si="31"/>
        <v>18200</v>
      </c>
      <c r="R92" s="335">
        <f t="shared" si="31"/>
        <v>20830</v>
      </c>
      <c r="S92" s="335">
        <f t="shared" si="31"/>
        <v>0</v>
      </c>
      <c r="T92" s="335">
        <f t="shared" si="31"/>
        <v>2200</v>
      </c>
      <c r="U92" s="335">
        <f t="shared" si="31"/>
        <v>15050</v>
      </c>
      <c r="V92" s="335">
        <f t="shared" si="31"/>
        <v>14450</v>
      </c>
      <c r="W92" s="335">
        <f t="shared" si="31"/>
        <v>13800</v>
      </c>
      <c r="X92" s="335">
        <f t="shared" si="31"/>
        <v>10200</v>
      </c>
      <c r="Y92" s="335">
        <f t="shared" si="31"/>
        <v>0</v>
      </c>
      <c r="Z92" s="346">
        <f t="shared" si="31"/>
        <v>0</v>
      </c>
      <c r="AA92" s="368">
        <f t="shared" si="31"/>
        <v>105815</v>
      </c>
      <c r="AB92" s="349">
        <f t="shared" si="31"/>
        <v>10581.5</v>
      </c>
      <c r="AC92" s="12"/>
    </row>
    <row r="93" spans="2:29" x14ac:dyDescent="0.25">
      <c r="B93" s="296"/>
      <c r="C93" s="297"/>
      <c r="D93" s="298"/>
      <c r="E93" s="297"/>
      <c r="F93" s="298"/>
      <c r="G93" s="318"/>
      <c r="H93" s="318"/>
      <c r="I93" s="318"/>
      <c r="J93" s="318"/>
      <c r="K93" s="318"/>
      <c r="L93" s="318"/>
      <c r="M93" s="318"/>
      <c r="N93" s="318"/>
      <c r="O93" s="318"/>
      <c r="P93" s="318"/>
      <c r="Q93" s="318"/>
      <c r="R93" s="318"/>
      <c r="S93" s="318"/>
      <c r="T93" s="318"/>
      <c r="U93" s="318"/>
      <c r="V93" s="318"/>
      <c r="W93" s="318"/>
      <c r="X93" s="318"/>
      <c r="Y93" s="318"/>
      <c r="Z93" s="318"/>
      <c r="AA93" s="329"/>
      <c r="AB93" s="329"/>
    </row>
    <row r="94" spans="2:29" x14ac:dyDescent="0.25">
      <c r="B94" s="299">
        <v>9</v>
      </c>
      <c r="C94" s="300"/>
      <c r="D94" s="301"/>
      <c r="E94" s="308" t="s">
        <v>453</v>
      </c>
      <c r="F94" s="301"/>
      <c r="G94" s="319"/>
      <c r="H94" s="319"/>
      <c r="I94" s="319"/>
      <c r="J94" s="319"/>
      <c r="K94" s="319"/>
      <c r="L94" s="319"/>
      <c r="M94" s="319"/>
      <c r="N94" s="319"/>
      <c r="O94" s="319"/>
      <c r="P94" s="319"/>
      <c r="Q94" s="319"/>
      <c r="R94" s="319"/>
      <c r="S94" s="319"/>
      <c r="T94" s="319"/>
      <c r="U94" s="319"/>
      <c r="V94" s="319"/>
      <c r="W94" s="319"/>
      <c r="X94" s="319"/>
      <c r="Y94" s="319"/>
      <c r="Z94" s="319"/>
      <c r="AA94" s="329"/>
      <c r="AB94" s="329"/>
    </row>
    <row r="95" spans="2:29" x14ac:dyDescent="0.25">
      <c r="B95" s="299"/>
      <c r="C95" s="300"/>
      <c r="D95" s="301"/>
      <c r="E95" s="300"/>
      <c r="F95" s="316" t="s">
        <v>455</v>
      </c>
      <c r="G95" s="320">
        <v>7380</v>
      </c>
      <c r="H95" s="320">
        <v>11409</v>
      </c>
      <c r="I95" s="320">
        <v>20307</v>
      </c>
      <c r="J95" s="320">
        <v>13456</v>
      </c>
      <c r="K95" s="320">
        <v>16274.583333333334</v>
      </c>
      <c r="L95" s="320">
        <v>16057.916666666666</v>
      </c>
      <c r="M95" s="320">
        <v>7930.25</v>
      </c>
      <c r="N95" s="320">
        <v>1929.1666666666667</v>
      </c>
      <c r="O95" s="320">
        <v>2135</v>
      </c>
      <c r="P95" s="320">
        <v>1520</v>
      </c>
      <c r="Q95" s="320">
        <v>300</v>
      </c>
      <c r="R95" s="320">
        <v>600</v>
      </c>
      <c r="S95" s="320">
        <v>300</v>
      </c>
      <c r="T95" s="320">
        <v>0</v>
      </c>
      <c r="U95" s="320">
        <v>0</v>
      </c>
      <c r="V95" s="320">
        <v>0</v>
      </c>
      <c r="W95" s="320">
        <v>300</v>
      </c>
      <c r="X95" s="320">
        <v>0</v>
      </c>
      <c r="Y95" s="320"/>
      <c r="Z95" s="320"/>
      <c r="AA95" s="329">
        <f t="shared" ref="AA95:AA109" si="33">SUM(O95:Z95)</f>
        <v>5155</v>
      </c>
      <c r="AB95" s="329">
        <f t="shared" ref="AB95:AB109" si="34">AA95/10</f>
        <v>515.5</v>
      </c>
    </row>
    <row r="96" spans="2:29" x14ac:dyDescent="0.25">
      <c r="B96" s="299"/>
      <c r="C96" s="300"/>
      <c r="D96" s="301"/>
      <c r="E96" s="300"/>
      <c r="F96" s="316" t="s">
        <v>456</v>
      </c>
      <c r="G96" s="320">
        <v>1069</v>
      </c>
      <c r="H96" s="320">
        <v>529</v>
      </c>
      <c r="I96" s="320">
        <v>868</v>
      </c>
      <c r="J96" s="320">
        <v>379</v>
      </c>
      <c r="K96" s="320">
        <v>90</v>
      </c>
      <c r="L96" s="320">
        <v>190.83333333333334</v>
      </c>
      <c r="M96" s="320">
        <v>325.41666666666669</v>
      </c>
      <c r="N96" s="320">
        <v>549.16666666666663</v>
      </c>
      <c r="O96" s="320">
        <v>1227</v>
      </c>
      <c r="P96" s="320">
        <v>50</v>
      </c>
      <c r="Q96" s="320">
        <v>1125</v>
      </c>
      <c r="R96" s="320">
        <v>0</v>
      </c>
      <c r="S96" s="320">
        <v>30</v>
      </c>
      <c r="T96" s="320">
        <v>1150</v>
      </c>
      <c r="U96" s="320">
        <v>141</v>
      </c>
      <c r="V96" s="320">
        <v>0</v>
      </c>
      <c r="W96" s="320">
        <v>45</v>
      </c>
      <c r="X96" s="320">
        <v>35</v>
      </c>
      <c r="Y96" s="320"/>
      <c r="Z96" s="320"/>
      <c r="AA96" s="329">
        <f t="shared" si="33"/>
        <v>3803</v>
      </c>
      <c r="AB96" s="329">
        <f t="shared" si="34"/>
        <v>380.3</v>
      </c>
    </row>
    <row r="97" spans="2:29" x14ac:dyDescent="0.25">
      <c r="B97" s="299"/>
      <c r="C97" s="300"/>
      <c r="D97" s="301"/>
      <c r="E97" s="300"/>
      <c r="F97" s="316" t="s">
        <v>457</v>
      </c>
      <c r="G97" s="320">
        <v>0</v>
      </c>
      <c r="H97" s="320">
        <v>0</v>
      </c>
      <c r="I97" s="320">
        <v>0</v>
      </c>
      <c r="J97" s="320">
        <v>0</v>
      </c>
      <c r="K97" s="320">
        <v>0</v>
      </c>
      <c r="L97" s="320">
        <v>0</v>
      </c>
      <c r="M97" s="320">
        <v>0</v>
      </c>
      <c r="N97" s="320">
        <v>0</v>
      </c>
      <c r="O97" s="320">
        <v>0</v>
      </c>
      <c r="P97" s="320">
        <v>0</v>
      </c>
      <c r="Q97" s="320">
        <v>0</v>
      </c>
      <c r="R97" s="320">
        <v>0</v>
      </c>
      <c r="S97" s="320">
        <v>0</v>
      </c>
      <c r="T97" s="320">
        <v>0</v>
      </c>
      <c r="U97" s="320">
        <v>0</v>
      </c>
      <c r="V97" s="320">
        <v>0</v>
      </c>
      <c r="W97" s="320">
        <v>0</v>
      </c>
      <c r="X97" s="320">
        <v>0</v>
      </c>
      <c r="Y97" s="320"/>
      <c r="Z97" s="320"/>
      <c r="AA97" s="329">
        <f t="shared" si="33"/>
        <v>0</v>
      </c>
      <c r="AB97" s="329">
        <f t="shared" si="34"/>
        <v>0</v>
      </c>
    </row>
    <row r="98" spans="2:29" x14ac:dyDescent="0.25">
      <c r="B98" s="299"/>
      <c r="C98" s="300"/>
      <c r="D98" s="301"/>
      <c r="E98" s="300"/>
      <c r="F98" s="316" t="s">
        <v>458</v>
      </c>
      <c r="G98" s="320">
        <v>1128</v>
      </c>
      <c r="H98" s="320">
        <v>0</v>
      </c>
      <c r="I98" s="320">
        <v>0</v>
      </c>
      <c r="J98" s="320">
        <v>0</v>
      </c>
      <c r="K98" s="320">
        <v>0</v>
      </c>
      <c r="L98" s="320">
        <v>0</v>
      </c>
      <c r="M98" s="320">
        <v>0</v>
      </c>
      <c r="N98" s="320">
        <v>0</v>
      </c>
      <c r="O98" s="320">
        <v>0</v>
      </c>
      <c r="P98" s="320">
        <v>0</v>
      </c>
      <c r="Q98" s="320">
        <v>0</v>
      </c>
      <c r="R98" s="320">
        <v>0</v>
      </c>
      <c r="S98" s="320">
        <v>0</v>
      </c>
      <c r="T98" s="320">
        <v>0</v>
      </c>
      <c r="U98" s="320">
        <v>0</v>
      </c>
      <c r="V98" s="320">
        <v>0</v>
      </c>
      <c r="W98" s="320">
        <v>0</v>
      </c>
      <c r="X98" s="320">
        <v>0</v>
      </c>
      <c r="Y98" s="320"/>
      <c r="Z98" s="320"/>
      <c r="AA98" s="329">
        <f t="shared" si="33"/>
        <v>0</v>
      </c>
      <c r="AB98" s="329">
        <f t="shared" si="34"/>
        <v>0</v>
      </c>
    </row>
    <row r="99" spans="2:29" x14ac:dyDescent="0.25">
      <c r="B99" s="299"/>
      <c r="C99" s="300"/>
      <c r="D99" s="301"/>
      <c r="E99" s="300"/>
      <c r="F99" s="316" t="s">
        <v>473</v>
      </c>
      <c r="G99" s="320">
        <v>2206</v>
      </c>
      <c r="H99" s="320">
        <v>173</v>
      </c>
      <c r="I99" s="320">
        <v>1550</v>
      </c>
      <c r="J99" s="320">
        <v>0</v>
      </c>
      <c r="K99" s="320">
        <v>0</v>
      </c>
      <c r="L99" s="320">
        <v>0</v>
      </c>
      <c r="M99" s="320">
        <v>0</v>
      </c>
      <c r="N99" s="320">
        <v>0</v>
      </c>
      <c r="O99" s="320">
        <v>0</v>
      </c>
      <c r="P99" s="320">
        <v>0</v>
      </c>
      <c r="Q99" s="320">
        <v>0</v>
      </c>
      <c r="R99" s="320">
        <v>0</v>
      </c>
      <c r="S99" s="320">
        <v>0</v>
      </c>
      <c r="T99" s="320">
        <v>0</v>
      </c>
      <c r="U99" s="320">
        <v>0</v>
      </c>
      <c r="V99" s="320">
        <v>0</v>
      </c>
      <c r="W99" s="320">
        <v>0</v>
      </c>
      <c r="X99" s="320">
        <v>0</v>
      </c>
      <c r="Y99" s="320"/>
      <c r="Z99" s="320"/>
      <c r="AA99" s="329">
        <f t="shared" si="33"/>
        <v>0</v>
      </c>
      <c r="AB99" s="329">
        <f t="shared" si="34"/>
        <v>0</v>
      </c>
    </row>
    <row r="100" spans="2:29" x14ac:dyDescent="0.25">
      <c r="B100" s="299"/>
      <c r="C100" s="300"/>
      <c r="D100" s="301"/>
      <c r="E100" s="300"/>
      <c r="F100" s="316" t="s">
        <v>459</v>
      </c>
      <c r="G100" s="320">
        <v>0</v>
      </c>
      <c r="H100" s="320">
        <v>1058</v>
      </c>
      <c r="I100" s="320">
        <v>275</v>
      </c>
      <c r="J100" s="320">
        <v>0</v>
      </c>
      <c r="K100" s="320">
        <v>0</v>
      </c>
      <c r="L100" s="320">
        <v>0</v>
      </c>
      <c r="M100" s="320">
        <v>0</v>
      </c>
      <c r="N100" s="320">
        <v>0</v>
      </c>
      <c r="O100" s="320">
        <v>0</v>
      </c>
      <c r="P100" s="320">
        <v>0</v>
      </c>
      <c r="Q100" s="320">
        <v>0</v>
      </c>
      <c r="R100" s="320">
        <v>0</v>
      </c>
      <c r="S100" s="320">
        <v>0</v>
      </c>
      <c r="T100" s="320">
        <v>0</v>
      </c>
      <c r="U100" s="320">
        <v>0</v>
      </c>
      <c r="V100" s="320">
        <v>0</v>
      </c>
      <c r="W100" s="320">
        <v>0</v>
      </c>
      <c r="X100" s="320">
        <v>0</v>
      </c>
      <c r="Y100" s="320"/>
      <c r="Z100" s="320"/>
      <c r="AA100" s="329">
        <f t="shared" si="33"/>
        <v>0</v>
      </c>
      <c r="AB100" s="329">
        <f t="shared" si="34"/>
        <v>0</v>
      </c>
    </row>
    <row r="101" spans="2:29" x14ac:dyDescent="0.25">
      <c r="B101" s="299"/>
      <c r="C101" s="300"/>
      <c r="D101" s="301"/>
      <c r="E101" s="300"/>
      <c r="F101" s="316" t="s">
        <v>471</v>
      </c>
      <c r="G101" s="320">
        <v>232</v>
      </c>
      <c r="H101" s="320">
        <v>46</v>
      </c>
      <c r="I101" s="320">
        <v>30</v>
      </c>
      <c r="J101" s="320">
        <v>21</v>
      </c>
      <c r="K101" s="320">
        <v>0</v>
      </c>
      <c r="L101" s="320">
        <v>0</v>
      </c>
      <c r="M101" s="320">
        <v>0</v>
      </c>
      <c r="N101" s="320">
        <v>0</v>
      </c>
      <c r="O101" s="320">
        <v>0</v>
      </c>
      <c r="P101" s="320">
        <v>0</v>
      </c>
      <c r="Q101" s="320">
        <v>0</v>
      </c>
      <c r="R101" s="320">
        <v>0</v>
      </c>
      <c r="S101" s="320">
        <v>0</v>
      </c>
      <c r="T101" s="320">
        <v>0</v>
      </c>
      <c r="U101" s="320">
        <v>0</v>
      </c>
      <c r="V101" s="320">
        <v>0</v>
      </c>
      <c r="W101" s="320">
        <v>0</v>
      </c>
      <c r="X101" s="320">
        <v>0</v>
      </c>
      <c r="Y101" s="320"/>
      <c r="Z101" s="320"/>
      <c r="AA101" s="329">
        <f t="shared" si="33"/>
        <v>0</v>
      </c>
      <c r="AB101" s="329">
        <f t="shared" si="34"/>
        <v>0</v>
      </c>
    </row>
    <row r="102" spans="2:29" x14ac:dyDescent="0.25">
      <c r="B102" s="299"/>
      <c r="C102" s="300"/>
      <c r="D102" s="301"/>
      <c r="E102" s="300"/>
      <c r="F102" s="316" t="s">
        <v>481</v>
      </c>
      <c r="G102" s="320">
        <v>0</v>
      </c>
      <c r="H102" s="320">
        <v>0</v>
      </c>
      <c r="I102" s="320">
        <v>0</v>
      </c>
      <c r="J102" s="320">
        <v>529</v>
      </c>
      <c r="K102" s="320">
        <v>0</v>
      </c>
      <c r="L102" s="320">
        <v>0</v>
      </c>
      <c r="M102" s="320">
        <v>0</v>
      </c>
      <c r="N102" s="320">
        <v>83.083333333333329</v>
      </c>
      <c r="O102" s="320">
        <v>0</v>
      </c>
      <c r="P102" s="320">
        <v>0</v>
      </c>
      <c r="Q102" s="320">
        <v>0</v>
      </c>
      <c r="R102" s="320">
        <v>0</v>
      </c>
      <c r="S102" s="320">
        <v>0</v>
      </c>
      <c r="T102" s="320">
        <v>0</v>
      </c>
      <c r="U102" s="320">
        <v>0</v>
      </c>
      <c r="V102" s="320">
        <v>0</v>
      </c>
      <c r="W102" s="320">
        <v>0</v>
      </c>
      <c r="X102" s="320">
        <v>0</v>
      </c>
      <c r="Y102" s="320"/>
      <c r="Z102" s="320"/>
      <c r="AA102" s="329">
        <f t="shared" si="33"/>
        <v>0</v>
      </c>
      <c r="AB102" s="329">
        <f t="shared" si="34"/>
        <v>0</v>
      </c>
    </row>
    <row r="103" spans="2:29" x14ac:dyDescent="0.25">
      <c r="B103" s="299"/>
      <c r="C103" s="300"/>
      <c r="D103" s="301"/>
      <c r="E103" s="300"/>
      <c r="F103" s="316" t="s">
        <v>472</v>
      </c>
      <c r="G103" s="320">
        <v>5146</v>
      </c>
      <c r="H103" s="320">
        <v>217</v>
      </c>
      <c r="I103" s="320">
        <v>78</v>
      </c>
      <c r="J103" s="320">
        <v>63</v>
      </c>
      <c r="K103" s="320">
        <v>0.16666666666666666</v>
      </c>
      <c r="L103" s="320">
        <v>59.583333333333336</v>
      </c>
      <c r="M103" s="320">
        <v>474.16666666666669</v>
      </c>
      <c r="N103" s="320">
        <v>115</v>
      </c>
      <c r="O103" s="320">
        <v>0</v>
      </c>
      <c r="P103" s="320">
        <v>0</v>
      </c>
      <c r="Q103" s="320">
        <v>0</v>
      </c>
      <c r="R103" s="320">
        <v>0</v>
      </c>
      <c r="S103" s="320">
        <v>300</v>
      </c>
      <c r="T103" s="320">
        <v>0</v>
      </c>
      <c r="U103" s="320">
        <v>0</v>
      </c>
      <c r="V103" s="320">
        <v>0</v>
      </c>
      <c r="W103" s="320">
        <v>0</v>
      </c>
      <c r="X103" s="320">
        <v>0</v>
      </c>
      <c r="Y103" s="320"/>
      <c r="Z103" s="320"/>
      <c r="AA103" s="329">
        <f t="shared" si="33"/>
        <v>300</v>
      </c>
      <c r="AB103" s="329">
        <f t="shared" si="34"/>
        <v>30</v>
      </c>
    </row>
    <row r="104" spans="2:29" x14ac:dyDescent="0.25">
      <c r="B104" s="299"/>
      <c r="C104" s="300"/>
      <c r="D104" s="301"/>
      <c r="E104" s="300"/>
      <c r="F104" s="316" t="s">
        <v>483</v>
      </c>
      <c r="G104" s="320">
        <v>0</v>
      </c>
      <c r="H104" s="320">
        <v>0</v>
      </c>
      <c r="I104" s="320">
        <v>0</v>
      </c>
      <c r="J104" s="320">
        <v>6</v>
      </c>
      <c r="K104" s="320">
        <v>0</v>
      </c>
      <c r="L104" s="320">
        <v>16.666666666666668</v>
      </c>
      <c r="M104" s="320">
        <v>62.5</v>
      </c>
      <c r="N104" s="320">
        <v>0</v>
      </c>
      <c r="O104" s="320">
        <v>0</v>
      </c>
      <c r="P104" s="320">
        <v>0</v>
      </c>
      <c r="Q104" s="320">
        <v>0</v>
      </c>
      <c r="R104" s="320">
        <v>0</v>
      </c>
      <c r="S104" s="320">
        <v>0</v>
      </c>
      <c r="T104" s="320">
        <v>0</v>
      </c>
      <c r="U104" s="320">
        <v>0</v>
      </c>
      <c r="V104" s="320">
        <v>0</v>
      </c>
      <c r="W104" s="320">
        <v>200</v>
      </c>
      <c r="X104" s="320">
        <v>0</v>
      </c>
      <c r="Y104" s="320"/>
      <c r="Z104" s="320"/>
      <c r="AA104" s="329">
        <f t="shared" si="33"/>
        <v>200</v>
      </c>
      <c r="AB104" s="329">
        <f t="shared" si="34"/>
        <v>20</v>
      </c>
    </row>
    <row r="105" spans="2:29" x14ac:dyDescent="0.25">
      <c r="B105" s="299"/>
      <c r="C105" s="300"/>
      <c r="D105" s="301"/>
      <c r="E105" s="300"/>
      <c r="F105" s="316" t="s">
        <v>460</v>
      </c>
      <c r="G105" s="320">
        <v>2835</v>
      </c>
      <c r="H105" s="320">
        <v>158</v>
      </c>
      <c r="I105" s="320">
        <v>138</v>
      </c>
      <c r="J105" s="320">
        <v>0</v>
      </c>
      <c r="K105" s="320">
        <v>12.5</v>
      </c>
      <c r="L105" s="320">
        <v>8.5</v>
      </c>
      <c r="M105" s="320">
        <v>8.3333333333333339</v>
      </c>
      <c r="N105" s="320">
        <v>0</v>
      </c>
      <c r="O105" s="320">
        <v>0</v>
      </c>
      <c r="P105" s="320">
        <v>0</v>
      </c>
      <c r="Q105" s="320">
        <v>0</v>
      </c>
      <c r="R105" s="320">
        <v>0</v>
      </c>
      <c r="S105" s="320">
        <v>0</v>
      </c>
      <c r="T105" s="320">
        <v>0</v>
      </c>
      <c r="U105" s="320">
        <v>0</v>
      </c>
      <c r="V105" s="320">
        <v>0</v>
      </c>
      <c r="W105" s="320">
        <v>0</v>
      </c>
      <c r="X105" s="320">
        <v>0</v>
      </c>
      <c r="Y105" s="320"/>
      <c r="Z105" s="320"/>
      <c r="AA105" s="329">
        <f t="shared" si="33"/>
        <v>0</v>
      </c>
      <c r="AB105" s="329">
        <f t="shared" si="34"/>
        <v>0</v>
      </c>
    </row>
    <row r="106" spans="2:29" x14ac:dyDescent="0.25">
      <c r="B106" s="299"/>
      <c r="C106" s="300"/>
      <c r="D106" s="301"/>
      <c r="E106" s="300"/>
      <c r="F106" s="316" t="s">
        <v>461</v>
      </c>
      <c r="G106" s="320">
        <v>0</v>
      </c>
      <c r="H106" s="320">
        <v>29</v>
      </c>
      <c r="I106" s="320">
        <v>58</v>
      </c>
      <c r="J106" s="320">
        <v>92</v>
      </c>
      <c r="K106" s="320">
        <v>13.333333333333334</v>
      </c>
      <c r="L106" s="320">
        <v>23.75</v>
      </c>
      <c r="M106" s="320">
        <v>15.166666666666666</v>
      </c>
      <c r="N106" s="320">
        <v>167.83333333333334</v>
      </c>
      <c r="O106" s="320">
        <v>220</v>
      </c>
      <c r="P106" s="320">
        <v>405</v>
      </c>
      <c r="Q106" s="320">
        <v>115</v>
      </c>
      <c r="R106" s="320">
        <v>0</v>
      </c>
      <c r="S106" s="320">
        <v>490</v>
      </c>
      <c r="T106" s="320">
        <v>190</v>
      </c>
      <c r="U106" s="320">
        <v>0</v>
      </c>
      <c r="V106" s="320">
        <v>415</v>
      </c>
      <c r="W106" s="320">
        <v>245</v>
      </c>
      <c r="X106" s="320">
        <v>215</v>
      </c>
      <c r="Y106" s="320"/>
      <c r="Z106" s="320"/>
      <c r="AA106" s="329">
        <f t="shared" si="33"/>
        <v>2295</v>
      </c>
      <c r="AB106" s="329">
        <f t="shared" si="34"/>
        <v>229.5</v>
      </c>
    </row>
    <row r="107" spans="2:29" x14ac:dyDescent="0.25">
      <c r="B107" s="299"/>
      <c r="C107" s="300"/>
      <c r="D107" s="301"/>
      <c r="E107" s="300"/>
      <c r="F107" s="316" t="s">
        <v>462</v>
      </c>
      <c r="G107" s="320">
        <v>93</v>
      </c>
      <c r="H107" s="320">
        <v>0</v>
      </c>
      <c r="I107" s="320">
        <v>0</v>
      </c>
      <c r="J107" s="320">
        <v>0</v>
      </c>
      <c r="K107" s="320">
        <v>294.16666666666669</v>
      </c>
      <c r="L107" s="320">
        <v>0</v>
      </c>
      <c r="M107" s="320">
        <v>0</v>
      </c>
      <c r="N107" s="320">
        <v>0</v>
      </c>
      <c r="O107" s="320">
        <v>0</v>
      </c>
      <c r="P107" s="320">
        <v>0</v>
      </c>
      <c r="Q107" s="320">
        <v>0</v>
      </c>
      <c r="R107" s="320">
        <v>0</v>
      </c>
      <c r="S107" s="320">
        <v>0</v>
      </c>
      <c r="T107" s="320">
        <v>0</v>
      </c>
      <c r="U107" s="320">
        <v>0</v>
      </c>
      <c r="V107" s="320">
        <v>0</v>
      </c>
      <c r="W107" s="320">
        <v>0</v>
      </c>
      <c r="X107" s="320">
        <v>0</v>
      </c>
      <c r="Y107" s="320"/>
      <c r="Z107" s="320"/>
      <c r="AA107" s="329">
        <f t="shared" si="33"/>
        <v>0</v>
      </c>
      <c r="AB107" s="329">
        <f t="shared" si="34"/>
        <v>0</v>
      </c>
    </row>
    <row r="108" spans="2:29" x14ac:dyDescent="0.25">
      <c r="B108" s="299"/>
      <c r="C108" s="300"/>
      <c r="D108" s="301"/>
      <c r="E108" s="300"/>
      <c r="F108" s="316" t="s">
        <v>463</v>
      </c>
      <c r="G108" s="320">
        <v>702</v>
      </c>
      <c r="H108" s="320">
        <v>335</v>
      </c>
      <c r="I108" s="320">
        <v>676</v>
      </c>
      <c r="J108" s="320">
        <v>150</v>
      </c>
      <c r="K108" s="320">
        <v>3215.8333333333335</v>
      </c>
      <c r="L108" s="320">
        <v>4026.6666666666665</v>
      </c>
      <c r="M108" s="320">
        <v>4458.166666666667</v>
      </c>
      <c r="N108" s="320">
        <v>4336.666666666667</v>
      </c>
      <c r="O108" s="320">
        <v>8521</v>
      </c>
      <c r="P108" s="320">
        <v>1700</v>
      </c>
      <c r="Q108" s="320">
        <v>14175</v>
      </c>
      <c r="R108" s="320">
        <v>9000</v>
      </c>
      <c r="S108" s="320">
        <v>4630</v>
      </c>
      <c r="T108" s="320">
        <v>2630</v>
      </c>
      <c r="U108" s="320">
        <v>1287</v>
      </c>
      <c r="V108" s="320">
        <v>8515</v>
      </c>
      <c r="W108" s="320">
        <v>1835</v>
      </c>
      <c r="X108" s="320">
        <v>3400</v>
      </c>
      <c r="Y108" s="320"/>
      <c r="Z108" s="320"/>
      <c r="AA108" s="329">
        <f t="shared" si="33"/>
        <v>55693</v>
      </c>
      <c r="AB108" s="329">
        <f t="shared" si="34"/>
        <v>5569.3</v>
      </c>
    </row>
    <row r="109" spans="2:29" ht="15.75" thickBot="1" x14ac:dyDescent="0.3">
      <c r="B109" s="305"/>
      <c r="C109" s="306"/>
      <c r="D109" s="307"/>
      <c r="E109" s="306"/>
      <c r="F109" s="317" t="s">
        <v>464</v>
      </c>
      <c r="G109" s="323">
        <v>0</v>
      </c>
      <c r="H109" s="323">
        <v>0</v>
      </c>
      <c r="I109" s="323">
        <v>627</v>
      </c>
      <c r="J109" s="323">
        <v>13</v>
      </c>
      <c r="K109" s="323">
        <v>63.083333333333336</v>
      </c>
      <c r="L109" s="320">
        <v>112.5</v>
      </c>
      <c r="M109" s="320">
        <v>288.58333333333331</v>
      </c>
      <c r="N109" s="320">
        <v>591.91666666666663</v>
      </c>
      <c r="O109" s="320">
        <v>4533</v>
      </c>
      <c r="P109" s="320">
        <v>0</v>
      </c>
      <c r="Q109" s="320">
        <v>3036</v>
      </c>
      <c r="R109" s="320">
        <v>2587</v>
      </c>
      <c r="S109" s="320">
        <v>760</v>
      </c>
      <c r="T109" s="320">
        <v>200</v>
      </c>
      <c r="U109" s="320">
        <v>325</v>
      </c>
      <c r="V109" s="320">
        <v>1977</v>
      </c>
      <c r="W109" s="320">
        <v>80</v>
      </c>
      <c r="X109" s="320">
        <v>290</v>
      </c>
      <c r="Y109" s="320"/>
      <c r="Z109" s="320"/>
      <c r="AA109" s="329">
        <f t="shared" si="33"/>
        <v>13788</v>
      </c>
      <c r="AB109" s="329">
        <f t="shared" si="34"/>
        <v>1378.8</v>
      </c>
    </row>
    <row r="110" spans="2:29" ht="15.75" thickBot="1" x14ac:dyDescent="0.3">
      <c r="B110" s="389"/>
      <c r="C110" s="315"/>
      <c r="D110" s="315"/>
      <c r="E110" s="315"/>
      <c r="F110" s="315"/>
      <c r="G110" s="327">
        <f t="shared" ref="G110:AA110" si="35">SUM(G95:G109)</f>
        <v>20791</v>
      </c>
      <c r="H110" s="327">
        <f t="shared" si="35"/>
        <v>13954</v>
      </c>
      <c r="I110" s="327">
        <f t="shared" si="35"/>
        <v>24607</v>
      </c>
      <c r="J110" s="327">
        <f>SUM(J95:J109)</f>
        <v>14709</v>
      </c>
      <c r="K110" s="327">
        <f t="shared" si="35"/>
        <v>19963.666666666664</v>
      </c>
      <c r="L110" s="327">
        <f>SUM(L95:L109)</f>
        <v>20496.416666666668</v>
      </c>
      <c r="M110" s="327">
        <f>SUM(M95:M109)</f>
        <v>13562.583333333334</v>
      </c>
      <c r="N110" s="327">
        <f>SUM(N95:N109)</f>
        <v>7772.8333333333348</v>
      </c>
      <c r="O110" s="327">
        <f t="shared" si="35"/>
        <v>16636</v>
      </c>
      <c r="P110" s="327">
        <f t="shared" si="35"/>
        <v>3675</v>
      </c>
      <c r="Q110" s="327">
        <f>SUM(Q95:Q109)</f>
        <v>18751</v>
      </c>
      <c r="R110" s="327">
        <f t="shared" si="35"/>
        <v>12187</v>
      </c>
      <c r="S110" s="327">
        <f t="shared" si="35"/>
        <v>6510</v>
      </c>
      <c r="T110" s="327">
        <f t="shared" si="35"/>
        <v>4170</v>
      </c>
      <c r="U110" s="327">
        <f t="shared" si="35"/>
        <v>1753</v>
      </c>
      <c r="V110" s="327">
        <f t="shared" si="35"/>
        <v>10907</v>
      </c>
      <c r="W110" s="327">
        <f t="shared" si="35"/>
        <v>2705</v>
      </c>
      <c r="X110" s="327">
        <f t="shared" si="35"/>
        <v>3940</v>
      </c>
      <c r="Y110" s="327">
        <f t="shared" si="35"/>
        <v>0</v>
      </c>
      <c r="Z110" s="327">
        <f t="shared" si="35"/>
        <v>0</v>
      </c>
      <c r="AA110" s="327">
        <f t="shared" si="35"/>
        <v>81234</v>
      </c>
      <c r="AB110" s="368">
        <f>SUM(AB95:AB109)</f>
        <v>8123.4000000000005</v>
      </c>
    </row>
    <row r="111" spans="2:29" ht="15.75" thickBot="1" x14ac:dyDescent="0.3">
      <c r="B111" s="455" t="s">
        <v>474</v>
      </c>
      <c r="C111" s="456"/>
      <c r="D111" s="456"/>
      <c r="E111" s="456"/>
      <c r="F111" s="457"/>
      <c r="G111" s="326">
        <f t="shared" ref="G111:AB111" si="36">G29+G65+G77+G92+G110</f>
        <v>245111</v>
      </c>
      <c r="H111" s="326">
        <f t="shared" si="36"/>
        <v>253203</v>
      </c>
      <c r="I111" s="326">
        <f t="shared" si="36"/>
        <v>267736</v>
      </c>
      <c r="J111" s="326">
        <f t="shared" si="36"/>
        <v>339496</v>
      </c>
      <c r="K111" s="326">
        <f t="shared" si="36"/>
        <v>392101.91666666674</v>
      </c>
      <c r="L111" s="326">
        <f t="shared" si="36"/>
        <v>356850.5</v>
      </c>
      <c r="M111" s="326">
        <f t="shared" si="36"/>
        <v>262216.91666666663</v>
      </c>
      <c r="N111" s="326">
        <f t="shared" si="36"/>
        <v>164204.91666666666</v>
      </c>
      <c r="O111" s="326">
        <f t="shared" si="36"/>
        <v>175654</v>
      </c>
      <c r="P111" s="326">
        <f t="shared" si="36"/>
        <v>182167</v>
      </c>
      <c r="Q111" s="326">
        <f t="shared" si="36"/>
        <v>149998</v>
      </c>
      <c r="R111" s="326">
        <f t="shared" si="36"/>
        <v>212461</v>
      </c>
      <c r="S111" s="326">
        <f t="shared" si="36"/>
        <v>152047</v>
      </c>
      <c r="T111" s="326">
        <f t="shared" si="36"/>
        <v>120267</v>
      </c>
      <c r="U111" s="326">
        <f t="shared" si="36"/>
        <v>139197</v>
      </c>
      <c r="V111" s="326">
        <f t="shared" si="36"/>
        <v>155208</v>
      </c>
      <c r="W111" s="326">
        <f t="shared" si="36"/>
        <v>152348</v>
      </c>
      <c r="X111" s="326">
        <f t="shared" si="36"/>
        <v>151491</v>
      </c>
      <c r="Y111" s="326">
        <f t="shared" si="36"/>
        <v>0</v>
      </c>
      <c r="Z111" s="326">
        <f t="shared" si="36"/>
        <v>0</v>
      </c>
      <c r="AA111" s="326">
        <f t="shared" si="36"/>
        <v>1590838</v>
      </c>
      <c r="AB111" s="326">
        <f t="shared" si="36"/>
        <v>159083.79999999999</v>
      </c>
      <c r="AC111" s="12"/>
    </row>
    <row r="112" spans="2:29" x14ac:dyDescent="0.25"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7:28" x14ac:dyDescent="0.25"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443"/>
      <c r="AB113" s="443"/>
    </row>
  </sheetData>
  <mergeCells count="11">
    <mergeCell ref="B111:F111"/>
    <mergeCell ref="AA113:AB113"/>
    <mergeCell ref="B2:AB2"/>
    <mergeCell ref="B3:AB3"/>
    <mergeCell ref="B4:AB4"/>
    <mergeCell ref="B6:B7"/>
    <mergeCell ref="C6:D7"/>
    <mergeCell ref="E6:F7"/>
    <mergeCell ref="G6:Z6"/>
    <mergeCell ref="AA6:AA7"/>
    <mergeCell ref="AB6:AB7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16</vt:i4>
      </vt:variant>
    </vt:vector>
  </HeadingPairs>
  <TitlesOfParts>
    <vt:vector size="35" baseType="lpstr">
      <vt:lpstr>Realisasi Pen. Januari</vt:lpstr>
      <vt:lpstr>Realisasi Pen. Februari</vt:lpstr>
      <vt:lpstr>Realisasi Pen. Maret</vt:lpstr>
      <vt:lpstr>Realisasi Pen. April</vt:lpstr>
      <vt:lpstr>Realisasi Pen. Mei</vt:lpstr>
      <vt:lpstr>Realisasi Pen. Juni</vt:lpstr>
      <vt:lpstr>Realisasi Pen. Juli</vt:lpstr>
      <vt:lpstr>Realisasi Pen. Agustus</vt:lpstr>
      <vt:lpstr>Realisasi Pen. September</vt:lpstr>
      <vt:lpstr>Realisasi Pen. Oktober</vt:lpstr>
      <vt:lpstr>Realisasi Pen. November</vt:lpstr>
      <vt:lpstr>Penggantian</vt:lpstr>
      <vt:lpstr>Realisasi 2017-2019</vt:lpstr>
      <vt:lpstr>Rea. Pen. PEMDA</vt:lpstr>
      <vt:lpstr>Realisasi 2017-2020</vt:lpstr>
      <vt:lpstr>Realisasi 2017-2021</vt:lpstr>
      <vt:lpstr>Realisasi 2017-2022</vt:lpstr>
      <vt:lpstr>Realisasi 2017-2024</vt:lpstr>
      <vt:lpstr>Realisasi 2017-2025</vt:lpstr>
      <vt:lpstr>'Rea. Pen. PEMDA'!Print_Area</vt:lpstr>
      <vt:lpstr>'Realisasi 2017-2019'!Print_Area</vt:lpstr>
      <vt:lpstr>'Realisasi 2017-2020'!Print_Area</vt:lpstr>
      <vt:lpstr>'Realisasi Pen. Agustus'!Print_Area</vt:lpstr>
      <vt:lpstr>'Realisasi Pen. April'!Print_Area</vt:lpstr>
      <vt:lpstr>'Realisasi Pen. Februari'!Print_Area</vt:lpstr>
      <vt:lpstr>'Realisasi Pen. Januari'!Print_Area</vt:lpstr>
      <vt:lpstr>'Realisasi Pen. Juli'!Print_Area</vt:lpstr>
      <vt:lpstr>'Realisasi Pen. Juni'!Print_Area</vt:lpstr>
      <vt:lpstr>'Realisasi Pen. Maret'!Print_Area</vt:lpstr>
      <vt:lpstr>'Realisasi Pen. Mei'!Print_Area</vt:lpstr>
      <vt:lpstr>'Realisasi Pen. November'!Print_Area</vt:lpstr>
      <vt:lpstr>'Realisasi Pen. Oktober'!Print_Area</vt:lpstr>
      <vt:lpstr>'Realisasi Pen. September'!Print_Area</vt:lpstr>
      <vt:lpstr>'Realisasi 2017-2019'!Print_Titles</vt:lpstr>
      <vt:lpstr>'Realisasi 2017-2020'!Print_Titles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Benur Kita</dc:creator>
  <cp:lastModifiedBy>APRIZALDI</cp:lastModifiedBy>
  <cp:lastPrinted>2021-01-27T01:38:14Z</cp:lastPrinted>
  <dcterms:created xsi:type="dcterms:W3CDTF">2017-12-23T00:27:26Z</dcterms:created>
  <dcterms:modified xsi:type="dcterms:W3CDTF">2025-11-01T07:06:23Z</dcterms:modified>
</cp:coreProperties>
</file>