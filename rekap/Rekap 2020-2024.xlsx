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 FIRA\Kerja Praktik\New folder\"/>
    </mc:Choice>
  </mc:AlternateContent>
  <xr:revisionPtr revIDLastSave="0" documentId="13_ncr:1_{D5CF71F3-D484-43A2-8960-7122A794D0D4}" xr6:coauthVersionLast="47" xr6:coauthVersionMax="47" xr10:uidLastSave="{00000000-0000-0000-0000-000000000000}"/>
  <bookViews>
    <workbookView xWindow="-120" yWindow="-120" windowWidth="20730" windowHeight="11040" activeTab="4" xr2:uid="{C573D74A-A93E-41E7-BAC1-80119CD928C3}"/>
  </bookViews>
  <sheets>
    <sheet name="2020" sheetId="3" r:id="rId1"/>
    <sheet name="2021" sheetId="1" r:id="rId2"/>
    <sheet name="2022" sheetId="2" r:id="rId3"/>
    <sheet name="2023" sheetId="4" r:id="rId4"/>
    <sheet name="2024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5" i="2" l="1"/>
  <c r="C159" i="2"/>
  <c r="C153" i="2"/>
  <c r="C155" i="2" s="1"/>
  <c r="C147" i="2"/>
  <c r="C141" i="2"/>
  <c r="C135" i="2"/>
  <c r="C129" i="2"/>
  <c r="C123" i="2"/>
  <c r="C125" i="2" s="1"/>
  <c r="C117" i="2"/>
  <c r="C111" i="2"/>
  <c r="C105" i="2"/>
  <c r="C107" i="2" s="1"/>
  <c r="C99" i="2"/>
  <c r="R92" i="2"/>
  <c r="Q92" i="2"/>
  <c r="P92" i="2"/>
  <c r="O92" i="2"/>
  <c r="N92" i="2"/>
  <c r="M92" i="2"/>
  <c r="L92" i="2"/>
  <c r="K92" i="2"/>
  <c r="J92" i="2"/>
  <c r="I92" i="2"/>
  <c r="H92" i="2"/>
  <c r="G92" i="2"/>
  <c r="V91" i="2"/>
  <c r="U91" i="2"/>
  <c r="T91" i="2"/>
  <c r="S91" i="2"/>
  <c r="T90" i="2"/>
  <c r="S90" i="2"/>
  <c r="V90" i="2" s="1"/>
  <c r="V89" i="2"/>
  <c r="U89" i="2"/>
  <c r="T89" i="2"/>
  <c r="S89" i="2"/>
  <c r="T88" i="2"/>
  <c r="S88" i="2"/>
  <c r="V88" i="2" s="1"/>
  <c r="V87" i="2"/>
  <c r="U87" i="2"/>
  <c r="T87" i="2"/>
  <c r="S87" i="2"/>
  <c r="T86" i="2"/>
  <c r="S86" i="2"/>
  <c r="V86" i="2" s="1"/>
  <c r="V85" i="2"/>
  <c r="U85" i="2"/>
  <c r="T85" i="2"/>
  <c r="S85" i="2"/>
  <c r="T84" i="2"/>
  <c r="S84" i="2"/>
  <c r="V84" i="2" s="1"/>
  <c r="V83" i="2"/>
  <c r="U83" i="2"/>
  <c r="T83" i="2"/>
  <c r="S83" i="2"/>
  <c r="T82" i="2"/>
  <c r="S82" i="2"/>
  <c r="V82" i="2" s="1"/>
  <c r="V81" i="2"/>
  <c r="U81" i="2"/>
  <c r="T81" i="2"/>
  <c r="S81" i="2"/>
  <c r="T80" i="2"/>
  <c r="S80" i="2"/>
  <c r="V80" i="2" s="1"/>
  <c r="V79" i="2"/>
  <c r="U79" i="2"/>
  <c r="T79" i="2"/>
  <c r="S79" i="2"/>
  <c r="T78" i="2"/>
  <c r="S78" i="2"/>
  <c r="V78" i="2" s="1"/>
  <c r="V77" i="2"/>
  <c r="U77" i="2"/>
  <c r="T77" i="2"/>
  <c r="T92" i="2" s="1"/>
  <c r="S77" i="2"/>
  <c r="S92" i="2" s="1"/>
  <c r="U92" i="2" s="1"/>
  <c r="R74" i="2"/>
  <c r="Q74" i="2"/>
  <c r="P74" i="2"/>
  <c r="O74" i="2"/>
  <c r="N74" i="2"/>
  <c r="M74" i="2"/>
  <c r="L74" i="2"/>
  <c r="K74" i="2"/>
  <c r="J74" i="2"/>
  <c r="I74" i="2"/>
  <c r="H74" i="2"/>
  <c r="G74" i="2"/>
  <c r="T73" i="2"/>
  <c r="S73" i="2"/>
  <c r="V73" i="2" s="1"/>
  <c r="V72" i="2"/>
  <c r="U72" i="2"/>
  <c r="T72" i="2"/>
  <c r="S72" i="2"/>
  <c r="T71" i="2"/>
  <c r="S71" i="2"/>
  <c r="V71" i="2" s="1"/>
  <c r="V70" i="2"/>
  <c r="U70" i="2"/>
  <c r="T70" i="2"/>
  <c r="S70" i="2"/>
  <c r="T69" i="2"/>
  <c r="S69" i="2"/>
  <c r="V69" i="2" s="1"/>
  <c r="V68" i="2"/>
  <c r="U68" i="2"/>
  <c r="T68" i="2"/>
  <c r="S68" i="2"/>
  <c r="T67" i="2"/>
  <c r="S67" i="2"/>
  <c r="V67" i="2" s="1"/>
  <c r="V66" i="2"/>
  <c r="U66" i="2"/>
  <c r="T66" i="2"/>
  <c r="S66" i="2"/>
  <c r="T65" i="2"/>
  <c r="S65" i="2"/>
  <c r="V65" i="2" s="1"/>
  <c r="V64" i="2"/>
  <c r="U64" i="2"/>
  <c r="T64" i="2"/>
  <c r="S64" i="2"/>
  <c r="T63" i="2"/>
  <c r="T74" i="2" s="1"/>
  <c r="S63" i="2"/>
  <c r="V63" i="2" s="1"/>
  <c r="V74" i="2" s="1"/>
  <c r="R59" i="2"/>
  <c r="Q59" i="2"/>
  <c r="P59" i="2"/>
  <c r="O59" i="2"/>
  <c r="O60" i="2" s="1"/>
  <c r="N59" i="2"/>
  <c r="M59" i="2"/>
  <c r="L59" i="2"/>
  <c r="K59" i="2"/>
  <c r="J59" i="2"/>
  <c r="I59" i="2"/>
  <c r="H59" i="2"/>
  <c r="G59" i="2"/>
  <c r="G60" i="2" s="1"/>
  <c r="V58" i="2"/>
  <c r="U58" i="2"/>
  <c r="T58" i="2"/>
  <c r="S58" i="2"/>
  <c r="T57" i="2"/>
  <c r="S57" i="2"/>
  <c r="V57" i="2" s="1"/>
  <c r="V56" i="2"/>
  <c r="U56" i="2"/>
  <c r="T56" i="2"/>
  <c r="S56" i="2"/>
  <c r="T55" i="2"/>
  <c r="S55" i="2"/>
  <c r="V55" i="2" s="1"/>
  <c r="V54" i="2"/>
  <c r="V59" i="2" s="1"/>
  <c r="U54" i="2"/>
  <c r="T54" i="2"/>
  <c r="T59" i="2" s="1"/>
  <c r="S54" i="2"/>
  <c r="S59" i="2" s="1"/>
  <c r="U59" i="2" s="1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T50" i="2"/>
  <c r="S50" i="2"/>
  <c r="V50" i="2" s="1"/>
  <c r="V49" i="2"/>
  <c r="U49" i="2"/>
  <c r="T49" i="2"/>
  <c r="S49" i="2"/>
  <c r="T48" i="2"/>
  <c r="S48" i="2"/>
  <c r="V48" i="2" s="1"/>
  <c r="V47" i="2"/>
  <c r="U47" i="2"/>
  <c r="T47" i="2"/>
  <c r="T51" i="2" s="1"/>
  <c r="S47" i="2"/>
  <c r="R44" i="2"/>
  <c r="R60" i="2" s="1"/>
  <c r="Q44" i="2"/>
  <c r="Q60" i="2" s="1"/>
  <c r="P44" i="2"/>
  <c r="P60" i="2" s="1"/>
  <c r="O44" i="2"/>
  <c r="N44" i="2"/>
  <c r="N60" i="2" s="1"/>
  <c r="M44" i="2"/>
  <c r="M60" i="2" s="1"/>
  <c r="L44" i="2"/>
  <c r="L60" i="2" s="1"/>
  <c r="K44" i="2"/>
  <c r="K60" i="2" s="1"/>
  <c r="J44" i="2"/>
  <c r="J60" i="2" s="1"/>
  <c r="I44" i="2"/>
  <c r="I60" i="2" s="1"/>
  <c r="H44" i="2"/>
  <c r="H60" i="2" s="1"/>
  <c r="G44" i="2"/>
  <c r="T43" i="2"/>
  <c r="S43" i="2"/>
  <c r="V43" i="2" s="1"/>
  <c r="V42" i="2"/>
  <c r="U42" i="2"/>
  <c r="T42" i="2"/>
  <c r="S42" i="2"/>
  <c r="T41" i="2"/>
  <c r="S41" i="2"/>
  <c r="V41" i="2" s="1"/>
  <c r="V40" i="2"/>
  <c r="U40" i="2"/>
  <c r="T40" i="2"/>
  <c r="T44" i="2" s="1"/>
  <c r="T60" i="2" s="1"/>
  <c r="S40" i="2"/>
  <c r="R37" i="2"/>
  <c r="Q37" i="2"/>
  <c r="P37" i="2"/>
  <c r="O37" i="2"/>
  <c r="N37" i="2"/>
  <c r="M37" i="2"/>
  <c r="L37" i="2"/>
  <c r="K37" i="2"/>
  <c r="J37" i="2"/>
  <c r="I37" i="2"/>
  <c r="H37" i="2"/>
  <c r="G37" i="2"/>
  <c r="T36" i="2"/>
  <c r="S36" i="2"/>
  <c r="V36" i="2" s="1"/>
  <c r="V35" i="2"/>
  <c r="U35" i="2"/>
  <c r="T35" i="2"/>
  <c r="S35" i="2"/>
  <c r="T34" i="2"/>
  <c r="S34" i="2"/>
  <c r="U34" i="2" s="1"/>
  <c r="V33" i="2"/>
  <c r="U33" i="2"/>
  <c r="T33" i="2"/>
  <c r="S33" i="2"/>
  <c r="T32" i="2"/>
  <c r="S32" i="2"/>
  <c r="V32" i="2" s="1"/>
  <c r="V31" i="2"/>
  <c r="U31" i="2"/>
  <c r="T31" i="2"/>
  <c r="S31" i="2"/>
  <c r="T30" i="2"/>
  <c r="S30" i="2"/>
  <c r="V30" i="2" s="1"/>
  <c r="V29" i="2"/>
  <c r="U29" i="2"/>
  <c r="T29" i="2"/>
  <c r="T37" i="2" s="1"/>
  <c r="S29" i="2"/>
  <c r="R26" i="2"/>
  <c r="Q26" i="2"/>
  <c r="P26" i="2"/>
  <c r="O26" i="2"/>
  <c r="N26" i="2"/>
  <c r="M26" i="2"/>
  <c r="L26" i="2"/>
  <c r="K26" i="2"/>
  <c r="J26" i="2"/>
  <c r="I26" i="2"/>
  <c r="H26" i="2"/>
  <c r="G26" i="2"/>
  <c r="T25" i="2"/>
  <c r="S25" i="2"/>
  <c r="V25" i="2" s="1"/>
  <c r="V24" i="2"/>
  <c r="U24" i="2"/>
  <c r="T24" i="2"/>
  <c r="S24" i="2"/>
  <c r="T23" i="2"/>
  <c r="S23" i="2"/>
  <c r="V23" i="2" s="1"/>
  <c r="V22" i="2"/>
  <c r="U22" i="2"/>
  <c r="T22" i="2"/>
  <c r="S22" i="2"/>
  <c r="T21" i="2"/>
  <c r="S21" i="2"/>
  <c r="U21" i="2" s="1"/>
  <c r="V20" i="2"/>
  <c r="U20" i="2"/>
  <c r="T20" i="2"/>
  <c r="S20" i="2"/>
  <c r="T19" i="2"/>
  <c r="S19" i="2"/>
  <c r="V19" i="2" s="1"/>
  <c r="V18" i="2"/>
  <c r="U18" i="2"/>
  <c r="T18" i="2"/>
  <c r="T26" i="2" s="1"/>
  <c r="S18" i="2"/>
  <c r="R15" i="2"/>
  <c r="R38" i="2" s="1"/>
  <c r="R93" i="2" s="1"/>
  <c r="Q15" i="2"/>
  <c r="Q38" i="2" s="1"/>
  <c r="Q93" i="2" s="1"/>
  <c r="P15" i="2"/>
  <c r="P38" i="2" s="1"/>
  <c r="P93" i="2" s="1"/>
  <c r="O15" i="2"/>
  <c r="O38" i="2" s="1"/>
  <c r="O93" i="2" s="1"/>
  <c r="N15" i="2"/>
  <c r="N38" i="2" s="1"/>
  <c r="N93" i="2" s="1"/>
  <c r="M15" i="2"/>
  <c r="M38" i="2" s="1"/>
  <c r="M93" i="2" s="1"/>
  <c r="L15" i="2"/>
  <c r="L38" i="2" s="1"/>
  <c r="L93" i="2" s="1"/>
  <c r="K15" i="2"/>
  <c r="K38" i="2" s="1"/>
  <c r="K93" i="2" s="1"/>
  <c r="J15" i="2"/>
  <c r="J38" i="2" s="1"/>
  <c r="J93" i="2" s="1"/>
  <c r="I15" i="2"/>
  <c r="I38" i="2" s="1"/>
  <c r="I93" i="2" s="1"/>
  <c r="H15" i="2"/>
  <c r="H38" i="2" s="1"/>
  <c r="H93" i="2" s="1"/>
  <c r="G15" i="2"/>
  <c r="G38" i="2" s="1"/>
  <c r="G93" i="2" s="1"/>
  <c r="T14" i="2"/>
  <c r="S14" i="2"/>
  <c r="U14" i="2" s="1"/>
  <c r="V13" i="2"/>
  <c r="U13" i="2"/>
  <c r="T13" i="2"/>
  <c r="S13" i="2"/>
  <c r="T12" i="2"/>
  <c r="S12" i="2"/>
  <c r="V12" i="2" s="1"/>
  <c r="V11" i="2"/>
  <c r="U11" i="2"/>
  <c r="T11" i="2"/>
  <c r="S11" i="2"/>
  <c r="T10" i="2"/>
  <c r="S10" i="2"/>
  <c r="V10" i="2" s="1"/>
  <c r="V9" i="2"/>
  <c r="U9" i="2"/>
  <c r="T9" i="2"/>
  <c r="S9" i="2"/>
  <c r="T8" i="2"/>
  <c r="T15" i="2" s="1"/>
  <c r="S8" i="2"/>
  <c r="U8" i="2" s="1"/>
  <c r="C173" i="1"/>
  <c r="C166" i="1"/>
  <c r="C159" i="1"/>
  <c r="C152" i="1"/>
  <c r="C145" i="1"/>
  <c r="C138" i="1"/>
  <c r="C131" i="1"/>
  <c r="C124" i="1"/>
  <c r="C126" i="1" s="1"/>
  <c r="C117" i="1"/>
  <c r="C110" i="1"/>
  <c r="C112" i="1" s="1"/>
  <c r="C103" i="1"/>
  <c r="C96" i="1"/>
  <c r="R89" i="1"/>
  <c r="Q89" i="1"/>
  <c r="P89" i="1"/>
  <c r="O89" i="1"/>
  <c r="N89" i="1"/>
  <c r="M89" i="1"/>
  <c r="L89" i="1"/>
  <c r="K89" i="1"/>
  <c r="J89" i="1"/>
  <c r="I89" i="1"/>
  <c r="H89" i="1"/>
  <c r="G89" i="1"/>
  <c r="T88" i="1"/>
  <c r="S88" i="1"/>
  <c r="U88" i="1" s="1"/>
  <c r="V87" i="1"/>
  <c r="U87" i="1"/>
  <c r="T87" i="1"/>
  <c r="S87" i="1"/>
  <c r="T86" i="1"/>
  <c r="S86" i="1"/>
  <c r="V86" i="1" s="1"/>
  <c r="V85" i="1"/>
  <c r="U85" i="1"/>
  <c r="T85" i="1"/>
  <c r="S85" i="1"/>
  <c r="T84" i="1"/>
  <c r="S84" i="1"/>
  <c r="U84" i="1" s="1"/>
  <c r="V83" i="1"/>
  <c r="U83" i="1"/>
  <c r="T83" i="1"/>
  <c r="S83" i="1"/>
  <c r="T82" i="1"/>
  <c r="S82" i="1"/>
  <c r="U82" i="1" s="1"/>
  <c r="V81" i="1"/>
  <c r="U81" i="1"/>
  <c r="T81" i="1"/>
  <c r="S81" i="1"/>
  <c r="T80" i="1"/>
  <c r="S80" i="1"/>
  <c r="V80" i="1" s="1"/>
  <c r="V79" i="1"/>
  <c r="U79" i="1"/>
  <c r="T79" i="1"/>
  <c r="S79" i="1"/>
  <c r="T78" i="1"/>
  <c r="S78" i="1"/>
  <c r="U78" i="1" s="1"/>
  <c r="V77" i="1"/>
  <c r="U77" i="1"/>
  <c r="T77" i="1"/>
  <c r="S77" i="1"/>
  <c r="T76" i="1"/>
  <c r="S76" i="1"/>
  <c r="U76" i="1" s="1"/>
  <c r="V75" i="1"/>
  <c r="U75" i="1"/>
  <c r="T75" i="1"/>
  <c r="S75" i="1"/>
  <c r="T74" i="1"/>
  <c r="T89" i="1" s="1"/>
  <c r="S74" i="1"/>
  <c r="S89" i="1" s="1"/>
  <c r="U89" i="1" s="1"/>
  <c r="R71" i="1"/>
  <c r="Q71" i="1"/>
  <c r="P71" i="1"/>
  <c r="O71" i="1"/>
  <c r="N71" i="1"/>
  <c r="M71" i="1"/>
  <c r="L71" i="1"/>
  <c r="K71" i="1"/>
  <c r="J71" i="1"/>
  <c r="I71" i="1"/>
  <c r="H71" i="1"/>
  <c r="G71" i="1"/>
  <c r="V70" i="1"/>
  <c r="U70" i="1"/>
  <c r="T70" i="1"/>
  <c r="S70" i="1"/>
  <c r="T69" i="1"/>
  <c r="S69" i="1"/>
  <c r="V69" i="1" s="1"/>
  <c r="V68" i="1"/>
  <c r="U68" i="1"/>
  <c r="T68" i="1"/>
  <c r="S68" i="1"/>
  <c r="T67" i="1"/>
  <c r="S67" i="1"/>
  <c r="V67" i="1" s="1"/>
  <c r="V66" i="1"/>
  <c r="U66" i="1"/>
  <c r="T66" i="1"/>
  <c r="S66" i="1"/>
  <c r="T65" i="1"/>
  <c r="S65" i="1"/>
  <c r="U65" i="1" s="1"/>
  <c r="V64" i="1"/>
  <c r="U64" i="1"/>
  <c r="T64" i="1"/>
  <c r="S64" i="1"/>
  <c r="T63" i="1"/>
  <c r="S63" i="1"/>
  <c r="U63" i="1" s="1"/>
  <c r="V62" i="1"/>
  <c r="U62" i="1"/>
  <c r="T62" i="1"/>
  <c r="S62" i="1"/>
  <c r="T61" i="1"/>
  <c r="T71" i="1" s="1"/>
  <c r="S61" i="1"/>
  <c r="V61" i="1" s="1"/>
  <c r="R57" i="1"/>
  <c r="Q57" i="1"/>
  <c r="P57" i="1"/>
  <c r="O57" i="1"/>
  <c r="N57" i="1"/>
  <c r="M57" i="1"/>
  <c r="L57" i="1"/>
  <c r="K57" i="1"/>
  <c r="J57" i="1"/>
  <c r="I57" i="1"/>
  <c r="H57" i="1"/>
  <c r="G57" i="1"/>
  <c r="V56" i="1"/>
  <c r="U56" i="1"/>
  <c r="T56" i="1"/>
  <c r="S56" i="1"/>
  <c r="T55" i="1"/>
  <c r="S55" i="1"/>
  <c r="U55" i="1" s="1"/>
  <c r="V54" i="1"/>
  <c r="U54" i="1"/>
  <c r="T54" i="1"/>
  <c r="S54" i="1"/>
  <c r="T53" i="1"/>
  <c r="T57" i="1" s="1"/>
  <c r="S53" i="1"/>
  <c r="S57" i="1" s="1"/>
  <c r="U57" i="1" s="1"/>
  <c r="R50" i="1"/>
  <c r="R58" i="1" s="1"/>
  <c r="Q50" i="1"/>
  <c r="Q58" i="1" s="1"/>
  <c r="P50" i="1"/>
  <c r="P58" i="1" s="1"/>
  <c r="O50" i="1"/>
  <c r="O58" i="1" s="1"/>
  <c r="N50" i="1"/>
  <c r="N58" i="1" s="1"/>
  <c r="M50" i="1"/>
  <c r="M58" i="1" s="1"/>
  <c r="L50" i="1"/>
  <c r="L58" i="1" s="1"/>
  <c r="K50" i="1"/>
  <c r="K58" i="1" s="1"/>
  <c r="J50" i="1"/>
  <c r="J58" i="1" s="1"/>
  <c r="I50" i="1"/>
  <c r="I58" i="1" s="1"/>
  <c r="H50" i="1"/>
  <c r="H58" i="1" s="1"/>
  <c r="G50" i="1"/>
  <c r="G58" i="1" s="1"/>
  <c r="V49" i="1"/>
  <c r="U49" i="1"/>
  <c r="T49" i="1"/>
  <c r="S49" i="1"/>
  <c r="T48" i="1"/>
  <c r="S48" i="1"/>
  <c r="V48" i="1" s="1"/>
  <c r="V47" i="1"/>
  <c r="U47" i="1"/>
  <c r="T47" i="1"/>
  <c r="S47" i="1"/>
  <c r="T46" i="1"/>
  <c r="T50" i="1" s="1"/>
  <c r="T58" i="1" s="1"/>
  <c r="S46" i="1"/>
  <c r="U46" i="1" s="1"/>
  <c r="R43" i="1"/>
  <c r="Q43" i="1"/>
  <c r="P43" i="1"/>
  <c r="O43" i="1"/>
  <c r="N43" i="1"/>
  <c r="M43" i="1"/>
  <c r="L43" i="1"/>
  <c r="K43" i="1"/>
  <c r="J43" i="1"/>
  <c r="I43" i="1"/>
  <c r="H43" i="1"/>
  <c r="G43" i="1"/>
  <c r="V42" i="1"/>
  <c r="U42" i="1"/>
  <c r="T42" i="1"/>
  <c r="S42" i="1"/>
  <c r="T41" i="1"/>
  <c r="S41" i="1"/>
  <c r="U41" i="1" s="1"/>
  <c r="V40" i="1"/>
  <c r="U40" i="1"/>
  <c r="T40" i="1"/>
  <c r="S40" i="1"/>
  <c r="T39" i="1"/>
  <c r="S39" i="1"/>
  <c r="U39" i="1" s="1"/>
  <c r="V38" i="1"/>
  <c r="U38" i="1"/>
  <c r="T38" i="1"/>
  <c r="S38" i="1"/>
  <c r="T37" i="1"/>
  <c r="S37" i="1"/>
  <c r="V37" i="1" s="1"/>
  <c r="V36" i="1"/>
  <c r="U36" i="1"/>
  <c r="T36" i="1"/>
  <c r="S36" i="1"/>
  <c r="T35" i="1"/>
  <c r="T43" i="1" s="1"/>
  <c r="S35" i="1"/>
  <c r="V35" i="1" s="1"/>
  <c r="R32" i="1"/>
  <c r="Q32" i="1"/>
  <c r="Q44" i="1" s="1"/>
  <c r="P32" i="1"/>
  <c r="P44" i="1" s="1"/>
  <c r="P90" i="1" s="1"/>
  <c r="O32" i="1"/>
  <c r="O44" i="1" s="1"/>
  <c r="O90" i="1" s="1"/>
  <c r="N32" i="1"/>
  <c r="N44" i="1" s="1"/>
  <c r="N90" i="1" s="1"/>
  <c r="M32" i="1"/>
  <c r="L32" i="1"/>
  <c r="K32" i="1"/>
  <c r="J32" i="1"/>
  <c r="I32" i="1"/>
  <c r="I44" i="1" s="1"/>
  <c r="H32" i="1"/>
  <c r="H44" i="1" s="1"/>
  <c r="H90" i="1" s="1"/>
  <c r="G32" i="1"/>
  <c r="G44" i="1" s="1"/>
  <c r="G90" i="1" s="1"/>
  <c r="V31" i="1"/>
  <c r="U31" i="1"/>
  <c r="T31" i="1"/>
  <c r="S31" i="1"/>
  <c r="T30" i="1"/>
  <c r="S30" i="1"/>
  <c r="U30" i="1" s="1"/>
  <c r="V29" i="1"/>
  <c r="U29" i="1"/>
  <c r="T29" i="1"/>
  <c r="S29" i="1"/>
  <c r="T28" i="1"/>
  <c r="S28" i="1"/>
  <c r="U28" i="1" s="1"/>
  <c r="V27" i="1"/>
  <c r="U27" i="1"/>
  <c r="T27" i="1"/>
  <c r="T32" i="1" s="1"/>
  <c r="S27" i="1"/>
  <c r="S32" i="1" s="1"/>
  <c r="U32" i="1" s="1"/>
  <c r="R24" i="1"/>
  <c r="Q24" i="1"/>
  <c r="P24" i="1"/>
  <c r="O24" i="1"/>
  <c r="N24" i="1"/>
  <c r="M24" i="1"/>
  <c r="L24" i="1"/>
  <c r="K24" i="1"/>
  <c r="J24" i="1"/>
  <c r="I24" i="1"/>
  <c r="H24" i="1"/>
  <c r="G24" i="1"/>
  <c r="T23" i="1"/>
  <c r="S23" i="1"/>
  <c r="V23" i="1" s="1"/>
  <c r="V22" i="1"/>
  <c r="U22" i="1"/>
  <c r="T22" i="1"/>
  <c r="S22" i="1"/>
  <c r="T21" i="1"/>
  <c r="S21" i="1"/>
  <c r="U21" i="1" s="1"/>
  <c r="V20" i="1"/>
  <c r="U20" i="1"/>
  <c r="T20" i="1"/>
  <c r="S20" i="1"/>
  <c r="T19" i="1"/>
  <c r="T24" i="1" s="1"/>
  <c r="S19" i="1"/>
  <c r="S24" i="1" s="1"/>
  <c r="U24" i="1" s="1"/>
  <c r="V18" i="1"/>
  <c r="U18" i="1"/>
  <c r="T18" i="1"/>
  <c r="S18" i="1"/>
  <c r="R15" i="1"/>
  <c r="R44" i="1" s="1"/>
  <c r="R90" i="1" s="1"/>
  <c r="Q15" i="1"/>
  <c r="P15" i="1"/>
  <c r="O15" i="1"/>
  <c r="N15" i="1"/>
  <c r="M15" i="1"/>
  <c r="M44" i="1" s="1"/>
  <c r="M90" i="1" s="1"/>
  <c r="C133" i="1" s="1"/>
  <c r="L15" i="1"/>
  <c r="L44" i="1" s="1"/>
  <c r="K15" i="1"/>
  <c r="K44" i="1" s="1"/>
  <c r="J15" i="1"/>
  <c r="J44" i="1" s="1"/>
  <c r="J90" i="1" s="1"/>
  <c r="I15" i="1"/>
  <c r="H15" i="1"/>
  <c r="G15" i="1"/>
  <c r="T14" i="1"/>
  <c r="S14" i="1"/>
  <c r="U14" i="1" s="1"/>
  <c r="V13" i="1"/>
  <c r="U13" i="1"/>
  <c r="T13" i="1"/>
  <c r="S13" i="1"/>
  <c r="T12" i="1"/>
  <c r="S12" i="1"/>
  <c r="V12" i="1" s="1"/>
  <c r="V11" i="1"/>
  <c r="U11" i="1"/>
  <c r="T11" i="1"/>
  <c r="S11" i="1"/>
  <c r="T10" i="1"/>
  <c r="S10" i="1"/>
  <c r="U10" i="1" s="1"/>
  <c r="V9" i="1"/>
  <c r="U9" i="1"/>
  <c r="T9" i="1"/>
  <c r="S9" i="1"/>
  <c r="T8" i="1"/>
  <c r="T15" i="1" s="1"/>
  <c r="S8" i="1"/>
  <c r="U8" i="1" s="1"/>
  <c r="C161" i="2" l="1"/>
  <c r="V37" i="2"/>
  <c r="U51" i="2"/>
  <c r="C131" i="2"/>
  <c r="T38" i="2"/>
  <c r="T93" i="2" s="1"/>
  <c r="C143" i="2"/>
  <c r="C137" i="2"/>
  <c r="V26" i="2"/>
  <c r="V44" i="2"/>
  <c r="V51" i="2"/>
  <c r="C101" i="2"/>
  <c r="C149" i="2"/>
  <c r="V92" i="2"/>
  <c r="C113" i="2"/>
  <c r="C119" i="2"/>
  <c r="C167" i="2"/>
  <c r="S15" i="2"/>
  <c r="S44" i="2"/>
  <c r="S74" i="2"/>
  <c r="U74" i="2" s="1"/>
  <c r="U12" i="2"/>
  <c r="U19" i="2"/>
  <c r="U25" i="2"/>
  <c r="U30" i="2"/>
  <c r="U32" i="2"/>
  <c r="U36" i="2"/>
  <c r="U41" i="2"/>
  <c r="U43" i="2"/>
  <c r="U48" i="2"/>
  <c r="U50" i="2"/>
  <c r="U55" i="2"/>
  <c r="U57" i="2"/>
  <c r="U63" i="2"/>
  <c r="U65" i="2"/>
  <c r="U67" i="2"/>
  <c r="U69" i="2"/>
  <c r="U71" i="2"/>
  <c r="U73" i="2"/>
  <c r="U78" i="2"/>
  <c r="U80" i="2"/>
  <c r="U82" i="2"/>
  <c r="U84" i="2"/>
  <c r="U86" i="2"/>
  <c r="U88" i="2"/>
  <c r="U90" i="2"/>
  <c r="S26" i="2"/>
  <c r="U26" i="2" s="1"/>
  <c r="S37" i="2"/>
  <c r="U37" i="2" s="1"/>
  <c r="U10" i="2"/>
  <c r="U23" i="2"/>
  <c r="V8" i="2"/>
  <c r="V14" i="2"/>
  <c r="V21" i="2"/>
  <c r="V34" i="2"/>
  <c r="C140" i="1"/>
  <c r="K90" i="1"/>
  <c r="C147" i="1" s="1"/>
  <c r="Q90" i="1"/>
  <c r="C105" i="1" s="1"/>
  <c r="C98" i="1"/>
  <c r="C154" i="1"/>
  <c r="I90" i="1"/>
  <c r="C161" i="1" s="1"/>
  <c r="T44" i="1"/>
  <c r="T90" i="1" s="1"/>
  <c r="L90" i="1"/>
  <c r="C168" i="1"/>
  <c r="C119" i="1"/>
  <c r="C175" i="1"/>
  <c r="U37" i="1"/>
  <c r="U48" i="1"/>
  <c r="U53" i="1"/>
  <c r="U61" i="1"/>
  <c r="U67" i="1"/>
  <c r="U69" i="1"/>
  <c r="U74" i="1"/>
  <c r="U80" i="1"/>
  <c r="U86" i="1"/>
  <c r="V8" i="1"/>
  <c r="V15" i="1" s="1"/>
  <c r="V21" i="1"/>
  <c r="V30" i="1"/>
  <c r="V32" i="1" s="1"/>
  <c r="V39" i="1"/>
  <c r="V41" i="1"/>
  <c r="V43" i="1" s="1"/>
  <c r="V46" i="1"/>
  <c r="V50" i="1" s="1"/>
  <c r="V53" i="1"/>
  <c r="V55" i="1"/>
  <c r="V63" i="1"/>
  <c r="V71" i="1" s="1"/>
  <c r="V65" i="1"/>
  <c r="V74" i="1"/>
  <c r="V76" i="1"/>
  <c r="V78" i="1"/>
  <c r="V82" i="1"/>
  <c r="V84" i="1"/>
  <c r="V88" i="1"/>
  <c r="S43" i="1"/>
  <c r="U43" i="1" s="1"/>
  <c r="S50" i="1"/>
  <c r="S71" i="1"/>
  <c r="U71" i="1" s="1"/>
  <c r="S15" i="1"/>
  <c r="U12" i="1"/>
  <c r="U35" i="1"/>
  <c r="V10" i="1"/>
  <c r="V14" i="1"/>
  <c r="V19" i="1"/>
  <c r="V24" i="1" s="1"/>
  <c r="V28" i="1"/>
  <c r="U19" i="1"/>
  <c r="U23" i="1"/>
  <c r="V15" i="2" l="1"/>
  <c r="V38" i="2" s="1"/>
  <c r="V93" i="2" s="1"/>
  <c r="U15" i="2"/>
  <c r="S38" i="2"/>
  <c r="S60" i="2"/>
  <c r="U60" i="2" s="1"/>
  <c r="U44" i="2"/>
  <c r="V60" i="2"/>
  <c r="V44" i="1"/>
  <c r="V57" i="1"/>
  <c r="V58" i="1" s="1"/>
  <c r="U15" i="1"/>
  <c r="S44" i="1"/>
  <c r="V89" i="1"/>
  <c r="U50" i="1"/>
  <c r="S58" i="1"/>
  <c r="U58" i="1" s="1"/>
  <c r="S93" i="2" l="1"/>
  <c r="U93" i="2" s="1"/>
  <c r="U38" i="2"/>
  <c r="V90" i="1"/>
  <c r="S90" i="1"/>
  <c r="U90" i="1" s="1"/>
  <c r="U44" i="1"/>
</calcChain>
</file>

<file path=xl/sharedStrings.xml><?xml version="1.0" encoding="utf-8"?>
<sst xmlns="http://schemas.openxmlformats.org/spreadsheetml/2006/main" count="856" uniqueCount="203">
  <si>
    <t>REALISASI PEMASARAN DAERAH</t>
  </si>
  <si>
    <t>BULAN DESEMBER  2021</t>
  </si>
  <si>
    <t>No</t>
  </si>
  <si>
    <t>Pemasaran Daerah</t>
  </si>
  <si>
    <t>Wilayah</t>
  </si>
  <si>
    <t>Fasilitas</t>
  </si>
  <si>
    <t>REALISASI</t>
  </si>
  <si>
    <t>TOTAL</t>
  </si>
  <si>
    <t>Target</t>
  </si>
  <si>
    <t>% vs Target</t>
  </si>
  <si>
    <t>RATA RATA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</si>
  <si>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</si>
  <si>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</si>
  <si>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</si>
  <si>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</si>
  <si>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</si>
  <si>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</si>
  <si>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</si>
  <si>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</si>
  <si>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</si>
  <si>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</si>
  <si>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</si>
  <si>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</si>
  <si>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Asist. Korwil</t>
  </si>
  <si>
    <t>: Eleaser</t>
  </si>
  <si>
    <t>Sulawesi Barat</t>
  </si>
  <si>
    <t>Mobil 1 Unit</t>
  </si>
  <si>
    <t xml:space="preserve">Anggota </t>
  </si>
  <si>
    <t>: Valdi Arnada</t>
  </si>
  <si>
    <t>Donggala</t>
  </si>
  <si>
    <t>Motor 1 Unit</t>
  </si>
  <si>
    <t>: Riswandi</t>
  </si>
  <si>
    <t>Mamuju</t>
  </si>
  <si>
    <t>: Putra Jaya Sasmita</t>
  </si>
  <si>
    <t xml:space="preserve"> </t>
  </si>
  <si>
    <t>Mamuju Utara</t>
  </si>
  <si>
    <t>Mamuju Tengah</t>
  </si>
  <si>
    <t>Polman</t>
  </si>
  <si>
    <t>Pinrang</t>
  </si>
  <si>
    <t>Majene</t>
  </si>
  <si>
    <t>: Fachruddin</t>
  </si>
  <si>
    <t>Sulawesi Tengah</t>
  </si>
  <si>
    <t>: Arifin</t>
  </si>
  <si>
    <t>Parigi</t>
  </si>
  <si>
    <t>: Syahrun Nuzul K</t>
  </si>
  <si>
    <t>Moutong</t>
  </si>
  <si>
    <t>Toli Toli</t>
  </si>
  <si>
    <t>Gorontalo</t>
  </si>
  <si>
    <t>Palu</t>
  </si>
  <si>
    <t>Poso</t>
  </si>
  <si>
    <t>: Yusri Suhaeri</t>
  </si>
  <si>
    <t>Luwu Raya</t>
  </si>
  <si>
    <t>: Abd Malik S</t>
  </si>
  <si>
    <t>Luwu Utara</t>
  </si>
  <si>
    <t>Luwu Timur</t>
  </si>
  <si>
    <t>Luwu</t>
  </si>
  <si>
    <t>Palopo</t>
  </si>
  <si>
    <t>Morowali</t>
  </si>
  <si>
    <t>: Ahmad Muhammad</t>
  </si>
  <si>
    <t>Sulawesi Tenggara</t>
  </si>
  <si>
    <t>: Munandar</t>
  </si>
  <si>
    <t>Kolaka Utara</t>
  </si>
  <si>
    <t xml:space="preserve">  Hardiansyah</t>
  </si>
  <si>
    <t>Kolaka Kota</t>
  </si>
  <si>
    <t xml:space="preserve">  Zaenul</t>
  </si>
  <si>
    <t xml:space="preserve">Bombana </t>
  </si>
  <si>
    <t>Kendari</t>
  </si>
  <si>
    <t>Konawe Selatan</t>
  </si>
  <si>
    <t>Konawe Utara</t>
  </si>
  <si>
    <t xml:space="preserve">Raha </t>
  </si>
  <si>
    <t>Buton</t>
  </si>
  <si>
    <t>: Wahyudi</t>
  </si>
  <si>
    <t>Wilayah II</t>
  </si>
  <si>
    <t>: Syahrul Usman</t>
  </si>
  <si>
    <t>Pare Pare</t>
  </si>
  <si>
    <t>Barru</t>
  </si>
  <si>
    <t xml:space="preserve">Pangkep </t>
  </si>
  <si>
    <t>Maros</t>
  </si>
  <si>
    <t>: Sam Nugraha Kinas</t>
  </si>
  <si>
    <t>: Wawan Gunawan</t>
  </si>
  <si>
    <t>Wajo</t>
  </si>
  <si>
    <t>Bone</t>
  </si>
  <si>
    <t>Sinjai</t>
  </si>
  <si>
    <t>Bulukumba/Selayar/Bantaeng</t>
  </si>
  <si>
    <t>Tambak Intensif</t>
  </si>
  <si>
    <t>Takalar (Intensif)</t>
  </si>
  <si>
    <t>Bulukumba (Intensif)</t>
  </si>
  <si>
    <t>Jeneponto</t>
  </si>
  <si>
    <t>Parigi (Intens)</t>
  </si>
  <si>
    <t>Lingadan (Intens)</t>
  </si>
  <si>
    <t>Sinay, Parigi (Intens)</t>
  </si>
  <si>
    <t>Jalang'E (Petak 7, 8 9)</t>
  </si>
  <si>
    <t>Jalang'E (Petak 3)</t>
  </si>
  <si>
    <t>Luwuk Banggai</t>
  </si>
  <si>
    <t>Makassar</t>
  </si>
  <si>
    <t>ANTAR PULAU</t>
  </si>
  <si>
    <t>Yogyakarta</t>
  </si>
  <si>
    <t>Ternate</t>
  </si>
  <si>
    <t>Gresik</t>
  </si>
  <si>
    <t>Sumbawa/ Lombok</t>
  </si>
  <si>
    <t>Tuban/Surabaya</t>
  </si>
  <si>
    <t>Berau, Kal. Utara</t>
  </si>
  <si>
    <t>Tarakan/Nunukan, Kalut</t>
  </si>
  <si>
    <t>Pontianak, Kalbar</t>
  </si>
  <si>
    <t>Balikpapan/Samarinda, Kaltim</t>
  </si>
  <si>
    <t>Batu Licin, Kalsel</t>
  </si>
  <si>
    <t>Semarang</t>
  </si>
  <si>
    <t>Papua/ Jaya Pura</t>
  </si>
  <si>
    <t>Pangkal Pinang</t>
  </si>
  <si>
    <t>Bengkulu/ Bengkalis</t>
  </si>
  <si>
    <t>Manado</t>
  </si>
  <si>
    <t>Jalang'E, 02 Januari 2022</t>
  </si>
  <si>
    <t>Penjualan per 01 s/d 31 Desember 2021</t>
  </si>
  <si>
    <t>Jumlah</t>
  </si>
  <si>
    <t>Cash Back</t>
  </si>
  <si>
    <t>Penjualan per 01 s/d 30 November 2021</t>
  </si>
  <si>
    <t>Penjualan per 01 s/d 31 Oktober 2021</t>
  </si>
  <si>
    <t>Penjualan per 01 s/d 30 September 2021</t>
  </si>
  <si>
    <t>Penjualan per 01 s/d 31 Agustus 2021</t>
  </si>
  <si>
    <t>Penjualan per 01 s/d 31 Juli 2021</t>
  </si>
  <si>
    <t>Penjualan per 01 s/d 30 Juni 2021</t>
  </si>
  <si>
    <t>Penjualan per 01 s/d 31 Mei 2021</t>
  </si>
  <si>
    <t>Penjualan per 01 s/d 30 April 2021</t>
  </si>
  <si>
    <t>Penjualan per 01 s/d 31 Maret 2021</t>
  </si>
  <si>
    <t>Penjualan per 01 s/d 28 Februari 2021</t>
  </si>
  <si>
    <t>Penjualan per 01 s/d 31 Januari 2021</t>
  </si>
  <si>
    <t>BULAN DESEMBER 2022</t>
  </si>
  <si>
    <t>Buol</t>
  </si>
  <si>
    <t>Dampal (Intens)</t>
  </si>
  <si>
    <t>Donggulu (Intens)</t>
  </si>
  <si>
    <t>Penjualan per 01 s/d 31 Desember 2022</t>
  </si>
  <si>
    <t>Penjualan per 01 s/d 30 November 2022</t>
  </si>
  <si>
    <t>Penjualan per 01 s/d 31 Oktober 2022</t>
  </si>
  <si>
    <t>Penjualan per 01 s/d 30 September 2022</t>
  </si>
  <si>
    <t>Penjualan per 01 s/d 31 Agustus 2022</t>
  </si>
  <si>
    <t>Penjualan per 01 s/d 31 Juli 2022</t>
  </si>
  <si>
    <t>Penjualan per 01 s/d 30 Juni 2022</t>
  </si>
  <si>
    <t>Penjualan per 01 s/d 31 Mei 2022</t>
  </si>
  <si>
    <t>Penjualan per 01 s/d 30 April 2022</t>
  </si>
  <si>
    <t>Penjualan per 01 s/d 31 Maret 2022</t>
  </si>
  <si>
    <t>Penjualan per 01 s/d 28 Februari 2022</t>
  </si>
  <si>
    <t>Penjualan per 01 s/d 31 Januari 2022</t>
  </si>
  <si>
    <t>BULAN JANUARI S/D DESEMBER 2020</t>
  </si>
  <si>
    <t xml:space="preserve">Februari </t>
  </si>
  <si>
    <t>Sulawesi Tengah/ Gorontalo</t>
  </si>
  <si>
    <t xml:space="preserve">  Syahrun Nuzul K</t>
  </si>
  <si>
    <t>Parigi (Intensif)</t>
  </si>
  <si>
    <t xml:space="preserve">  Hardyansyah</t>
  </si>
  <si>
    <t>Jalang'E, 02 Januari 2020</t>
  </si>
  <si>
    <t>Penjualan per 01 s/d 31 Desember 2020</t>
  </si>
  <si>
    <t>Penjualan per 01 s/d 30 November 2020</t>
  </si>
  <si>
    <t>Penjualan per 01 s/d 31 Oktober 2020</t>
  </si>
  <si>
    <t>Penjualan per 01 s/d 30 September 2020</t>
  </si>
  <si>
    <t>Penjualan per 01 s/d 31 Agustus 2020</t>
  </si>
  <si>
    <t>Penjualan per 01 s/d 31 Juli 2020</t>
  </si>
  <si>
    <t>Penjualan per 01 s/d 30 Juni 2020</t>
  </si>
  <si>
    <t>Penjualan per 01 s/d 31 Mei 2020</t>
  </si>
  <si>
    <t>Penjualan per 01 s/d 30 April 2020</t>
  </si>
  <si>
    <t>Penjualan per 01 s/d 31 Maret 2020</t>
  </si>
  <si>
    <t>Penjualan per 01 s/d 29 Februari 2020</t>
  </si>
  <si>
    <t>Penjualan per 01 s/d 31 Januari 2020</t>
  </si>
  <si>
    <t>BULAN DESEMBER 2023</t>
  </si>
  <si>
    <t>: Hasrul Hasan</t>
  </si>
  <si>
    <t>: Hardiansyah</t>
  </si>
  <si>
    <t>: Syahrun Nuzul Kiraah</t>
  </si>
  <si>
    <t>: Syamsu Alam</t>
  </si>
  <si>
    <t>: Zaenul</t>
  </si>
  <si>
    <t>Luwuk Banggai (Intensif)</t>
  </si>
  <si>
    <t>Donggulu 1</t>
  </si>
  <si>
    <t>Donggulu 2</t>
  </si>
  <si>
    <t>Lingadan AB</t>
  </si>
  <si>
    <t>Lingadan A Masyarakat</t>
  </si>
  <si>
    <t>Lingadan B Masyarakat</t>
  </si>
  <si>
    <t>Lingadan C Perusahaan</t>
  </si>
  <si>
    <t>Lingadan D Perusahaan</t>
  </si>
  <si>
    <t xml:space="preserve">Tomoli, Parigi </t>
  </si>
  <si>
    <t>Siney, Parigi</t>
  </si>
  <si>
    <t xml:space="preserve">Bambapula 1, Dampal </t>
  </si>
  <si>
    <t>Lado ABCD, Parigi</t>
  </si>
  <si>
    <t>Babanji ABCD, Dampal</t>
  </si>
  <si>
    <t xml:space="preserve">Bambapula 2, Dampal </t>
  </si>
  <si>
    <t>Lombonga, Donggala</t>
  </si>
  <si>
    <t>Penjualan per 01 s/d 30 November 2023</t>
  </si>
  <si>
    <t>Penjualan per 01 s/d 31 Oktober 2023</t>
  </si>
  <si>
    <t>Penjualan per 01 s/d 30 September 2023</t>
  </si>
  <si>
    <t>Penjualan per 01 s/d 31 Agustus 2023</t>
  </si>
  <si>
    <t>Penjualan per 01 s/d 31 Juli 2023</t>
  </si>
  <si>
    <t>Penjualan per 01 s/d 30 Juni 2023</t>
  </si>
  <si>
    <t>Penjualan per 01 s/d 31 Mei 2023</t>
  </si>
  <si>
    <t>Penjualan per 01 s/d 30 April 2023</t>
  </si>
  <si>
    <t>Penjualan per 01 s/d 31 Maret 2023</t>
  </si>
  <si>
    <t>Penjualan per 01 s/d 28 Februari 2023</t>
  </si>
  <si>
    <t>Penjualan per 01 s/d 31 Januari 2023</t>
  </si>
  <si>
    <t>REALISASI PEMASARAN DAERAH (Budget 230)</t>
  </si>
  <si>
    <t>BULAN DESEMBER 2024</t>
  </si>
  <si>
    <t>Korwil</t>
  </si>
  <si>
    <t>: Ismed Akhdiat</t>
  </si>
  <si>
    <t>Luwu Raya 1</t>
  </si>
  <si>
    <t>Luwu Raya 2</t>
  </si>
  <si>
    <t>Tambak Intensif Luar</t>
  </si>
  <si>
    <t>Tambak Intensif Perusahaan</t>
  </si>
  <si>
    <t>Lingadan Perusahaan</t>
  </si>
  <si>
    <t>Lingadan Masyarakat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</si>
</sst>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B0F0"/>
      <name val="Calibri"/>
      <family val="2"/>
      <scheme val="minor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</cellStyleXfs>
  <cellXfs count="52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1" fontId="4" fillId="0" borderId="0" xfId="0" applyNumberFormat="1" applyFont="1"/>
    <xf numFmtId="10" fontId="4" fillId="0" borderId="0" xfId="3" applyNumberFormat="1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0" fontId="5" fillId="3" borderId="8" xfId="3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0" fontId="5" fillId="3" borderId="14" xfId="3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41" fontId="4" fillId="0" borderId="17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3" borderId="22" xfId="0" applyFont="1" applyFill="1" applyBorder="1"/>
    <xf numFmtId="10" fontId="4" fillId="3" borderId="22" xfId="3" applyNumberFormat="1" applyFont="1" applyFill="1" applyBorder="1"/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/>
    <xf numFmtId="41" fontId="4" fillId="0" borderId="25" xfId="0" applyNumberFormat="1" applyFont="1" applyBorder="1"/>
    <xf numFmtId="0" fontId="5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3" borderId="28" xfId="0" applyFont="1" applyFill="1" applyBorder="1"/>
    <xf numFmtId="10" fontId="4" fillId="3" borderId="28" xfId="3" applyNumberFormat="1" applyFont="1" applyFill="1" applyBorder="1"/>
    <xf numFmtId="41" fontId="4" fillId="0" borderId="27" xfId="2" applyFont="1" applyBorder="1"/>
    <xf numFmtId="41" fontId="4" fillId="0" borderId="26" xfId="2" applyFont="1" applyBorder="1"/>
    <xf numFmtId="41" fontId="4" fillId="0" borderId="24" xfId="2" applyFont="1" applyBorder="1"/>
    <xf numFmtId="164" fontId="4" fillId="3" borderId="28" xfId="0" applyNumberFormat="1" applyFont="1" applyFill="1" applyBorder="1"/>
    <xf numFmtId="165" fontId="4" fillId="3" borderId="28" xfId="0" applyNumberFormat="1" applyFont="1" applyFill="1" applyBorder="1"/>
    <xf numFmtId="41" fontId="4" fillId="0" borderId="19" xfId="2" applyFont="1" applyBorder="1"/>
    <xf numFmtId="164" fontId="4" fillId="3" borderId="22" xfId="0" applyNumberFormat="1" applyFont="1" applyFill="1" applyBorder="1"/>
    <xf numFmtId="164" fontId="4" fillId="0" borderId="27" xfId="2" applyNumberFormat="1" applyFont="1" applyBorder="1"/>
    <xf numFmtId="164" fontId="4" fillId="0" borderId="26" xfId="2" applyNumberFormat="1" applyFont="1" applyBorder="1"/>
    <xf numFmtId="164" fontId="4" fillId="0" borderId="24" xfId="2" applyNumberFormat="1" applyFont="1" applyBorder="1"/>
    <xf numFmtId="0" fontId="5" fillId="4" borderId="29" xfId="0" applyFont="1" applyFill="1" applyBorder="1" applyAlignment="1">
      <alignment horizontal="center" vertical="center"/>
    </xf>
    <xf numFmtId="0" fontId="5" fillId="4" borderId="5" xfId="0" applyFont="1" applyFill="1" applyBorder="1"/>
    <xf numFmtId="41" fontId="5" fillId="4" borderId="30" xfId="0" applyNumberFormat="1" applyFont="1" applyFill="1" applyBorder="1"/>
    <xf numFmtId="0" fontId="5" fillId="4" borderId="30" xfId="0" applyFont="1" applyFill="1" applyBorder="1"/>
    <xf numFmtId="0" fontId="5" fillId="4" borderId="6" xfId="0" applyFont="1" applyFill="1" applyBorder="1"/>
    <xf numFmtId="164" fontId="5" fillId="4" borderId="31" xfId="2" applyNumberFormat="1" applyFont="1" applyFill="1" applyBorder="1"/>
    <xf numFmtId="164" fontId="5" fillId="4" borderId="6" xfId="2" applyNumberFormat="1" applyFont="1" applyFill="1" applyBorder="1"/>
    <xf numFmtId="164" fontId="5" fillId="4" borderId="32" xfId="0" applyNumberFormat="1" applyFont="1" applyFill="1" applyBorder="1"/>
    <xf numFmtId="10" fontId="5" fillId="4" borderId="32" xfId="3" applyNumberFormat="1" applyFont="1" applyFill="1" applyBorder="1"/>
    <xf numFmtId="165" fontId="5" fillId="4" borderId="32" xfId="0" applyNumberFormat="1" applyFont="1" applyFill="1" applyBorder="1"/>
    <xf numFmtId="0" fontId="2" fillId="0" borderId="0" xfId="0" applyFont="1"/>
    <xf numFmtId="164" fontId="4" fillId="0" borderId="19" xfId="2" applyNumberFormat="1" applyFont="1" applyBorder="1"/>
    <xf numFmtId="164" fontId="4" fillId="0" borderId="18" xfId="2" applyNumberFormat="1" applyFont="1" applyBorder="1"/>
    <xf numFmtId="164" fontId="4" fillId="0" borderId="16" xfId="2" applyNumberFormat="1" applyFont="1" applyBorder="1"/>
    <xf numFmtId="41" fontId="7" fillId="0" borderId="27" xfId="2" applyFont="1" applyBorder="1"/>
    <xf numFmtId="41" fontId="4" fillId="0" borderId="25" xfId="2" applyFont="1" applyBorder="1"/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/>
    <xf numFmtId="41" fontId="4" fillId="0" borderId="35" xfId="0" applyNumberFormat="1" applyFont="1" applyBorder="1"/>
    <xf numFmtId="0" fontId="4" fillId="0" borderId="35" xfId="0" applyFont="1" applyBorder="1"/>
    <xf numFmtId="0" fontId="4" fillId="0" borderId="36" xfId="0" applyFont="1" applyBorder="1"/>
    <xf numFmtId="41" fontId="4" fillId="0" borderId="37" xfId="2" applyFont="1" applyBorder="1"/>
    <xf numFmtId="41" fontId="4" fillId="0" borderId="35" xfId="2" applyFont="1" applyBorder="1"/>
    <xf numFmtId="41" fontId="4" fillId="0" borderId="36" xfId="2" applyFont="1" applyBorder="1"/>
    <xf numFmtId="41" fontId="4" fillId="0" borderId="34" xfId="2" applyFont="1" applyBorder="1"/>
    <xf numFmtId="41" fontId="5" fillId="4" borderId="5" xfId="2" applyFont="1" applyFill="1" applyBorder="1"/>
    <xf numFmtId="41" fontId="5" fillId="4" borderId="31" xfId="2" applyFont="1" applyFill="1" applyBorder="1"/>
    <xf numFmtId="41" fontId="5" fillId="4" borderId="6" xfId="2" applyFont="1" applyFill="1" applyBorder="1"/>
    <xf numFmtId="41" fontId="4" fillId="0" borderId="17" xfId="2" applyFont="1" applyBorder="1"/>
    <xf numFmtId="41" fontId="4" fillId="0" borderId="18" xfId="2" applyFont="1" applyBorder="1"/>
    <xf numFmtId="41" fontId="4" fillId="0" borderId="16" xfId="2" applyFont="1" applyBorder="1"/>
    <xf numFmtId="0" fontId="8" fillId="0" borderId="26" xfId="0" applyFont="1" applyBorder="1"/>
    <xf numFmtId="164" fontId="4" fillId="0" borderId="37" xfId="2" applyNumberFormat="1" applyFont="1" applyBorder="1"/>
    <xf numFmtId="164" fontId="4" fillId="0" borderId="35" xfId="2" applyNumberFormat="1" applyFont="1" applyBorder="1"/>
    <xf numFmtId="164" fontId="4" fillId="0" borderId="36" xfId="2" applyNumberFormat="1" applyFont="1" applyBorder="1"/>
    <xf numFmtId="164" fontId="4" fillId="0" borderId="34" xfId="2" applyNumberFormat="1" applyFont="1" applyBorder="1"/>
    <xf numFmtId="164" fontId="5" fillId="4" borderId="31" xfId="0" applyNumberFormat="1" applyFont="1" applyFill="1" applyBorder="1"/>
    <xf numFmtId="164" fontId="5" fillId="4" borderId="6" xfId="0" applyNumberFormat="1" applyFont="1" applyFill="1" applyBorder="1"/>
    <xf numFmtId="41" fontId="5" fillId="4" borderId="32" xfId="2" applyFont="1" applyFill="1" applyBorder="1"/>
    <xf numFmtId="0" fontId="5" fillId="2" borderId="29" xfId="0" applyFont="1" applyFill="1" applyBorder="1" applyAlignment="1">
      <alignment horizontal="center" vertical="center"/>
    </xf>
    <xf numFmtId="0" fontId="5" fillId="2" borderId="5" xfId="0" applyFont="1" applyFill="1" applyBorder="1"/>
    <xf numFmtId="41" fontId="5" fillId="2" borderId="30" xfId="0" applyNumberFormat="1" applyFont="1" applyFill="1" applyBorder="1"/>
    <xf numFmtId="0" fontId="5" fillId="2" borderId="30" xfId="0" applyFont="1" applyFill="1" applyBorder="1"/>
    <xf numFmtId="0" fontId="5" fillId="2" borderId="6" xfId="0" applyFont="1" applyFill="1" applyBorder="1"/>
    <xf numFmtId="41" fontId="5" fillId="2" borderId="31" xfId="0" applyNumberFormat="1" applyFont="1" applyFill="1" applyBorder="1"/>
    <xf numFmtId="41" fontId="5" fillId="2" borderId="6" xfId="0" applyNumberFormat="1" applyFont="1" applyFill="1" applyBorder="1"/>
    <xf numFmtId="41" fontId="5" fillId="2" borderId="29" xfId="0" applyNumberFormat="1" applyFont="1" applyFill="1" applyBorder="1"/>
    <xf numFmtId="41" fontId="5" fillId="2" borderId="32" xfId="0" applyNumberFormat="1" applyFont="1" applyFill="1" applyBorder="1"/>
    <xf numFmtId="10" fontId="5" fillId="2" borderId="32" xfId="3" applyNumberFormat="1" applyFont="1" applyFill="1" applyBorder="1"/>
    <xf numFmtId="0" fontId="5" fillId="0" borderId="16" xfId="0" applyFont="1" applyBorder="1"/>
    <xf numFmtId="41" fontId="5" fillId="4" borderId="38" xfId="2" applyFont="1" applyFill="1" applyBorder="1"/>
    <xf numFmtId="0" fontId="0" fillId="0" borderId="24" xfId="0" applyBorder="1"/>
    <xf numFmtId="0" fontId="4" fillId="0" borderId="25" xfId="4" applyFont="1" applyBorder="1"/>
    <xf numFmtId="41" fontId="5" fillId="2" borderId="38" xfId="0" applyNumberFormat="1" applyFont="1" applyFill="1" applyBorder="1"/>
    <xf numFmtId="0" fontId="10" fillId="0" borderId="0" xfId="0" applyFont="1"/>
    <xf numFmtId="0" fontId="5" fillId="0" borderId="24" xfId="4" applyFont="1" applyBorder="1"/>
    <xf numFmtId="0" fontId="5" fillId="0" borderId="27" xfId="4" applyFont="1" applyBorder="1"/>
    <xf numFmtId="0" fontId="4" fillId="0" borderId="9" xfId="0" applyFont="1" applyBorder="1" applyAlignment="1">
      <alignment horizontal="center" vertical="center"/>
    </xf>
    <xf numFmtId="0" fontId="4" fillId="0" borderId="39" xfId="0" applyFont="1" applyBorder="1"/>
    <xf numFmtId="41" fontId="4" fillId="0" borderId="40" xfId="0" applyNumberFormat="1" applyFont="1" applyBorder="1"/>
    <xf numFmtId="0" fontId="4" fillId="0" borderId="40" xfId="4" applyFont="1" applyBorder="1"/>
    <xf numFmtId="0" fontId="4" fillId="0" borderId="41" xfId="0" applyFont="1" applyBorder="1"/>
    <xf numFmtId="41" fontId="4" fillId="0" borderId="40" xfId="2" applyFont="1" applyBorder="1"/>
    <xf numFmtId="41" fontId="4" fillId="0" borderId="39" xfId="2" applyFont="1" applyBorder="1"/>
    <xf numFmtId="164" fontId="5" fillId="2" borderId="42" xfId="0" applyNumberFormat="1" applyFont="1" applyFill="1" applyBorder="1"/>
    <xf numFmtId="164" fontId="5" fillId="2" borderId="38" xfId="0" applyNumberFormat="1" applyFont="1" applyFill="1" applyBorder="1"/>
    <xf numFmtId="164" fontId="5" fillId="2" borderId="29" xfId="0" applyNumberFormat="1" applyFont="1" applyFill="1" applyBorder="1"/>
    <xf numFmtId="41" fontId="5" fillId="4" borderId="6" xfId="0" applyNumberFormat="1" applyFont="1" applyFill="1" applyBorder="1"/>
    <xf numFmtId="164" fontId="5" fillId="4" borderId="42" xfId="0" applyNumberFormat="1" applyFont="1" applyFill="1" applyBorder="1"/>
    <xf numFmtId="10" fontId="5" fillId="4" borderId="38" xfId="3" applyNumberFormat="1" applyFont="1" applyFill="1" applyBorder="1"/>
    <xf numFmtId="0" fontId="0" fillId="0" borderId="0" xfId="0" applyAlignment="1">
      <alignment horizontal="center" vertical="center"/>
    </xf>
    <xf numFmtId="41" fontId="0" fillId="0" borderId="0" xfId="0" applyNumberFormat="1"/>
    <xf numFmtId="164" fontId="0" fillId="0" borderId="0" xfId="0" applyNumberFormat="1"/>
    <xf numFmtId="10" fontId="11" fillId="0" borderId="0" xfId="3" applyNumberFormat="1" applyFont="1" applyAlignment="1">
      <alignment horizontal="right"/>
    </xf>
    <xf numFmtId="0" fontId="12" fillId="0" borderId="0" xfId="0" applyFont="1"/>
    <xf numFmtId="10" fontId="11" fillId="0" borderId="0" xfId="3" applyNumberFormat="1" applyFont="1" applyAlignment="1">
      <alignment horizontal="right"/>
    </xf>
    <xf numFmtId="41" fontId="4" fillId="0" borderId="1" xfId="0" applyNumberFormat="1" applyFont="1" applyBorder="1"/>
    <xf numFmtId="41" fontId="5" fillId="0" borderId="0" xfId="0" applyNumberFormat="1" applyFont="1"/>
    <xf numFmtId="41" fontId="12" fillId="0" borderId="43" xfId="0" applyNumberFormat="1" applyFont="1" applyBorder="1"/>
    <xf numFmtId="10" fontId="0" fillId="0" borderId="0" xfId="3" applyNumberFormat="1" applyFont="1"/>
    <xf numFmtId="165" fontId="4" fillId="3" borderId="37" xfId="2" applyNumberFormat="1" applyFont="1" applyFill="1" applyBorder="1"/>
    <xf numFmtId="165" fontId="4" fillId="3" borderId="28" xfId="2" applyNumberFormat="1" applyFont="1" applyFill="1" applyBorder="1"/>
    <xf numFmtId="165" fontId="4" fillId="3" borderId="22" xfId="2" applyNumberFormat="1" applyFont="1" applyFill="1" applyBorder="1"/>
    <xf numFmtId="165" fontId="4" fillId="3" borderId="44" xfId="2" applyNumberFormat="1" applyFont="1" applyFill="1" applyBorder="1"/>
    <xf numFmtId="165" fontId="4" fillId="3" borderId="45" xfId="2" applyNumberFormat="1" applyFont="1" applyFill="1" applyBorder="1"/>
    <xf numFmtId="0" fontId="4" fillId="3" borderId="46" xfId="0" applyFont="1" applyFill="1" applyBorder="1"/>
    <xf numFmtId="41" fontId="8" fillId="0" borderId="27" xfId="2" applyFont="1" applyBorder="1"/>
    <xf numFmtId="41" fontId="4" fillId="3" borderId="28" xfId="0" applyNumberFormat="1" applyFont="1" applyFill="1" applyBorder="1" applyAlignment="1">
      <alignment horizontal="center"/>
    </xf>
    <xf numFmtId="41" fontId="4" fillId="3" borderId="22" xfId="0" applyNumberFormat="1" applyFont="1" applyFill="1" applyBorder="1" applyAlignment="1">
      <alignment horizontal="center"/>
    </xf>
    <xf numFmtId="41" fontId="4" fillId="3" borderId="44" xfId="0" applyNumberFormat="1" applyFont="1" applyFill="1" applyBorder="1" applyAlignment="1">
      <alignment horizontal="center"/>
    </xf>
    <xf numFmtId="41" fontId="4" fillId="3" borderId="45" xfId="0" applyNumberFormat="1" applyFont="1" applyFill="1" applyBorder="1" applyAlignment="1">
      <alignment horizontal="center"/>
    </xf>
    <xf numFmtId="164" fontId="5" fillId="3" borderId="32" xfId="0" applyNumberFormat="1" applyFont="1" applyFill="1" applyBorder="1"/>
    <xf numFmtId="41" fontId="4" fillId="3" borderId="47" xfId="0" applyNumberFormat="1" applyFont="1" applyFill="1" applyBorder="1" applyAlignment="1">
      <alignment horizontal="center"/>
    </xf>
    <xf numFmtId="0" fontId="4" fillId="3" borderId="48" xfId="0" applyFont="1" applyFill="1" applyBorder="1"/>
    <xf numFmtId="164" fontId="4" fillId="3" borderId="46" xfId="0" applyNumberFormat="1" applyFont="1" applyFill="1" applyBorder="1"/>
    <xf numFmtId="41" fontId="4" fillId="3" borderId="46" xfId="0" applyNumberFormat="1" applyFont="1" applyFill="1" applyBorder="1" applyAlignment="1">
      <alignment horizontal="center"/>
    </xf>
    <xf numFmtId="0" fontId="4" fillId="0" borderId="40" xfId="0" applyFont="1" applyBorder="1"/>
    <xf numFmtId="41" fontId="4" fillId="3" borderId="49" xfId="0" applyNumberFormat="1" applyFont="1" applyFill="1" applyBorder="1" applyAlignment="1">
      <alignment horizontal="center"/>
    </xf>
    <xf numFmtId="0" fontId="0" fillId="0" borderId="0" xfId="0"/>
    <xf numFmtId="0" fontId="5" fillId="0" borderId="27" xfId="4" applyFont="1" applyBorder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/>
    <xf numFmtId="10" fontId="4" fillId="0" borderId="0" xfId="3" applyNumberFormat="1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3" borderId="22" xfId="0" applyFont="1" applyFill="1" applyBorder="1"/>
    <xf numFmtId="10" fontId="4" fillId="3" borderId="22" xfId="3" applyNumberFormat="1" applyFont="1" applyFill="1" applyBorder="1"/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3" borderId="28" xfId="0" applyFont="1" applyFill="1" applyBorder="1"/>
    <xf numFmtId="10" fontId="4" fillId="3" borderId="28" xfId="3" applyNumberFormat="1" applyFont="1" applyFill="1" applyBorder="1"/>
    <xf numFmtId="41" fontId="4" fillId="0" borderId="27" xfId="2" applyFont="1" applyBorder="1"/>
    <xf numFmtId="164" fontId="4" fillId="3" borderId="28" xfId="0" applyNumberFormat="1" applyFont="1" applyFill="1" applyBorder="1"/>
    <xf numFmtId="165" fontId="4" fillId="3" borderId="28" xfId="0" applyNumberFormat="1" applyFont="1" applyFill="1" applyBorder="1"/>
    <xf numFmtId="164" fontId="4" fillId="0" borderId="27" xfId="2" applyNumberFormat="1" applyFont="1" applyBorder="1"/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164" fontId="4" fillId="0" borderId="37" xfId="2" applyNumberFormat="1" applyFont="1" applyBorder="1"/>
    <xf numFmtId="164" fontId="4" fillId="0" borderId="19" xfId="2" applyNumberFormat="1" applyFont="1" applyBorder="1"/>
    <xf numFmtId="41" fontId="4" fillId="0" borderId="37" xfId="2" applyFont="1" applyBorder="1"/>
    <xf numFmtId="41" fontId="4" fillId="0" borderId="19" xfId="2" applyFont="1" applyBorder="1"/>
    <xf numFmtId="0" fontId="8" fillId="0" borderId="26" xfId="0" applyFont="1" applyBorder="1"/>
    <xf numFmtId="0" fontId="4" fillId="3" borderId="51" xfId="0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21" xfId="0" applyFont="1" applyBorder="1"/>
    <xf numFmtId="0" fontId="4" fillId="0" borderId="50" xfId="0" applyFont="1" applyBorder="1"/>
    <xf numFmtId="0" fontId="4" fillId="0" borderId="4" xfId="0" applyFont="1" applyBorder="1"/>
    <xf numFmtId="10" fontId="4" fillId="3" borderId="48" xfId="3" applyNumberFormat="1" applyFont="1" applyFill="1" applyBorder="1"/>
    <xf numFmtId="0" fontId="4" fillId="0" borderId="9" xfId="0" applyFont="1" applyBorder="1" applyAlignment="1">
      <alignment horizontal="center" vertical="center"/>
    </xf>
    <xf numFmtId="0" fontId="4" fillId="0" borderId="39" xfId="0" applyFont="1" applyBorder="1"/>
    <xf numFmtId="0" fontId="4" fillId="0" borderId="41" xfId="0" applyFont="1" applyBorder="1"/>
    <xf numFmtId="165" fontId="4" fillId="3" borderId="46" xfId="0" applyNumberFormat="1" applyFont="1" applyFill="1" applyBorder="1"/>
    <xf numFmtId="0" fontId="5" fillId="0" borderId="24" xfId="0" applyFont="1" applyBorder="1"/>
    <xf numFmtId="0" fontId="5" fillId="0" borderId="16" xfId="0" applyFont="1" applyBorder="1"/>
    <xf numFmtId="164" fontId="4" fillId="3" borderId="22" xfId="0" applyNumberFormat="1" applyFont="1" applyFill="1" applyBorder="1"/>
    <xf numFmtId="0" fontId="4" fillId="0" borderId="20" xfId="0" applyFont="1" applyBorder="1"/>
    <xf numFmtId="0" fontId="4" fillId="3" borderId="48" xfId="0" applyFont="1" applyFill="1" applyBorder="1"/>
    <xf numFmtId="0" fontId="4" fillId="0" borderId="25" xfId="4" applyFont="1" applyBorder="1"/>
    <xf numFmtId="0" fontId="4" fillId="0" borderId="40" xfId="4" applyFont="1" applyBorder="1"/>
    <xf numFmtId="0" fontId="5" fillId="4" borderId="29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30" xfId="0" applyFont="1" applyFill="1" applyBorder="1"/>
    <xf numFmtId="0" fontId="5" fillId="4" borderId="6" xfId="0" applyFont="1" applyFill="1" applyBorder="1"/>
    <xf numFmtId="164" fontId="5" fillId="4" borderId="31" xfId="2" applyNumberFormat="1" applyFont="1" applyFill="1" applyBorder="1"/>
    <xf numFmtId="164" fontId="5" fillId="4" borderId="32" xfId="0" applyNumberFormat="1" applyFont="1" applyFill="1" applyBorder="1"/>
    <xf numFmtId="10" fontId="5" fillId="4" borderId="32" xfId="3" applyNumberFormat="1" applyFont="1" applyFill="1" applyBorder="1"/>
    <xf numFmtId="165" fontId="5" fillId="4" borderId="32" xfId="0" applyNumberFormat="1" applyFont="1" applyFill="1" applyBorder="1"/>
    <xf numFmtId="0" fontId="2" fillId="0" borderId="0" xfId="0" applyFont="1"/>
    <xf numFmtId="41" fontId="5" fillId="4" borderId="31" xfId="2" applyFont="1" applyFill="1" applyBorder="1"/>
    <xf numFmtId="41" fontId="5" fillId="4" borderId="32" xfId="2" applyFont="1" applyFill="1" applyBorder="1"/>
    <xf numFmtId="164" fontId="5" fillId="4" borderId="38" xfId="0" applyNumberFormat="1" applyFont="1" applyFill="1" applyBorder="1"/>
    <xf numFmtId="0" fontId="5" fillId="2" borderId="29" xfId="0" applyFont="1" applyFill="1" applyBorder="1" applyAlignment="1">
      <alignment horizontal="center" vertical="center"/>
    </xf>
    <xf numFmtId="0" fontId="5" fillId="2" borderId="6" xfId="0" applyFont="1" applyFill="1" applyBorder="1"/>
    <xf numFmtId="164" fontId="5" fillId="2" borderId="38" xfId="0" applyNumberFormat="1" applyFont="1" applyFill="1" applyBorder="1"/>
    <xf numFmtId="41" fontId="4" fillId="0" borderId="0" xfId="0" applyNumberFormat="1" applyFont="1"/>
    <xf numFmtId="41" fontId="4" fillId="0" borderId="17" xfId="0" applyNumberFormat="1" applyFont="1" applyBorder="1"/>
    <xf numFmtId="41" fontId="4" fillId="0" borderId="25" xfId="0" applyNumberFormat="1" applyFont="1" applyBorder="1"/>
    <xf numFmtId="41" fontId="5" fillId="4" borderId="30" xfId="0" applyNumberFormat="1" applyFont="1" applyFill="1" applyBorder="1"/>
    <xf numFmtId="41" fontId="4" fillId="0" borderId="35" xfId="0" applyNumberFormat="1" applyFont="1" applyBorder="1"/>
    <xf numFmtId="41" fontId="4" fillId="0" borderId="50" xfId="0" applyNumberFormat="1" applyFont="1" applyBorder="1"/>
    <xf numFmtId="41" fontId="4" fillId="0" borderId="40" xfId="0" applyNumberFormat="1" applyFont="1" applyBorder="1"/>
    <xf numFmtId="41" fontId="5" fillId="4" borderId="6" xfId="0" applyNumberFormat="1" applyFont="1" applyFill="1" applyBorder="1"/>
    <xf numFmtId="41" fontId="5" fillId="2" borderId="6" xfId="0" applyNumberFormat="1" applyFont="1" applyFill="1" applyBorder="1"/>
    <xf numFmtId="41" fontId="4" fillId="0" borderId="1" xfId="0" applyNumberFormat="1" applyFont="1" applyBorder="1"/>
    <xf numFmtId="0" fontId="12" fillId="0" borderId="0" xfId="0" applyFont="1"/>
    <xf numFmtId="41" fontId="5" fillId="0" borderId="0" xfId="0" applyNumberFormat="1" applyFont="1"/>
    <xf numFmtId="41" fontId="12" fillId="0" borderId="43" xfId="0" applyNumberFormat="1" applyFont="1" applyBorder="1"/>
    <xf numFmtId="0" fontId="5" fillId="2" borderId="5" xfId="0" applyFont="1" applyFill="1" applyBorder="1"/>
    <xf numFmtId="41" fontId="5" fillId="2" borderId="30" xfId="0" applyNumberFormat="1" applyFont="1" applyFill="1" applyBorder="1"/>
    <xf numFmtId="0" fontId="5" fillId="2" borderId="30" xfId="0" applyFont="1" applyFill="1" applyBorder="1"/>
    <xf numFmtId="41" fontId="5" fillId="2" borderId="31" xfId="0" applyNumberFormat="1" applyFont="1" applyFill="1" applyBorder="1"/>
    <xf numFmtId="0" fontId="5" fillId="0" borderId="24" xfId="4" applyFont="1" applyBorder="1"/>
    <xf numFmtId="164" fontId="5" fillId="2" borderId="42" xfId="0" applyNumberFormat="1" applyFont="1" applyFill="1" applyBorder="1"/>
    <xf numFmtId="10" fontId="5" fillId="4" borderId="38" xfId="3" applyNumberFormat="1" applyFont="1" applyFill="1" applyBorder="1"/>
    <xf numFmtId="0" fontId="4" fillId="4" borderId="0" xfId="0" applyFont="1" applyFill="1"/>
    <xf numFmtId="41" fontId="4" fillId="4" borderId="0" xfId="0" applyNumberFormat="1" applyFont="1" applyFill="1"/>
    <xf numFmtId="41" fontId="5" fillId="2" borderId="38" xfId="0" applyNumberFormat="1" applyFont="1" applyFill="1" applyBorder="1"/>
    <xf numFmtId="41" fontId="5" fillId="4" borderId="5" xfId="2" applyFont="1" applyFill="1" applyBorder="1"/>
    <xf numFmtId="41" fontId="5" fillId="2" borderId="32" xfId="0" applyNumberFormat="1" applyFont="1" applyFill="1" applyBorder="1"/>
    <xf numFmtId="164" fontId="5" fillId="2" borderId="29" xfId="0" applyNumberFormat="1" applyFont="1" applyFill="1" applyBorder="1"/>
    <xf numFmtId="10" fontId="5" fillId="2" borderId="32" xfId="3" applyNumberFormat="1" applyFont="1" applyFill="1" applyBorder="1"/>
    <xf numFmtId="41" fontId="5" fillId="4" borderId="38" xfId="2" applyFont="1" applyFill="1" applyBorder="1"/>
    <xf numFmtId="0" fontId="5" fillId="2" borderId="52" xfId="0" applyFont="1" applyFill="1" applyBorder="1" applyAlignment="1">
      <alignment horizontal="center" vertical="center"/>
    </xf>
    <xf numFmtId="41" fontId="5" fillId="4" borderId="6" xfId="2" applyFont="1" applyFill="1" applyBorder="1"/>
    <xf numFmtId="164" fontId="5" fillId="4" borderId="6" xfId="0" applyNumberFormat="1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65" fontId="4" fillId="0" borderId="19" xfId="1" applyNumberFormat="1" applyFont="1" applyBorder="1"/>
    <xf numFmtId="41" fontId="4" fillId="0" borderId="41" xfId="2" applyFont="1" applyBorder="1"/>
    <xf numFmtId="164" fontId="5" fillId="4" borderId="5" xfId="0" applyNumberFormat="1" applyFont="1" applyFill="1" applyBorder="1"/>
    <xf numFmtId="164" fontId="5" fillId="4" borderId="42" xfId="0" applyNumberFormat="1" applyFont="1" applyFill="1" applyBorder="1"/>
    <xf numFmtId="10" fontId="11" fillId="0" borderId="0" xfId="3" applyNumberFormat="1" applyFont="1" applyAlignment="1">
      <alignment horizontal="right"/>
    </xf>
    <xf numFmtId="164" fontId="5" fillId="4" borderId="31" xfId="0" applyNumberFormat="1" applyFont="1" applyFill="1" applyBorder="1"/>
    <xf numFmtId="41" fontId="5" fillId="4" borderId="30" xfId="2" applyFont="1" applyFill="1" applyBorder="1"/>
    <xf numFmtId="41" fontId="4" fillId="0" borderId="25" xfId="2" applyFont="1" applyBorder="1"/>
    <xf numFmtId="41" fontId="4" fillId="0" borderId="40" xfId="2" applyFont="1" applyBorder="1"/>
    <xf numFmtId="164" fontId="5" fillId="4" borderId="30" xfId="2" applyNumberFormat="1" applyFont="1" applyFill="1" applyBorder="1"/>
    <xf numFmtId="164" fontId="4" fillId="0" borderId="50" xfId="2" applyNumberFormat="1" applyFont="1" applyBorder="1"/>
    <xf numFmtId="41" fontId="4" fillId="0" borderId="50" xfId="2" applyFont="1" applyBorder="1"/>
    <xf numFmtId="41" fontId="4" fillId="0" borderId="35" xfId="2" applyFont="1" applyBorder="1"/>
    <xf numFmtId="164" fontId="4" fillId="0" borderId="40" xfId="2" applyNumberFormat="1" applyFont="1" applyBorder="1"/>
    <xf numFmtId="164" fontId="5" fillId="4" borderId="30" xfId="0" applyNumberFormat="1" applyFont="1" applyFill="1" applyBorder="1"/>
    <xf numFmtId="0" fontId="4" fillId="0" borderId="30" xfId="0" applyFont="1" applyBorder="1"/>
    <xf numFmtId="165" fontId="4" fillId="0" borderId="53" xfId="1" applyNumberFormat="1" applyFont="1" applyBorder="1"/>
    <xf numFmtId="164" fontId="4" fillId="0" borderId="17" xfId="2" applyNumberFormat="1" applyFont="1" applyBorder="1"/>
    <xf numFmtId="41" fontId="4" fillId="0" borderId="17" xfId="2" applyFont="1" applyBorder="1"/>
    <xf numFmtId="164" fontId="4" fillId="0" borderId="35" xfId="2" applyNumberFormat="1" applyFont="1" applyBorder="1"/>
    <xf numFmtId="0" fontId="10" fillId="0" borderId="0" xfId="0" applyFont="1"/>
    <xf numFmtId="0" fontId="4" fillId="0" borderId="40" xfId="0" applyFont="1" applyBorder="1"/>
    <xf numFmtId="41" fontId="5" fillId="2" borderId="29" xfId="0" applyNumberFormat="1" applyFont="1" applyFill="1" applyBorder="1"/>
    <xf numFmtId="0" fontId="0" fillId="0" borderId="0" xfId="0"/>
    <xf numFmtId="0" fontId="5" fillId="0" borderId="27" xfId="4" applyFont="1" applyBorder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/>
    <xf numFmtId="10" fontId="4" fillId="0" borderId="0" xfId="3" applyNumberFormat="1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3" borderId="22" xfId="0" applyFont="1" applyFill="1" applyBorder="1"/>
    <xf numFmtId="10" fontId="4" fillId="3" borderId="22" xfId="3" applyNumberFormat="1" applyFont="1" applyFill="1" applyBorder="1"/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3" borderId="28" xfId="0" applyFont="1" applyFill="1" applyBorder="1"/>
    <xf numFmtId="10" fontId="4" fillId="3" borderId="28" xfId="3" applyNumberFormat="1" applyFont="1" applyFill="1" applyBorder="1"/>
    <xf numFmtId="41" fontId="4" fillId="0" borderId="27" xfId="2" applyFont="1" applyBorder="1"/>
    <xf numFmtId="164" fontId="4" fillId="3" borderId="28" xfId="0" applyNumberFormat="1" applyFont="1" applyFill="1" applyBorder="1"/>
    <xf numFmtId="165" fontId="4" fillId="3" borderId="28" xfId="0" applyNumberFormat="1" applyFont="1" applyFill="1" applyBorder="1"/>
    <xf numFmtId="164" fontId="4" fillId="0" borderId="27" xfId="2" applyNumberFormat="1" applyFont="1" applyBorder="1"/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164" fontId="4" fillId="0" borderId="37" xfId="2" applyNumberFormat="1" applyFont="1" applyBorder="1"/>
    <xf numFmtId="164" fontId="4" fillId="0" borderId="19" xfId="2" applyNumberFormat="1" applyFont="1" applyBorder="1"/>
    <xf numFmtId="41" fontId="4" fillId="0" borderId="37" xfId="2" applyFont="1" applyBorder="1"/>
    <xf numFmtId="41" fontId="4" fillId="0" borderId="19" xfId="2" applyFont="1" applyBorder="1"/>
    <xf numFmtId="0" fontId="8" fillId="0" borderId="26" xfId="0" applyFont="1" applyBorder="1"/>
    <xf numFmtId="0" fontId="4" fillId="0" borderId="9" xfId="0" applyFont="1" applyBorder="1" applyAlignment="1">
      <alignment horizontal="center" vertical="center"/>
    </xf>
    <xf numFmtId="0" fontId="4" fillId="0" borderId="39" xfId="0" applyFont="1" applyBorder="1"/>
    <xf numFmtId="0" fontId="4" fillId="0" borderId="41" xfId="0" applyFont="1" applyBorder="1"/>
    <xf numFmtId="0" fontId="5" fillId="0" borderId="24" xfId="0" applyFont="1" applyBorder="1"/>
    <xf numFmtId="0" fontId="2" fillId="0" borderId="0" xfId="0" applyFont="1" applyAlignment="1">
      <alignment horizontal="center" vertical="center"/>
    </xf>
    <xf numFmtId="0" fontId="5" fillId="0" borderId="16" xfId="0" applyFont="1" applyBorder="1"/>
    <xf numFmtId="0" fontId="4" fillId="0" borderId="25" xfId="4" applyFont="1" applyBorder="1"/>
    <xf numFmtId="0" fontId="4" fillId="0" borderId="40" xfId="4" applyFont="1" applyBorder="1"/>
    <xf numFmtId="0" fontId="5" fillId="4" borderId="29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30" xfId="0" applyFont="1" applyFill="1" applyBorder="1"/>
    <xf numFmtId="0" fontId="5" fillId="4" borderId="6" xfId="0" applyFont="1" applyFill="1" applyBorder="1"/>
    <xf numFmtId="164" fontId="5" fillId="4" borderId="31" xfId="2" applyNumberFormat="1" applyFont="1" applyFill="1" applyBorder="1"/>
    <xf numFmtId="164" fontId="5" fillId="4" borderId="32" xfId="0" applyNumberFormat="1" applyFont="1" applyFill="1" applyBorder="1"/>
    <xf numFmtId="10" fontId="5" fillId="4" borderId="32" xfId="3" applyNumberFormat="1" applyFont="1" applyFill="1" applyBorder="1"/>
    <xf numFmtId="165" fontId="5" fillId="4" borderId="32" xfId="0" applyNumberFormat="1" applyFont="1" applyFill="1" applyBorder="1"/>
    <xf numFmtId="0" fontId="2" fillId="0" borderId="0" xfId="0" applyFont="1"/>
    <xf numFmtId="41" fontId="5" fillId="4" borderId="31" xfId="2" applyFont="1" applyFill="1" applyBorder="1"/>
    <xf numFmtId="41" fontId="5" fillId="4" borderId="32" xfId="2" applyFont="1" applyFill="1" applyBorder="1"/>
    <xf numFmtId="0" fontId="5" fillId="2" borderId="29" xfId="0" applyFont="1" applyFill="1" applyBorder="1" applyAlignment="1">
      <alignment horizontal="center" vertical="center"/>
    </xf>
    <xf numFmtId="0" fontId="5" fillId="2" borderId="6" xfId="0" applyFont="1" applyFill="1" applyBorder="1"/>
    <xf numFmtId="164" fontId="5" fillId="2" borderId="38" xfId="0" applyNumberFormat="1" applyFont="1" applyFill="1" applyBorder="1"/>
    <xf numFmtId="41" fontId="4" fillId="0" borderId="0" xfId="0" applyNumberFormat="1" applyFont="1"/>
    <xf numFmtId="41" fontId="4" fillId="0" borderId="17" xfId="0" applyNumberFormat="1" applyFont="1" applyBorder="1"/>
    <xf numFmtId="41" fontId="4" fillId="0" borderId="25" xfId="0" applyNumberFormat="1" applyFont="1" applyBorder="1"/>
    <xf numFmtId="41" fontId="5" fillId="4" borderId="30" xfId="0" applyNumberFormat="1" applyFont="1" applyFill="1" applyBorder="1"/>
    <xf numFmtId="41" fontId="4" fillId="0" borderId="35" xfId="0" applyNumberFormat="1" applyFont="1" applyBorder="1"/>
    <xf numFmtId="41" fontId="4" fillId="0" borderId="40" xfId="0" applyNumberFormat="1" applyFont="1" applyBorder="1"/>
    <xf numFmtId="41" fontId="5" fillId="4" borderId="6" xfId="0" applyNumberFormat="1" applyFont="1" applyFill="1" applyBorder="1"/>
    <xf numFmtId="41" fontId="5" fillId="2" borderId="6" xfId="0" applyNumberFormat="1" applyFont="1" applyFill="1" applyBorder="1"/>
    <xf numFmtId="41" fontId="0" fillId="0" borderId="0" xfId="0" applyNumberFormat="1"/>
    <xf numFmtId="41" fontId="4" fillId="0" borderId="1" xfId="0" applyNumberFormat="1" applyFont="1" applyBorder="1"/>
    <xf numFmtId="0" fontId="12" fillId="0" borderId="0" xfId="0" applyFont="1"/>
    <xf numFmtId="41" fontId="5" fillId="0" borderId="0" xfId="0" applyNumberFormat="1" applyFont="1"/>
    <xf numFmtId="41" fontId="12" fillId="0" borderId="43" xfId="0" applyNumberFormat="1" applyFont="1" applyBorder="1"/>
    <xf numFmtId="0" fontId="5" fillId="2" borderId="5" xfId="0" applyFont="1" applyFill="1" applyBorder="1"/>
    <xf numFmtId="41" fontId="5" fillId="2" borderId="30" xfId="0" applyNumberFormat="1" applyFont="1" applyFill="1" applyBorder="1"/>
    <xf numFmtId="0" fontId="5" fillId="2" borderId="30" xfId="0" applyFont="1" applyFill="1" applyBorder="1"/>
    <xf numFmtId="41" fontId="5" fillId="2" borderId="31" xfId="0" applyNumberFormat="1" applyFont="1" applyFill="1" applyBorder="1"/>
    <xf numFmtId="0" fontId="5" fillId="0" borderId="24" xfId="4" applyFont="1" applyBorder="1"/>
    <xf numFmtId="164" fontId="5" fillId="2" borderId="42" xfId="0" applyNumberFormat="1" applyFont="1" applyFill="1" applyBorder="1"/>
    <xf numFmtId="10" fontId="5" fillId="4" borderId="38" xfId="3" applyNumberFormat="1" applyFont="1" applyFill="1" applyBorder="1"/>
    <xf numFmtId="41" fontId="5" fillId="2" borderId="38" xfId="0" applyNumberFormat="1" applyFont="1" applyFill="1" applyBorder="1"/>
    <xf numFmtId="41" fontId="5" fillId="4" borderId="5" xfId="2" applyFont="1" applyFill="1" applyBorder="1"/>
    <xf numFmtId="164" fontId="5" fillId="2" borderId="29" xfId="0" applyNumberFormat="1" applyFont="1" applyFill="1" applyBorder="1"/>
    <xf numFmtId="10" fontId="5" fillId="2" borderId="32" xfId="3" applyNumberFormat="1" applyFont="1" applyFill="1" applyBorder="1"/>
    <xf numFmtId="41" fontId="5" fillId="4" borderId="38" xfId="2" applyFont="1" applyFill="1" applyBorder="1"/>
    <xf numFmtId="0" fontId="5" fillId="2" borderId="12" xfId="0" applyFont="1" applyFill="1" applyBorder="1" applyAlignment="1">
      <alignment horizontal="center" vertical="center"/>
    </xf>
    <xf numFmtId="164" fontId="5" fillId="4" borderId="42" xfId="0" applyNumberFormat="1" applyFont="1" applyFill="1" applyBorder="1"/>
    <xf numFmtId="164" fontId="5" fillId="4" borderId="31" xfId="0" applyNumberFormat="1" applyFont="1" applyFill="1" applyBorder="1"/>
    <xf numFmtId="0" fontId="10" fillId="0" borderId="0" xfId="0" applyFont="1"/>
    <xf numFmtId="10" fontId="11" fillId="0" borderId="0" xfId="3" applyNumberFormat="1" applyFont="1" applyAlignment="1">
      <alignment horizontal="right"/>
    </xf>
    <xf numFmtId="41" fontId="5" fillId="2" borderId="29" xfId="0" applyNumberFormat="1" applyFont="1" applyFill="1" applyBorder="1"/>
    <xf numFmtId="0" fontId="0" fillId="0" borderId="24" xfId="0" applyBorder="1"/>
    <xf numFmtId="0" fontId="5" fillId="2" borderId="13" xfId="0" applyFont="1" applyFill="1" applyBorder="1" applyAlignment="1">
      <alignment horizontal="center" vertical="center"/>
    </xf>
    <xf numFmtId="41" fontId="4" fillId="0" borderId="26" xfId="2" applyFont="1" applyBorder="1"/>
    <xf numFmtId="164" fontId="4" fillId="0" borderId="26" xfId="2" applyNumberFormat="1" applyFont="1" applyBorder="1"/>
    <xf numFmtId="164" fontId="4" fillId="0" borderId="18" xfId="2" applyNumberFormat="1" applyFont="1" applyBorder="1"/>
    <xf numFmtId="41" fontId="4" fillId="0" borderId="36" xfId="2" applyFont="1" applyBorder="1"/>
    <xf numFmtId="41" fontId="4" fillId="0" borderId="18" xfId="2" applyFont="1" applyBorder="1"/>
    <xf numFmtId="164" fontId="4" fillId="0" borderId="36" xfId="2" applyNumberFormat="1" applyFont="1" applyBorder="1"/>
    <xf numFmtId="41" fontId="5" fillId="4" borderId="6" xfId="2" applyFont="1" applyFill="1" applyBorder="1"/>
    <xf numFmtId="0" fontId="4" fillId="0" borderId="20" xfId="0" applyFont="1" applyBorder="1"/>
    <xf numFmtId="41" fontId="4" fillId="0" borderId="25" xfId="2" applyFont="1" applyBorder="1"/>
    <xf numFmtId="41" fontId="4" fillId="0" borderId="35" xfId="2" applyFont="1" applyBorder="1"/>
    <xf numFmtId="41" fontId="4" fillId="0" borderId="17" xfId="2" applyFont="1" applyBorder="1"/>
    <xf numFmtId="164" fontId="4" fillId="0" borderId="35" xfId="2" applyNumberFormat="1" applyFont="1" applyBorder="1"/>
    <xf numFmtId="41" fontId="4" fillId="0" borderId="40" xfId="2" applyFont="1" applyBorder="1"/>
    <xf numFmtId="164" fontId="5" fillId="4" borderId="6" xfId="2" applyNumberFormat="1" applyFont="1" applyFill="1" applyBorder="1"/>
    <xf numFmtId="164" fontId="5" fillId="4" borderId="6" xfId="0" applyNumberFormat="1" applyFont="1" applyFill="1" applyBorder="1"/>
    <xf numFmtId="0" fontId="4" fillId="0" borderId="21" xfId="0" applyFont="1" applyBorder="1"/>
    <xf numFmtId="41" fontId="4" fillId="0" borderId="24" xfId="2" applyFont="1" applyBorder="1"/>
    <xf numFmtId="164" fontId="4" fillId="0" borderId="24" xfId="2" applyNumberFormat="1" applyFont="1" applyBorder="1"/>
    <xf numFmtId="164" fontId="4" fillId="0" borderId="16" xfId="2" applyNumberFormat="1" applyFont="1" applyBorder="1"/>
    <xf numFmtId="41" fontId="4" fillId="0" borderId="34" xfId="2" applyFont="1" applyBorder="1"/>
    <xf numFmtId="41" fontId="4" fillId="0" borderId="16" xfId="2" applyFont="1" applyBorder="1"/>
    <xf numFmtId="164" fontId="4" fillId="0" borderId="34" xfId="2" applyNumberFormat="1" applyFont="1" applyBorder="1"/>
    <xf numFmtId="41" fontId="4" fillId="0" borderId="39" xfId="2" applyFont="1" applyBorder="1"/>
    <xf numFmtId="41" fontId="8" fillId="0" borderId="27" xfId="2" applyFont="1" applyBorder="1"/>
    <xf numFmtId="0" fontId="4" fillId="0" borderId="40" xfId="0" applyFont="1" applyBorder="1"/>
    <xf numFmtId="0" fontId="4" fillId="3" borderId="46" xfId="0" applyFont="1" applyFill="1" applyBorder="1"/>
    <xf numFmtId="41" fontId="4" fillId="3" borderId="46" xfId="0" applyNumberFormat="1" applyFont="1" applyFill="1" applyBorder="1" applyAlignment="1">
      <alignment horizontal="center"/>
    </xf>
    <xf numFmtId="41" fontId="4" fillId="3" borderId="47" xfId="0" applyNumberFormat="1" applyFont="1" applyFill="1" applyBorder="1" applyAlignment="1">
      <alignment horizontal="center"/>
    </xf>
    <xf numFmtId="41" fontId="4" fillId="3" borderId="28" xfId="0" applyNumberFormat="1" applyFont="1" applyFill="1" applyBorder="1" applyAlignment="1">
      <alignment horizontal="center"/>
    </xf>
    <xf numFmtId="41" fontId="4" fillId="3" borderId="44" xfId="0" applyNumberFormat="1" applyFont="1" applyFill="1" applyBorder="1" applyAlignment="1">
      <alignment horizontal="center"/>
    </xf>
    <xf numFmtId="41" fontId="4" fillId="3" borderId="45" xfId="0" applyNumberFormat="1" applyFont="1" applyFill="1" applyBorder="1" applyAlignment="1">
      <alignment horizontal="center"/>
    </xf>
    <xf numFmtId="164" fontId="4" fillId="3" borderId="46" xfId="0" applyNumberFormat="1" applyFont="1" applyFill="1" applyBorder="1"/>
    <xf numFmtId="41" fontId="4" fillId="3" borderId="49" xfId="0" applyNumberFormat="1" applyFont="1" applyFill="1" applyBorder="1" applyAlignment="1">
      <alignment horizontal="center"/>
    </xf>
    <xf numFmtId="0" fontId="4" fillId="0" borderId="35" xfId="4" applyFont="1" applyBorder="1"/>
    <xf numFmtId="0" fontId="4" fillId="3" borderId="8" xfId="0" applyFont="1" applyFill="1" applyBorder="1"/>
    <xf numFmtId="165" fontId="4" fillId="3" borderId="28" xfId="2" applyNumberFormat="1" applyFont="1" applyFill="1" applyBorder="1"/>
    <xf numFmtId="165" fontId="4" fillId="3" borderId="46" xfId="2" applyNumberFormat="1" applyFont="1" applyFill="1" applyBorder="1"/>
    <xf numFmtId="165" fontId="4" fillId="3" borderId="45" xfId="2" applyNumberFormat="1" applyFont="1" applyFill="1" applyBorder="1"/>
    <xf numFmtId="41" fontId="4" fillId="3" borderId="54" xfId="0" applyNumberFormat="1" applyFont="1" applyFill="1" applyBorder="1" applyAlignment="1">
      <alignment horizontal="center"/>
    </xf>
    <xf numFmtId="41" fontId="0" fillId="0" borderId="0" xfId="2" applyFont="1"/>
    <xf numFmtId="41" fontId="2" fillId="0" borderId="0" xfId="2" applyFont="1" applyAlignment="1">
      <alignment horizontal="center" vertical="center"/>
    </xf>
    <xf numFmtId="41" fontId="2" fillId="0" borderId="0" xfId="2" applyFont="1"/>
    <xf numFmtId="41" fontId="4" fillId="0" borderId="0" xfId="2" applyFont="1"/>
    <xf numFmtId="0" fontId="0" fillId="0" borderId="0" xfId="0"/>
    <xf numFmtId="0" fontId="5" fillId="0" borderId="27" xfId="4" applyFont="1" applyBorder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/>
    <xf numFmtId="10" fontId="4" fillId="0" borderId="0" xfId="3" applyNumberFormat="1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3" borderId="22" xfId="0" applyFont="1" applyFill="1" applyBorder="1"/>
    <xf numFmtId="10" fontId="4" fillId="3" borderId="22" xfId="3" applyNumberFormat="1" applyFont="1" applyFill="1" applyBorder="1"/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3" borderId="28" xfId="0" applyFont="1" applyFill="1" applyBorder="1"/>
    <xf numFmtId="10" fontId="4" fillId="3" borderId="28" xfId="3" applyNumberFormat="1" applyFont="1" applyFill="1" applyBorder="1"/>
    <xf numFmtId="41" fontId="4" fillId="0" borderId="27" xfId="2" applyFont="1" applyBorder="1"/>
    <xf numFmtId="164" fontId="4" fillId="3" borderId="28" xfId="0" applyNumberFormat="1" applyFont="1" applyFill="1" applyBorder="1"/>
    <xf numFmtId="165" fontId="4" fillId="3" borderId="28" xfId="0" applyNumberFormat="1" applyFont="1" applyFill="1" applyBorder="1"/>
    <xf numFmtId="164" fontId="4" fillId="0" borderId="27" xfId="2" applyNumberFormat="1" applyFont="1" applyBorder="1"/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164" fontId="4" fillId="0" borderId="37" xfId="2" applyNumberFormat="1" applyFont="1" applyBorder="1"/>
    <xf numFmtId="164" fontId="4" fillId="0" borderId="19" xfId="2" applyNumberFormat="1" applyFont="1" applyBorder="1"/>
    <xf numFmtId="41" fontId="4" fillId="0" borderId="37" xfId="2" applyFont="1" applyBorder="1"/>
    <xf numFmtId="41" fontId="4" fillId="0" borderId="19" xfId="2" applyFont="1" applyBorder="1"/>
    <xf numFmtId="0" fontId="8" fillId="0" borderId="26" xfId="0" applyFont="1" applyBorder="1"/>
    <xf numFmtId="0" fontId="4" fillId="0" borderId="9" xfId="0" applyFont="1" applyBorder="1" applyAlignment="1">
      <alignment horizontal="center" vertical="center"/>
    </xf>
    <xf numFmtId="0" fontId="4" fillId="0" borderId="39" xfId="0" applyFont="1" applyBorder="1"/>
    <xf numFmtId="0" fontId="4" fillId="0" borderId="41" xfId="0" applyFont="1" applyBorder="1"/>
    <xf numFmtId="0" fontId="5" fillId="0" borderId="24" xfId="0" applyFont="1" applyBorder="1"/>
    <xf numFmtId="0" fontId="2" fillId="0" borderId="0" xfId="0" applyFont="1" applyAlignment="1">
      <alignment horizontal="center" vertical="center"/>
    </xf>
    <xf numFmtId="0" fontId="5" fillId="0" borderId="16" xfId="0" applyFont="1" applyBorder="1"/>
    <xf numFmtId="0" fontId="4" fillId="0" borderId="25" xfId="4" applyFont="1" applyBorder="1"/>
    <xf numFmtId="0" fontId="4" fillId="0" borderId="40" xfId="4" applyFont="1" applyBorder="1"/>
    <xf numFmtId="0" fontId="5" fillId="4" borderId="29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30" xfId="0" applyFont="1" applyFill="1" applyBorder="1"/>
    <xf numFmtId="0" fontId="5" fillId="4" borderId="6" xfId="0" applyFont="1" applyFill="1" applyBorder="1"/>
    <xf numFmtId="164" fontId="5" fillId="4" borderId="31" xfId="2" applyNumberFormat="1" applyFont="1" applyFill="1" applyBorder="1"/>
    <xf numFmtId="164" fontId="5" fillId="4" borderId="32" xfId="0" applyNumberFormat="1" applyFont="1" applyFill="1" applyBorder="1"/>
    <xf numFmtId="10" fontId="5" fillId="4" borderId="32" xfId="3" applyNumberFormat="1" applyFont="1" applyFill="1" applyBorder="1"/>
    <xf numFmtId="165" fontId="5" fillId="4" borderId="32" xfId="0" applyNumberFormat="1" applyFont="1" applyFill="1" applyBorder="1"/>
    <xf numFmtId="0" fontId="2" fillId="0" borderId="0" xfId="0" applyFont="1"/>
    <xf numFmtId="41" fontId="5" fillId="4" borderId="31" xfId="2" applyFont="1" applyFill="1" applyBorder="1"/>
    <xf numFmtId="41" fontId="5" fillId="4" borderId="32" xfId="2" applyFont="1" applyFill="1" applyBorder="1"/>
    <xf numFmtId="0" fontId="5" fillId="2" borderId="29" xfId="0" applyFont="1" applyFill="1" applyBorder="1" applyAlignment="1">
      <alignment horizontal="center" vertical="center"/>
    </xf>
    <xf numFmtId="0" fontId="5" fillId="2" borderId="6" xfId="0" applyFont="1" applyFill="1" applyBorder="1"/>
    <xf numFmtId="164" fontId="5" fillId="2" borderId="38" xfId="0" applyNumberFormat="1" applyFont="1" applyFill="1" applyBorder="1"/>
    <xf numFmtId="41" fontId="4" fillId="0" borderId="0" xfId="0" applyNumberFormat="1" applyFont="1"/>
    <xf numFmtId="41" fontId="4" fillId="0" borderId="17" xfId="0" applyNumberFormat="1" applyFont="1" applyBorder="1"/>
    <xf numFmtId="41" fontId="4" fillId="0" borderId="25" xfId="0" applyNumberFormat="1" applyFont="1" applyBorder="1"/>
    <xf numFmtId="41" fontId="5" fillId="4" borderId="30" xfId="0" applyNumberFormat="1" applyFont="1" applyFill="1" applyBorder="1"/>
    <xf numFmtId="41" fontId="4" fillId="0" borderId="35" xfId="0" applyNumberFormat="1" applyFont="1" applyBorder="1"/>
    <xf numFmtId="41" fontId="4" fillId="0" borderId="40" xfId="0" applyNumberFormat="1" applyFont="1" applyBorder="1"/>
    <xf numFmtId="41" fontId="5" fillId="4" borderId="6" xfId="0" applyNumberFormat="1" applyFont="1" applyFill="1" applyBorder="1"/>
    <xf numFmtId="41" fontId="5" fillId="2" borderId="6" xfId="0" applyNumberFormat="1" applyFont="1" applyFill="1" applyBorder="1"/>
    <xf numFmtId="41" fontId="0" fillId="0" borderId="0" xfId="0" applyNumberFormat="1"/>
    <xf numFmtId="41" fontId="4" fillId="0" borderId="1" xfId="0" applyNumberFormat="1" applyFont="1" applyBorder="1"/>
    <xf numFmtId="0" fontId="12" fillId="0" borderId="0" xfId="0" applyFont="1"/>
    <xf numFmtId="41" fontId="5" fillId="0" borderId="0" xfId="0" applyNumberFormat="1" applyFont="1"/>
    <xf numFmtId="41" fontId="12" fillId="0" borderId="43" xfId="0" applyNumberFormat="1" applyFont="1" applyBorder="1"/>
    <xf numFmtId="0" fontId="5" fillId="2" borderId="5" xfId="0" applyFont="1" applyFill="1" applyBorder="1"/>
    <xf numFmtId="41" fontId="5" fillId="2" borderId="30" xfId="0" applyNumberFormat="1" applyFont="1" applyFill="1" applyBorder="1"/>
    <xf numFmtId="0" fontId="5" fillId="2" borderId="30" xfId="0" applyFont="1" applyFill="1" applyBorder="1"/>
    <xf numFmtId="41" fontId="5" fillId="2" borderId="31" xfId="0" applyNumberFormat="1" applyFont="1" applyFill="1" applyBorder="1"/>
    <xf numFmtId="0" fontId="5" fillId="0" borderId="24" xfId="4" applyFont="1" applyBorder="1"/>
    <xf numFmtId="164" fontId="5" fillId="2" borderId="42" xfId="0" applyNumberFormat="1" applyFont="1" applyFill="1" applyBorder="1"/>
    <xf numFmtId="41" fontId="5" fillId="2" borderId="38" xfId="0" applyNumberFormat="1" applyFont="1" applyFill="1" applyBorder="1"/>
    <xf numFmtId="41" fontId="5" fillId="4" borderId="5" xfId="2" applyFont="1" applyFill="1" applyBorder="1"/>
    <xf numFmtId="164" fontId="5" fillId="2" borderId="29" xfId="0" applyNumberFormat="1" applyFont="1" applyFill="1" applyBorder="1"/>
    <xf numFmtId="10" fontId="5" fillId="2" borderId="32" xfId="3" applyNumberFormat="1" applyFont="1" applyFill="1" applyBorder="1"/>
    <xf numFmtId="0" fontId="5" fillId="2" borderId="12" xfId="0" applyFont="1" applyFill="1" applyBorder="1" applyAlignment="1">
      <alignment horizontal="center" vertical="center"/>
    </xf>
    <xf numFmtId="164" fontId="5" fillId="4" borderId="42" xfId="0" applyNumberFormat="1" applyFont="1" applyFill="1" applyBorder="1"/>
    <xf numFmtId="164" fontId="5" fillId="4" borderId="31" xfId="0" applyNumberFormat="1" applyFont="1" applyFill="1" applyBorder="1"/>
    <xf numFmtId="0" fontId="10" fillId="0" borderId="0" xfId="0" applyFont="1"/>
    <xf numFmtId="10" fontId="11" fillId="0" borderId="0" xfId="3" applyNumberFormat="1" applyFont="1" applyAlignment="1">
      <alignment horizontal="right"/>
    </xf>
    <xf numFmtId="41" fontId="5" fillId="2" borderId="29" xfId="0" applyNumberFormat="1" applyFont="1" applyFill="1" applyBorder="1"/>
    <xf numFmtId="0" fontId="0" fillId="0" borderId="24" xfId="0" applyBorder="1"/>
    <xf numFmtId="0" fontId="5" fillId="2" borderId="13" xfId="0" applyFont="1" applyFill="1" applyBorder="1" applyAlignment="1">
      <alignment horizontal="center" vertical="center"/>
    </xf>
    <xf numFmtId="41" fontId="4" fillId="0" borderId="26" xfId="2" applyFont="1" applyBorder="1"/>
    <xf numFmtId="164" fontId="4" fillId="0" borderId="26" xfId="2" applyNumberFormat="1" applyFont="1" applyBorder="1"/>
    <xf numFmtId="164" fontId="4" fillId="0" borderId="18" xfId="2" applyNumberFormat="1" applyFont="1" applyBorder="1"/>
    <xf numFmtId="41" fontId="4" fillId="0" borderId="36" xfId="2" applyFont="1" applyBorder="1"/>
    <xf numFmtId="41" fontId="4" fillId="0" borderId="18" xfId="2" applyFont="1" applyBorder="1"/>
    <xf numFmtId="164" fontId="4" fillId="0" borderId="36" xfId="2" applyNumberFormat="1" applyFont="1" applyBorder="1"/>
    <xf numFmtId="41" fontId="5" fillId="4" borderId="6" xfId="2" applyFont="1" applyFill="1" applyBorder="1"/>
    <xf numFmtId="0" fontId="4" fillId="0" borderId="20" xfId="0" applyFont="1" applyBorder="1"/>
    <xf numFmtId="41" fontId="4" fillId="0" borderId="25" xfId="2" applyFont="1" applyBorder="1"/>
    <xf numFmtId="41" fontId="4" fillId="0" borderId="35" xfId="2" applyFont="1" applyBorder="1"/>
    <xf numFmtId="41" fontId="4" fillId="0" borderId="17" xfId="2" applyFont="1" applyBorder="1"/>
    <xf numFmtId="164" fontId="4" fillId="0" borderId="35" xfId="2" applyNumberFormat="1" applyFont="1" applyBorder="1"/>
    <xf numFmtId="41" fontId="4" fillId="0" borderId="40" xfId="2" applyFont="1" applyBorder="1"/>
    <xf numFmtId="164" fontId="5" fillId="4" borderId="6" xfId="2" applyNumberFormat="1" applyFont="1" applyFill="1" applyBorder="1"/>
    <xf numFmtId="0" fontId="4" fillId="0" borderId="21" xfId="0" applyFont="1" applyBorder="1"/>
    <xf numFmtId="41" fontId="4" fillId="0" borderId="24" xfId="2" applyFont="1" applyBorder="1"/>
    <xf numFmtId="164" fontId="4" fillId="0" borderId="24" xfId="2" applyNumberFormat="1" applyFont="1" applyBorder="1"/>
    <xf numFmtId="164" fontId="4" fillId="0" borderId="16" xfId="2" applyNumberFormat="1" applyFont="1" applyBorder="1"/>
    <xf numFmtId="41" fontId="4" fillId="0" borderId="34" xfId="2" applyFont="1" applyBorder="1"/>
    <xf numFmtId="41" fontId="4" fillId="0" borderId="16" xfId="2" applyFont="1" applyBorder="1"/>
    <xf numFmtId="164" fontId="4" fillId="0" borderId="34" xfId="2" applyNumberFormat="1" applyFont="1" applyBorder="1"/>
    <xf numFmtId="41" fontId="4" fillId="0" borderId="39" xfId="2" applyFont="1" applyBorder="1"/>
    <xf numFmtId="41" fontId="8" fillId="0" borderId="27" xfId="2" applyFont="1" applyBorder="1"/>
    <xf numFmtId="0" fontId="4" fillId="0" borderId="40" xfId="0" applyFont="1" applyBorder="1"/>
    <xf numFmtId="0" fontId="4" fillId="3" borderId="46" xfId="0" applyFont="1" applyFill="1" applyBorder="1"/>
    <xf numFmtId="164" fontId="4" fillId="3" borderId="46" xfId="0" applyNumberFormat="1" applyFont="1" applyFill="1" applyBorder="1"/>
    <xf numFmtId="0" fontId="4" fillId="0" borderId="35" xfId="4" applyFont="1" applyBorder="1"/>
    <xf numFmtId="0" fontId="4" fillId="3" borderId="8" xfId="0" applyFont="1" applyFill="1" applyBorder="1"/>
    <xf numFmtId="165" fontId="4" fillId="3" borderId="28" xfId="2" applyNumberFormat="1" applyFont="1" applyFill="1" applyBorder="1"/>
    <xf numFmtId="41" fontId="0" fillId="0" borderId="0" xfId="2" applyFont="1"/>
    <xf numFmtId="41" fontId="2" fillId="0" borderId="0" xfId="2" applyFont="1" applyAlignment="1">
      <alignment horizontal="center" vertical="center"/>
    </xf>
    <xf numFmtId="41" fontId="2" fillId="0" borderId="0" xfId="2" applyFont="1"/>
    <xf numFmtId="41" fontId="4" fillId="0" borderId="0" xfId="2" applyFont="1"/>
    <xf numFmtId="41" fontId="5" fillId="2" borderId="5" xfId="0" applyNumberFormat="1" applyFont="1" applyFill="1" applyBorder="1"/>
    <xf numFmtId="41" fontId="5" fillId="2" borderId="32" xfId="0" applyNumberFormat="1" applyFont="1" applyFill="1" applyBorder="1"/>
    <xf numFmtId="41" fontId="5" fillId="4" borderId="29" xfId="2" applyFont="1" applyFill="1" applyBorder="1"/>
    <xf numFmtId="10" fontId="5" fillId="4" borderId="29" xfId="3" applyNumberFormat="1" applyFont="1" applyFill="1" applyBorder="1"/>
  </cellXfs>
  <cellStyles count="6">
    <cellStyle name="Comma" xfId="1" builtinId="3"/>
    <cellStyle name="Comma [0]" xfId="2" builtinId="6"/>
    <cellStyle name="Comma [0] 3" xfId="5" xr:uid="{6330F424-51AD-4CCF-B58B-666DA5F6252B}"/>
    <cellStyle name="Normal" xfId="0" builtinId="0"/>
    <cellStyle name="Normal 3" xfId="4" xr:uid="{593421D0-9D1A-4F43-B379-481428337B75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REALISASI PEMASARAN DAERAH</a:t>
            </a:r>
          </a:p>
          <a:p>
            <a:pPr>
              <a:defRPr/>
            </a:pPr>
            <a:r>
              <a:rPr lang="en-US"/>
              <a:t>BULAN JANUARI S/D DESEMBER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'2020'!$G$5:$R$5</c:f>
              <c:strCache>
                <c:ptCount val="12"/>
                <c:pt idx="0">
                  <c:v>Januari</c:v>
                </c:pt>
                <c:pt idx="1">
                  <c:v>Februari 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'2020'!$G$86:$R$86</c:f>
              <c:numCache>
                <c:formatCode>_-* #,##0_-;\-* #,##0_-;_-* "-"_-;_-@_-</c:formatCode>
                <c:ptCount val="12"/>
                <c:pt idx="0">
                  <c:v>399465222</c:v>
                </c:pt>
                <c:pt idx="1">
                  <c:v>332061240</c:v>
                </c:pt>
                <c:pt idx="2">
                  <c:v>359388966</c:v>
                </c:pt>
                <c:pt idx="3">
                  <c:v>273462141</c:v>
                </c:pt>
                <c:pt idx="4">
                  <c:v>292763137</c:v>
                </c:pt>
                <c:pt idx="5">
                  <c:v>352683805</c:v>
                </c:pt>
                <c:pt idx="6">
                  <c:v>284068287</c:v>
                </c:pt>
                <c:pt idx="7">
                  <c:v>277291576</c:v>
                </c:pt>
                <c:pt idx="8">
                  <c:v>337883766</c:v>
                </c:pt>
                <c:pt idx="9">
                  <c:v>377976018</c:v>
                </c:pt>
                <c:pt idx="10">
                  <c:v>387979746</c:v>
                </c:pt>
                <c:pt idx="11">
                  <c:v>398903722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9-43EA-BCC7-7F5803BE7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Daerah Pengambilan Terbanyak Januari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('2020'!$E$8:$E$14,'2020'!$E$18:$E$24,'2020'!$E$28:$E$32,'2020'!$E$36:$E$43,'2020'!$E$48:$E$51,'2020'!$E$55:$E$58,'2020'!$E$62:$E$63,'2020'!$E$69:$E$84)</c:f>
              <c:strCache>
                <c:ptCount val="53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Parigi (Intensif)</c:v>
                </c:pt>
                <c:pt idx="9">
                  <c:v>Moutong</c:v>
                </c:pt>
                <c:pt idx="10">
                  <c:v>Toli Toli</c:v>
                </c:pt>
                <c:pt idx="11">
                  <c:v>Gorontalo</c:v>
                </c:pt>
                <c:pt idx="12">
                  <c:v>Palu</c:v>
                </c:pt>
                <c:pt idx="13">
                  <c:v>Poso</c:v>
                </c:pt>
                <c:pt idx="14">
                  <c:v>Luwu Utara</c:v>
                </c:pt>
                <c:pt idx="15">
                  <c:v>Luwu Timur</c:v>
                </c:pt>
                <c:pt idx="16">
                  <c:v>Luwu</c:v>
                </c:pt>
                <c:pt idx="17">
                  <c:v>Palopo</c:v>
                </c:pt>
                <c:pt idx="18">
                  <c:v>Morowali</c:v>
                </c:pt>
                <c:pt idx="19">
                  <c:v>Kolaka Utara</c:v>
                </c:pt>
                <c:pt idx="20">
                  <c:v>Kolaka Kota</c:v>
                </c:pt>
                <c:pt idx="21">
                  <c:v>Bombana </c:v>
                </c:pt>
                <c:pt idx="22">
                  <c:v>Kendari</c:v>
                </c:pt>
                <c:pt idx="23">
                  <c:v>Konawe Selatan</c:v>
                </c:pt>
                <c:pt idx="24">
                  <c:v>Konawe Utara</c:v>
                </c:pt>
                <c:pt idx="25">
                  <c:v>Raha </c:v>
                </c:pt>
                <c:pt idx="26">
                  <c:v>Buton</c:v>
                </c:pt>
                <c:pt idx="27">
                  <c:v>Pare Pare</c:v>
                </c:pt>
                <c:pt idx="28">
                  <c:v>Barru</c:v>
                </c:pt>
                <c:pt idx="29">
                  <c:v>Pangkep </c:v>
                </c:pt>
                <c:pt idx="30">
                  <c:v>Maros</c:v>
                </c:pt>
                <c:pt idx="31">
                  <c:v>Wajo</c:v>
                </c:pt>
                <c:pt idx="32">
                  <c:v>Bone</c:v>
                </c:pt>
                <c:pt idx="33">
                  <c:v>Sinjai</c:v>
                </c:pt>
                <c:pt idx="34">
                  <c:v>Bulukumba/Selayar/Bantaeng</c:v>
                </c:pt>
                <c:pt idx="35">
                  <c:v>Bulukumba (Intensif)</c:v>
                </c:pt>
                <c:pt idx="36">
                  <c:v>Jeneponto</c:v>
                </c:pt>
                <c:pt idx="37">
                  <c:v>Luwuk Banggai</c:v>
                </c:pt>
                <c:pt idx="38">
                  <c:v>Yogyakarta</c:v>
                </c:pt>
                <c:pt idx="39">
                  <c:v>Ternate</c:v>
                </c:pt>
                <c:pt idx="40">
                  <c:v>Gresik</c:v>
                </c:pt>
                <c:pt idx="41">
                  <c:v>Sumbawa/ Lombok</c:v>
                </c:pt>
                <c:pt idx="42">
                  <c:v>Tuban/Surabaya</c:v>
                </c:pt>
                <c:pt idx="43">
                  <c:v>Berau, Kal. Utara</c:v>
                </c:pt>
                <c:pt idx="44">
                  <c:v>Tarakan/Nunukan, Kalut</c:v>
                </c:pt>
                <c:pt idx="45">
                  <c:v>Pontianak, Kalbar</c:v>
                </c:pt>
                <c:pt idx="46">
                  <c:v>Balikpapan/Samarinda, Kaltim</c:v>
                </c:pt>
                <c:pt idx="47">
                  <c:v>Batu Licin, Kalsel</c:v>
                </c:pt>
                <c:pt idx="48">
                  <c:v>Semarang</c:v>
                </c:pt>
                <c:pt idx="49">
                  <c:v>Papua/ Jaya Pura</c:v>
                </c:pt>
                <c:pt idx="50">
                  <c:v>Pangkal Pinang</c:v>
                </c:pt>
                <c:pt idx="51">
                  <c:v>Bengkulu/ Bengkalis</c:v>
                </c:pt>
                <c:pt idx="52">
                  <c:v>Manado</c:v>
                </c:pt>
              </c:strCache>
            </c:strRef>
          </c:cat>
          <c:val>
            <c:numRef>
              <c:f>('2020'!$G$8:$G$14,'2020'!$G$18:$G$24,'2020'!$G$28:$G$32,'2020'!$G$36:$G$43,'2020'!$G$48:$G$51,'2020'!$G$55:$G$58,'2020'!$G$62:$G$63,'2020'!$G$69:$G$84)</c:f>
              <c:numCache>
                <c:formatCode>_(* #,##0_);_(* \(#,##0\);_(* "-"_);_(@_)</c:formatCode>
                <c:ptCount val="53"/>
                <c:pt idx="0">
                  <c:v>1015000</c:v>
                </c:pt>
                <c:pt idx="1">
                  <c:v>21316122</c:v>
                </c:pt>
                <c:pt idx="2">
                  <c:v>13299319</c:v>
                </c:pt>
                <c:pt idx="3">
                  <c:v>7570888</c:v>
                </c:pt>
                <c:pt idx="4">
                  <c:v>10307833</c:v>
                </c:pt>
                <c:pt idx="5">
                  <c:v>11656207</c:v>
                </c:pt>
                <c:pt idx="6" formatCode="_-* #,##0_-;\-* #,##0_-;_-* &quot;-&quot;_-;_-@_-">
                  <c:v>690000</c:v>
                </c:pt>
                <c:pt idx="7">
                  <c:v>13430332</c:v>
                </c:pt>
                <c:pt idx="8">
                  <c:v>0</c:v>
                </c:pt>
                <c:pt idx="9">
                  <c:v>35865695</c:v>
                </c:pt>
                <c:pt idx="10">
                  <c:v>0</c:v>
                </c:pt>
                <c:pt idx="11">
                  <c:v>23916500</c:v>
                </c:pt>
                <c:pt idx="12">
                  <c:v>200000</c:v>
                </c:pt>
                <c:pt idx="13">
                  <c:v>1934811</c:v>
                </c:pt>
                <c:pt idx="14">
                  <c:v>10233000</c:v>
                </c:pt>
                <c:pt idx="15">
                  <c:v>28652455</c:v>
                </c:pt>
                <c:pt idx="16">
                  <c:v>1555000</c:v>
                </c:pt>
                <c:pt idx="17">
                  <c:v>3598250</c:v>
                </c:pt>
                <c:pt idx="18" formatCode="_-* #,##0_-;\-* #,##0_-;_-* &quot;-&quot;_-;_-@_-">
                  <c:v>0</c:v>
                </c:pt>
                <c:pt idx="19">
                  <c:v>21285000</c:v>
                </c:pt>
                <c:pt idx="20">
                  <c:v>37565000</c:v>
                </c:pt>
                <c:pt idx="21">
                  <c:v>15005000</c:v>
                </c:pt>
                <c:pt idx="22">
                  <c:v>0</c:v>
                </c:pt>
                <c:pt idx="23">
                  <c:v>18070000</c:v>
                </c:pt>
                <c:pt idx="24">
                  <c:v>0</c:v>
                </c:pt>
                <c:pt idx="25">
                  <c:v>11720000</c:v>
                </c:pt>
                <c:pt idx="26">
                  <c:v>0</c:v>
                </c:pt>
                <c:pt idx="27">
                  <c:v>307000</c:v>
                </c:pt>
                <c:pt idx="28">
                  <c:v>17073216</c:v>
                </c:pt>
                <c:pt idx="29">
                  <c:v>11870000</c:v>
                </c:pt>
                <c:pt idx="30">
                  <c:v>6071000</c:v>
                </c:pt>
                <c:pt idx="31">
                  <c:v>13798953</c:v>
                </c:pt>
                <c:pt idx="32">
                  <c:v>21558000</c:v>
                </c:pt>
                <c:pt idx="33">
                  <c:v>210000</c:v>
                </c:pt>
                <c:pt idx="34">
                  <c:v>265000</c:v>
                </c:pt>
                <c:pt idx="35">
                  <c:v>15431975</c:v>
                </c:pt>
                <c:pt idx="36">
                  <c:v>0</c:v>
                </c:pt>
                <c:pt idx="37">
                  <c:v>2428166</c:v>
                </c:pt>
                <c:pt idx="38">
                  <c:v>18415500</c:v>
                </c:pt>
                <c:pt idx="39">
                  <c:v>3150000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4-47B3-A12C-DD993E283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200520"/>
        <c:axId val="629207000"/>
      </c:lineChart>
      <c:catAx>
        <c:axId val="62920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7000"/>
        <c:crosses val="autoZero"/>
        <c:auto val="1"/>
        <c:lblAlgn val="ctr"/>
        <c:lblOffset val="100"/>
        <c:noMultiLvlLbl val="0"/>
      </c:catAx>
      <c:valAx>
        <c:axId val="6292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REALISASI PEMASARAN DAERAH</a:t>
            </a:r>
          </a:p>
          <a:p>
            <a:pPr>
              <a:defRPr/>
            </a:pPr>
            <a:r>
              <a:rPr lang="en-US"/>
              <a:t>BULAN JANUARI S/D DESEMBER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'2021'!$G$5:$R$5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'2021'!$G$90:$R$90</c:f>
              <c:numCache>
                <c:formatCode>_-* #,##0_-;\-* #,##0_-;_-* "-"_-;_-@_-</c:formatCode>
                <c:ptCount val="12"/>
                <c:pt idx="0">
                  <c:v>414381971</c:v>
                </c:pt>
                <c:pt idx="1">
                  <c:v>382443770</c:v>
                </c:pt>
                <c:pt idx="2">
                  <c:v>394078880</c:v>
                </c:pt>
                <c:pt idx="3">
                  <c:v>375824253</c:v>
                </c:pt>
                <c:pt idx="4">
                  <c:v>323639822</c:v>
                </c:pt>
                <c:pt idx="5">
                  <c:v>401074107</c:v>
                </c:pt>
                <c:pt idx="6">
                  <c:v>384416658</c:v>
                </c:pt>
                <c:pt idx="7">
                  <c:v>378153042</c:v>
                </c:pt>
                <c:pt idx="8">
                  <c:v>426398431</c:v>
                </c:pt>
                <c:pt idx="9">
                  <c:v>469883780</c:v>
                </c:pt>
                <c:pt idx="10">
                  <c:v>394158483</c:v>
                </c:pt>
                <c:pt idx="11">
                  <c:v>360778215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2-458E-AC08-823670D19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Daerah Pengambilan Terbanyak Oktober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('2021'!$E$8:$E$14,'2021'!$E$18:$E$23,'2021'!$E$27:$E$31,'2021'!$E$35:$E$42,'2021'!$E$46:$E$49,'2021'!$E$53:$E$56,'2021'!$E$61:$E$70,'2021'!$E$74:$E$88)</c:f>
              <c:strCache>
                <c:ptCount val="59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Moutong</c:v>
                </c:pt>
                <c:pt idx="9">
                  <c:v>Toli Toli</c:v>
                </c:pt>
                <c:pt idx="10">
                  <c:v>Gorontalo</c:v>
                </c:pt>
                <c:pt idx="11">
                  <c:v>Palu</c:v>
                </c:pt>
                <c:pt idx="12">
                  <c:v>Poso</c:v>
                </c:pt>
                <c:pt idx="13">
                  <c:v>Luwu Utara</c:v>
                </c:pt>
                <c:pt idx="14">
                  <c:v>Luwu Timur</c:v>
                </c:pt>
                <c:pt idx="15">
                  <c:v>Luwu</c:v>
                </c:pt>
                <c:pt idx="16">
                  <c:v>Palopo</c:v>
                </c:pt>
                <c:pt idx="17">
                  <c:v>Morowali</c:v>
                </c:pt>
                <c:pt idx="18">
                  <c:v>Kolaka Utara</c:v>
                </c:pt>
                <c:pt idx="19">
                  <c:v>Kolaka Kota</c:v>
                </c:pt>
                <c:pt idx="20">
                  <c:v>Bombana </c:v>
                </c:pt>
                <c:pt idx="21">
                  <c:v>Kendari</c:v>
                </c:pt>
                <c:pt idx="22">
                  <c:v>Konawe Selatan</c:v>
                </c:pt>
                <c:pt idx="23">
                  <c:v>Konawe Utara</c:v>
                </c:pt>
                <c:pt idx="24">
                  <c:v>Raha </c:v>
                </c:pt>
                <c:pt idx="25">
                  <c:v>Buton</c:v>
                </c:pt>
                <c:pt idx="26">
                  <c:v>Pare Pare</c:v>
                </c:pt>
                <c:pt idx="27">
                  <c:v>Barru</c:v>
                </c:pt>
                <c:pt idx="28">
                  <c:v>Pangkep </c:v>
                </c:pt>
                <c:pt idx="29">
                  <c:v>Maros</c:v>
                </c:pt>
                <c:pt idx="30">
                  <c:v>Wajo</c:v>
                </c:pt>
                <c:pt idx="31">
                  <c:v>Bone</c:v>
                </c:pt>
                <c:pt idx="32">
                  <c:v>Sinjai</c:v>
                </c:pt>
                <c:pt idx="33">
                  <c:v>Bulukumba/Selayar/Bantaeng</c:v>
                </c:pt>
                <c:pt idx="34">
                  <c:v>Takalar (Intensif)</c:v>
                </c:pt>
                <c:pt idx="35">
                  <c:v>Bulukumba (Intensif)</c:v>
                </c:pt>
                <c:pt idx="36">
                  <c:v>Jeneponto</c:v>
                </c:pt>
                <c:pt idx="37">
                  <c:v>Parigi (Intens)</c:v>
                </c:pt>
                <c:pt idx="38">
                  <c:v>Lingadan (Intens)</c:v>
                </c:pt>
                <c:pt idx="39">
                  <c:v>Sinay, Parigi (Intens)</c:v>
                </c:pt>
                <c:pt idx="40">
                  <c:v>Jalang'E (Petak 7, 8 9)</c:v>
                </c:pt>
                <c:pt idx="41">
                  <c:v>Jalang'E (Petak 3)</c:v>
                </c:pt>
                <c:pt idx="42">
                  <c:v>Luwuk Banggai</c:v>
                </c:pt>
                <c:pt idx="43">
                  <c:v>Makassar</c:v>
                </c:pt>
                <c:pt idx="44">
                  <c:v>Yogyakarta</c:v>
                </c:pt>
                <c:pt idx="45">
                  <c:v>Ternate</c:v>
                </c:pt>
                <c:pt idx="46">
                  <c:v>Gresik</c:v>
                </c:pt>
                <c:pt idx="47">
                  <c:v>Sumbawa/ Lombok</c:v>
                </c:pt>
                <c:pt idx="48">
                  <c:v>Tuban/Surabaya</c:v>
                </c:pt>
                <c:pt idx="49">
                  <c:v>Berau, Kal. Utara</c:v>
                </c:pt>
                <c:pt idx="50">
                  <c:v>Tarakan/Nunukan, Kalut</c:v>
                </c:pt>
                <c:pt idx="51">
                  <c:v>Pontianak, Kalbar</c:v>
                </c:pt>
                <c:pt idx="52">
                  <c:v>Balikpapan/Samarinda, Kaltim</c:v>
                </c:pt>
                <c:pt idx="53">
                  <c:v>Batu Licin, Kalsel</c:v>
                </c:pt>
                <c:pt idx="54">
                  <c:v>Semarang</c:v>
                </c:pt>
                <c:pt idx="55">
                  <c:v>Papua/ Jaya Pura</c:v>
                </c:pt>
                <c:pt idx="56">
                  <c:v>Pangkal Pinang</c:v>
                </c:pt>
                <c:pt idx="57">
                  <c:v>Bengkulu/ Bengkalis</c:v>
                </c:pt>
                <c:pt idx="58">
                  <c:v>Manado</c:v>
                </c:pt>
              </c:strCache>
            </c:strRef>
          </c:cat>
          <c:val>
            <c:numRef>
              <c:f>('2021'!$P$8:$P$14,'2021'!$P$18:$P$23,'2021'!$P$27:$P$31,'2021'!$P$35:$P$42,'2021'!$P$46:$P$49,'2021'!$P$53:$P$56,'2021'!$P$61:$P$70,'2021'!$P$74:$P$88)</c:f>
              <c:numCache>
                <c:formatCode>_(* #,##0_);_(* \(#,##0\);_(* "-"_);_(@_)</c:formatCode>
                <c:ptCount val="59"/>
                <c:pt idx="0">
                  <c:v>3950000</c:v>
                </c:pt>
                <c:pt idx="1">
                  <c:v>12056000</c:v>
                </c:pt>
                <c:pt idx="2">
                  <c:v>11446000</c:v>
                </c:pt>
                <c:pt idx="3">
                  <c:v>10393500</c:v>
                </c:pt>
                <c:pt idx="4">
                  <c:v>15162500</c:v>
                </c:pt>
                <c:pt idx="5">
                  <c:v>18271500</c:v>
                </c:pt>
                <c:pt idx="6" formatCode="_-* #,##0_-;\-* #,##0_-;_-* &quot;-&quot;_-;_-@_-">
                  <c:v>1765000</c:v>
                </c:pt>
                <c:pt idx="7">
                  <c:v>21969193</c:v>
                </c:pt>
                <c:pt idx="8">
                  <c:v>15035000</c:v>
                </c:pt>
                <c:pt idx="9">
                  <c:v>0</c:v>
                </c:pt>
                <c:pt idx="10">
                  <c:v>45477500</c:v>
                </c:pt>
                <c:pt idx="11">
                  <c:v>550000</c:v>
                </c:pt>
                <c:pt idx="12">
                  <c:v>2425000</c:v>
                </c:pt>
                <c:pt idx="13">
                  <c:v>11036000</c:v>
                </c:pt>
                <c:pt idx="14">
                  <c:v>16135000</c:v>
                </c:pt>
                <c:pt idx="15">
                  <c:v>3754000</c:v>
                </c:pt>
                <c:pt idx="16">
                  <c:v>3747000</c:v>
                </c:pt>
                <c:pt idx="17" formatCode="_-* #,##0_-;\-* #,##0_-;_-* &quot;-&quot;_-;_-@_-">
                  <c:v>420000</c:v>
                </c:pt>
                <c:pt idx="18">
                  <c:v>32240000</c:v>
                </c:pt>
                <c:pt idx="19">
                  <c:v>26249000</c:v>
                </c:pt>
                <c:pt idx="20">
                  <c:v>18362047</c:v>
                </c:pt>
                <c:pt idx="21">
                  <c:v>1760000</c:v>
                </c:pt>
                <c:pt idx="22">
                  <c:v>21615000</c:v>
                </c:pt>
                <c:pt idx="23">
                  <c:v>0</c:v>
                </c:pt>
                <c:pt idx="24">
                  <c:v>2175000</c:v>
                </c:pt>
                <c:pt idx="25">
                  <c:v>0</c:v>
                </c:pt>
                <c:pt idx="26">
                  <c:v>210000</c:v>
                </c:pt>
                <c:pt idx="27">
                  <c:v>18165000</c:v>
                </c:pt>
                <c:pt idx="28">
                  <c:v>17887500</c:v>
                </c:pt>
                <c:pt idx="29">
                  <c:v>12817000</c:v>
                </c:pt>
                <c:pt idx="30">
                  <c:v>29475500</c:v>
                </c:pt>
                <c:pt idx="31">
                  <c:v>46271000</c:v>
                </c:pt>
                <c:pt idx="32">
                  <c:v>0</c:v>
                </c:pt>
                <c:pt idx="33">
                  <c:v>9055000</c:v>
                </c:pt>
                <c:pt idx="34">
                  <c:v>0</c:v>
                </c:pt>
                <c:pt idx="35">
                  <c:v>7950000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6035000</c:v>
                </c:pt>
                <c:pt idx="43">
                  <c:v>500000</c:v>
                </c:pt>
                <c:pt idx="44">
                  <c:v>22662000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2300</c:v>
                </c:pt>
                <c:pt idx="53">
                  <c:v>0</c:v>
                </c:pt>
                <c:pt idx="54">
                  <c:v>0</c:v>
                </c:pt>
                <c:pt idx="55">
                  <c:v>10000</c:v>
                </c:pt>
                <c:pt idx="56">
                  <c:v>0</c:v>
                </c:pt>
                <c:pt idx="57">
                  <c:v>2634240</c:v>
                </c:pt>
                <c:pt idx="58">
                  <c:v>215000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C-4164-980E-19FE61305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200520"/>
        <c:axId val="629207000"/>
      </c:lineChart>
      <c:catAx>
        <c:axId val="62920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7000"/>
        <c:crosses val="autoZero"/>
        <c:auto val="1"/>
        <c:lblAlgn val="ctr"/>
        <c:lblOffset val="100"/>
        <c:noMultiLvlLbl val="0"/>
      </c:catAx>
      <c:valAx>
        <c:axId val="6292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REALISASI PEMASARAN DAERAH</a:t>
            </a:r>
          </a:p>
          <a:p>
            <a:pPr>
              <a:defRPr/>
            </a:pPr>
            <a:r>
              <a:rPr lang="en-US"/>
              <a:t>BULAN JANUARI S/D DESEMBER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'2022'!$G$5:$R$5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'2022'!$G$93:$R$93</c:f>
              <c:numCache>
                <c:formatCode>_-* #,##0_-;\-* #,##0_-;_-* "-"_-;_-@_-</c:formatCode>
                <c:ptCount val="12"/>
                <c:pt idx="0">
                  <c:v>421612533</c:v>
                </c:pt>
                <c:pt idx="1">
                  <c:v>370446602</c:v>
                </c:pt>
                <c:pt idx="2">
                  <c:v>399594164</c:v>
                </c:pt>
                <c:pt idx="3">
                  <c:v>377844240</c:v>
                </c:pt>
                <c:pt idx="4">
                  <c:v>331111855</c:v>
                </c:pt>
                <c:pt idx="5">
                  <c:v>331168871</c:v>
                </c:pt>
                <c:pt idx="6">
                  <c:v>327706332</c:v>
                </c:pt>
                <c:pt idx="7">
                  <c:v>358898927</c:v>
                </c:pt>
                <c:pt idx="8">
                  <c:v>391156029</c:v>
                </c:pt>
                <c:pt idx="9">
                  <c:v>349512693</c:v>
                </c:pt>
                <c:pt idx="10">
                  <c:v>320444927</c:v>
                </c:pt>
                <c:pt idx="11">
                  <c:v>302716813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6-4BEF-A942-748D88381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Daerah Pengambilan Terbanyak Januari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('2022'!$E$8:$E$14,'2022'!$E$18:$E$25,'2022'!$E$29:$E$36,'2022'!$E$40:$E$43,'2022'!$E$47:$E$50,'2022'!$E$54:$E$58,'2022'!$E$63:$E$73,'2022'!$E$77:$E$91)</c:f>
              <c:strCache>
                <c:ptCount val="62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Moutong</c:v>
                </c:pt>
                <c:pt idx="9">
                  <c:v>Toli Toli</c:v>
                </c:pt>
                <c:pt idx="10">
                  <c:v>Buol</c:v>
                </c:pt>
                <c:pt idx="11">
                  <c:v>Gorontalo</c:v>
                </c:pt>
                <c:pt idx="12">
                  <c:v>Palu</c:v>
                </c:pt>
                <c:pt idx="13">
                  <c:v>Poso</c:v>
                </c:pt>
                <c:pt idx="14">
                  <c:v>Luwuk Banggai</c:v>
                </c:pt>
                <c:pt idx="15">
                  <c:v>Kolaka Utara</c:v>
                </c:pt>
                <c:pt idx="16">
                  <c:v>Kolaka Kota</c:v>
                </c:pt>
                <c:pt idx="17">
                  <c:v>Bombana </c:v>
                </c:pt>
                <c:pt idx="18">
                  <c:v>Kendari</c:v>
                </c:pt>
                <c:pt idx="19">
                  <c:v>Konawe Selatan</c:v>
                </c:pt>
                <c:pt idx="20">
                  <c:v>Konawe Utara</c:v>
                </c:pt>
                <c:pt idx="21">
                  <c:v>Raha </c:v>
                </c:pt>
                <c:pt idx="22">
                  <c:v>Buton</c:v>
                </c:pt>
                <c:pt idx="23">
                  <c:v>Pare Pare</c:v>
                </c:pt>
                <c:pt idx="24">
                  <c:v>Barru</c:v>
                </c:pt>
                <c:pt idx="25">
                  <c:v>Pangkep </c:v>
                </c:pt>
                <c:pt idx="26">
                  <c:v>Maros</c:v>
                </c:pt>
                <c:pt idx="27">
                  <c:v>Wajo</c:v>
                </c:pt>
                <c:pt idx="28">
                  <c:v>Bone</c:v>
                </c:pt>
                <c:pt idx="29">
                  <c:v>Sinjai</c:v>
                </c:pt>
                <c:pt idx="30">
                  <c:v>Bulukumba/Selayar/Bantaeng</c:v>
                </c:pt>
                <c:pt idx="31">
                  <c:v>Luwu Utara</c:v>
                </c:pt>
                <c:pt idx="32">
                  <c:v>Luwu Timur</c:v>
                </c:pt>
                <c:pt idx="33">
                  <c:v>Luwu</c:v>
                </c:pt>
                <c:pt idx="34">
                  <c:v>Palopo</c:v>
                </c:pt>
                <c:pt idx="35">
                  <c:v>Morowali</c:v>
                </c:pt>
                <c:pt idx="36">
                  <c:v>Takalar (Intensif)</c:v>
                </c:pt>
                <c:pt idx="37">
                  <c:v>Bulukumba (Intensif)</c:v>
                </c:pt>
                <c:pt idx="38">
                  <c:v>Jeneponto</c:v>
                </c:pt>
                <c:pt idx="39">
                  <c:v>Parigi (Intens)</c:v>
                </c:pt>
                <c:pt idx="40">
                  <c:v>Lingadan (Intens)</c:v>
                </c:pt>
                <c:pt idx="41">
                  <c:v>Dampal (Intens)</c:v>
                </c:pt>
                <c:pt idx="42">
                  <c:v>Sinay, Parigi (Intens)</c:v>
                </c:pt>
                <c:pt idx="43">
                  <c:v>Donggulu (Intens)</c:v>
                </c:pt>
                <c:pt idx="44">
                  <c:v>Jalang'E (Petak 7, 8 9)</c:v>
                </c:pt>
                <c:pt idx="45">
                  <c:v>Luwuk Banggai</c:v>
                </c:pt>
                <c:pt idx="46">
                  <c:v>Makassar</c:v>
                </c:pt>
                <c:pt idx="47">
                  <c:v>Yogyakarta</c:v>
                </c:pt>
                <c:pt idx="48">
                  <c:v>Ternate</c:v>
                </c:pt>
                <c:pt idx="49">
                  <c:v>Gresik</c:v>
                </c:pt>
                <c:pt idx="50">
                  <c:v>Sumbawa/ Lombok</c:v>
                </c:pt>
                <c:pt idx="51">
                  <c:v>Tuban/Surabaya</c:v>
                </c:pt>
                <c:pt idx="52">
                  <c:v>Berau, Kal. Utara</c:v>
                </c:pt>
                <c:pt idx="53">
                  <c:v>Tarakan/Nunukan, Kalut</c:v>
                </c:pt>
                <c:pt idx="54">
                  <c:v>Pontianak, Kalbar</c:v>
                </c:pt>
                <c:pt idx="55">
                  <c:v>Balikpapan/Samarinda, Kaltim</c:v>
                </c:pt>
                <c:pt idx="56">
                  <c:v>Batu Licin, Kalsel</c:v>
                </c:pt>
                <c:pt idx="57">
                  <c:v>Semarang</c:v>
                </c:pt>
                <c:pt idx="58">
                  <c:v>Papua/ Jaya Pura</c:v>
                </c:pt>
                <c:pt idx="59">
                  <c:v>Pangkal Pinang</c:v>
                </c:pt>
                <c:pt idx="60">
                  <c:v>Bengkulu/ Bengkalis</c:v>
                </c:pt>
                <c:pt idx="61">
                  <c:v>Manado</c:v>
                </c:pt>
              </c:strCache>
            </c:strRef>
          </c:cat>
          <c:val>
            <c:numRef>
              <c:f>('2022'!$G$8:$G$14,'2022'!$G$18:$G$25,'2022'!$G$29:$G$36,'2022'!$G$40:$G$43,'2022'!$G$47:$G$50,'2022'!$G$54:$G$58,'2022'!$G$63:$G$73,'2022'!$G$77:$G$91)</c:f>
              <c:numCache>
                <c:formatCode>_(* #,##0_);_(* \(#,##0\);_(* "-"_);_(@_)</c:formatCode>
                <c:ptCount val="62"/>
                <c:pt idx="0">
                  <c:v>2160000</c:v>
                </c:pt>
                <c:pt idx="1">
                  <c:v>9194500</c:v>
                </c:pt>
                <c:pt idx="2">
                  <c:v>9430000</c:v>
                </c:pt>
                <c:pt idx="3">
                  <c:v>11520000</c:v>
                </c:pt>
                <c:pt idx="4">
                  <c:v>18131500</c:v>
                </c:pt>
                <c:pt idx="5">
                  <c:v>13035000</c:v>
                </c:pt>
                <c:pt idx="6" formatCode="_-* #,##0_-;\-* #,##0_-;_-* &quot;-&quot;_-;_-@_-">
                  <c:v>1080000</c:v>
                </c:pt>
                <c:pt idx="7">
                  <c:v>16214000</c:v>
                </c:pt>
                <c:pt idx="8">
                  <c:v>14475000</c:v>
                </c:pt>
                <c:pt idx="9">
                  <c:v>0</c:v>
                </c:pt>
                <c:pt idx="10">
                  <c:v>0</c:v>
                </c:pt>
                <c:pt idx="11">
                  <c:v>43535000</c:v>
                </c:pt>
                <c:pt idx="12">
                  <c:v>2660000</c:v>
                </c:pt>
                <c:pt idx="13">
                  <c:v>3420000</c:v>
                </c:pt>
                <c:pt idx="14">
                  <c:v>0</c:v>
                </c:pt>
                <c:pt idx="15">
                  <c:v>29274000</c:v>
                </c:pt>
                <c:pt idx="16">
                  <c:v>25812000</c:v>
                </c:pt>
                <c:pt idx="17">
                  <c:v>15785833</c:v>
                </c:pt>
                <c:pt idx="18">
                  <c:v>0</c:v>
                </c:pt>
                <c:pt idx="19">
                  <c:v>22319000</c:v>
                </c:pt>
                <c:pt idx="20">
                  <c:v>0</c:v>
                </c:pt>
                <c:pt idx="21">
                  <c:v>1400000</c:v>
                </c:pt>
                <c:pt idx="22">
                  <c:v>0</c:v>
                </c:pt>
                <c:pt idx="23">
                  <c:v>140000</c:v>
                </c:pt>
                <c:pt idx="24">
                  <c:v>8515500</c:v>
                </c:pt>
                <c:pt idx="25">
                  <c:v>7691500</c:v>
                </c:pt>
                <c:pt idx="26">
                  <c:v>4929000</c:v>
                </c:pt>
                <c:pt idx="27">
                  <c:v>25824500</c:v>
                </c:pt>
                <c:pt idx="28">
                  <c:v>43357000</c:v>
                </c:pt>
                <c:pt idx="29">
                  <c:v>87000</c:v>
                </c:pt>
                <c:pt idx="30">
                  <c:v>3800000</c:v>
                </c:pt>
                <c:pt idx="31">
                  <c:v>8355500</c:v>
                </c:pt>
                <c:pt idx="32">
                  <c:v>17856000</c:v>
                </c:pt>
                <c:pt idx="33">
                  <c:v>3798000</c:v>
                </c:pt>
                <c:pt idx="34">
                  <c:v>4264000</c:v>
                </c:pt>
                <c:pt idx="35" formatCode="_-* #,##0_-;\-* #,##0_-;_-* &quot;-&quot;_-;_-@_-">
                  <c:v>1110000</c:v>
                </c:pt>
                <c:pt idx="36">
                  <c:v>0</c:v>
                </c:pt>
                <c:pt idx="37">
                  <c:v>9300000</c:v>
                </c:pt>
                <c:pt idx="38">
                  <c:v>0</c:v>
                </c:pt>
                <c:pt idx="39">
                  <c:v>10565000</c:v>
                </c:pt>
                <c:pt idx="40">
                  <c:v>4325000</c:v>
                </c:pt>
                <c:pt idx="41">
                  <c:v>0</c:v>
                </c:pt>
                <c:pt idx="42">
                  <c:v>1409600</c:v>
                </c:pt>
                <c:pt idx="43">
                  <c:v>0</c:v>
                </c:pt>
                <c:pt idx="44">
                  <c:v>1620000</c:v>
                </c:pt>
                <c:pt idx="45">
                  <c:v>953000</c:v>
                </c:pt>
                <c:pt idx="46">
                  <c:v>0</c:v>
                </c:pt>
                <c:pt idx="47">
                  <c:v>18544500</c:v>
                </c:pt>
                <c:pt idx="48">
                  <c:v>80000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50000</c:v>
                </c:pt>
                <c:pt idx="59">
                  <c:v>0</c:v>
                </c:pt>
                <c:pt idx="60">
                  <c:v>5521600</c:v>
                </c:pt>
                <c:pt idx="61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B-4314-8BEE-CB8489C98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200520"/>
        <c:axId val="629207000"/>
      </c:lineChart>
      <c:catAx>
        <c:axId val="62920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7000"/>
        <c:crosses val="autoZero"/>
        <c:auto val="1"/>
        <c:lblAlgn val="ctr"/>
        <c:lblOffset val="100"/>
        <c:noMultiLvlLbl val="0"/>
      </c:catAx>
      <c:valAx>
        <c:axId val="6292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REALISASI PEMASARAN DAERAH</a:t>
            </a:r>
          </a:p>
          <a:p>
            <a:pPr>
              <a:defRPr/>
            </a:pPr>
            <a:r>
              <a:rPr lang="en-US"/>
              <a:t>BULAN JANUARI S/D DESEMBER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'2023'!$G$5:$R$5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'2023'!$G$102:$R$102</c:f>
              <c:numCache>
                <c:formatCode>_-* #,##0_-;\-* #,##0_-;_-* "-"_-;_-@_-</c:formatCode>
                <c:ptCount val="12"/>
                <c:pt idx="0">
                  <c:v>329118271</c:v>
                </c:pt>
                <c:pt idx="1">
                  <c:v>278243850</c:v>
                </c:pt>
                <c:pt idx="2">
                  <c:v>307287000</c:v>
                </c:pt>
                <c:pt idx="3">
                  <c:v>277046465</c:v>
                </c:pt>
                <c:pt idx="4">
                  <c:v>280788700</c:v>
                </c:pt>
                <c:pt idx="5">
                  <c:v>249963500</c:v>
                </c:pt>
                <c:pt idx="6">
                  <c:v>243397550</c:v>
                </c:pt>
                <c:pt idx="7">
                  <c:v>263341032</c:v>
                </c:pt>
                <c:pt idx="8">
                  <c:v>212544090</c:v>
                </c:pt>
                <c:pt idx="9">
                  <c:v>235866500</c:v>
                </c:pt>
                <c:pt idx="10">
                  <c:v>244300458</c:v>
                </c:pt>
                <c:pt idx="11">
                  <c:v>224709500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4-4929-905B-6BD6F2A9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Daerah Pengambilan Terbanyak Januari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series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('2023'!$E$8:$E$14,'2023'!$E$18:$E$25,'2023'!$E$29:$E$36,'2023'!$E$40:$E$43,'2023'!$E$47:$E$50,'2023'!$E$54:$E$58,'2023'!$E$63:$E$82,'2023'!$E$86:$E$100)</c:f>
              <c:strCache>
                <c:ptCount val="71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Moutong</c:v>
                </c:pt>
                <c:pt idx="9">
                  <c:v>Toli Toli</c:v>
                </c:pt>
                <c:pt idx="10">
                  <c:v>Buol</c:v>
                </c:pt>
                <c:pt idx="11">
                  <c:v>Gorontalo</c:v>
                </c:pt>
                <c:pt idx="12">
                  <c:v>Palu</c:v>
                </c:pt>
                <c:pt idx="13">
                  <c:v>Poso</c:v>
                </c:pt>
                <c:pt idx="14">
                  <c:v>Luwuk Banggai</c:v>
                </c:pt>
                <c:pt idx="15">
                  <c:v>Kolaka Utara</c:v>
                </c:pt>
                <c:pt idx="16">
                  <c:v>Kolaka Kota</c:v>
                </c:pt>
                <c:pt idx="17">
                  <c:v>Bombana </c:v>
                </c:pt>
                <c:pt idx="18">
                  <c:v>Kendari</c:v>
                </c:pt>
                <c:pt idx="19">
                  <c:v>Konawe Selatan</c:v>
                </c:pt>
                <c:pt idx="20">
                  <c:v>Konawe Utara</c:v>
                </c:pt>
                <c:pt idx="21">
                  <c:v>Raha </c:v>
                </c:pt>
                <c:pt idx="22">
                  <c:v>Buton</c:v>
                </c:pt>
                <c:pt idx="23">
                  <c:v>Pare Pare</c:v>
                </c:pt>
                <c:pt idx="24">
                  <c:v>Barru</c:v>
                </c:pt>
                <c:pt idx="25">
                  <c:v>Pangkep </c:v>
                </c:pt>
                <c:pt idx="26">
                  <c:v>Maros</c:v>
                </c:pt>
                <c:pt idx="27">
                  <c:v>Wajo</c:v>
                </c:pt>
                <c:pt idx="28">
                  <c:v>Bone</c:v>
                </c:pt>
                <c:pt idx="29">
                  <c:v>Sinjai</c:v>
                </c:pt>
                <c:pt idx="30">
                  <c:v>Bulukumba/Selayar/Bantaeng</c:v>
                </c:pt>
                <c:pt idx="31">
                  <c:v>Luwu Utara</c:v>
                </c:pt>
                <c:pt idx="32">
                  <c:v>Luwu Timur</c:v>
                </c:pt>
                <c:pt idx="33">
                  <c:v>Luwu</c:v>
                </c:pt>
                <c:pt idx="34">
                  <c:v>Palopo</c:v>
                </c:pt>
                <c:pt idx="35">
                  <c:v>Morowali</c:v>
                </c:pt>
                <c:pt idx="36">
                  <c:v>Takalar (Intensif)</c:v>
                </c:pt>
                <c:pt idx="37">
                  <c:v>Bulukumba (Intensif)</c:v>
                </c:pt>
                <c:pt idx="38">
                  <c:v>Luwuk Banggai (Intensif)</c:v>
                </c:pt>
                <c:pt idx="39">
                  <c:v>Jeneponto</c:v>
                </c:pt>
                <c:pt idx="40">
                  <c:v>Jalang'E (Petak 7, 8 9)</c:v>
                </c:pt>
                <c:pt idx="41">
                  <c:v>Donggulu 1</c:v>
                </c:pt>
                <c:pt idx="42">
                  <c:v>Donggulu 2</c:v>
                </c:pt>
                <c:pt idx="43">
                  <c:v>Lingadan AB</c:v>
                </c:pt>
                <c:pt idx="44">
                  <c:v>Lingadan A Masyarakat</c:v>
                </c:pt>
                <c:pt idx="45">
                  <c:v>Lingadan B Masyarakat</c:v>
                </c:pt>
                <c:pt idx="46">
                  <c:v>Lingadan C Perusahaan</c:v>
                </c:pt>
                <c:pt idx="47">
                  <c:v>Lingadan D Perusahaan</c:v>
                </c:pt>
                <c:pt idx="48">
                  <c:v>Tomoli, Parigi </c:v>
                </c:pt>
                <c:pt idx="49">
                  <c:v>Siney, Parigi</c:v>
                </c:pt>
                <c:pt idx="50">
                  <c:v>Bambapula 1, Dampal </c:v>
                </c:pt>
                <c:pt idx="51">
                  <c:v>Lado ABCD, Parigi</c:v>
                </c:pt>
                <c:pt idx="52">
                  <c:v>Babanji ABCD, Dampal</c:v>
                </c:pt>
                <c:pt idx="53">
                  <c:v>Bambapula 2, Dampal </c:v>
                </c:pt>
                <c:pt idx="54">
                  <c:v>Lombonga, Donggala</c:v>
                </c:pt>
                <c:pt idx="55">
                  <c:v>Makassar</c:v>
                </c:pt>
                <c:pt idx="56">
                  <c:v>Yogyakarta</c:v>
                </c:pt>
                <c:pt idx="57">
                  <c:v>Ternate</c:v>
                </c:pt>
                <c:pt idx="58">
                  <c:v>Gresik</c:v>
                </c:pt>
                <c:pt idx="59">
                  <c:v>Sumbawa/ Lombok</c:v>
                </c:pt>
                <c:pt idx="60">
                  <c:v>Tuban/Surabaya</c:v>
                </c:pt>
                <c:pt idx="61">
                  <c:v>Berau, Kal. Utara</c:v>
                </c:pt>
                <c:pt idx="62">
                  <c:v>Tarakan/Nunukan, Kalut</c:v>
                </c:pt>
                <c:pt idx="63">
                  <c:v>Pontianak, Kalbar</c:v>
                </c:pt>
                <c:pt idx="64">
                  <c:v>Balikpapan/Samarinda, Kaltim</c:v>
                </c:pt>
                <c:pt idx="65">
                  <c:v>Batu Licin, Kalsel</c:v>
                </c:pt>
                <c:pt idx="66">
                  <c:v>Semarang</c:v>
                </c:pt>
                <c:pt idx="67">
                  <c:v>Papua/ Jaya Pura</c:v>
                </c:pt>
                <c:pt idx="68">
                  <c:v>Pangkal Pinang</c:v>
                </c:pt>
                <c:pt idx="69">
                  <c:v>Bengkulu/ Bengkalis</c:v>
                </c:pt>
                <c:pt idx="70">
                  <c:v>Manado</c:v>
                </c:pt>
              </c:strCache>
            </c:strRef>
          </c:cat>
          <c:val>
            <c:numRef>
              <c:f>('2023'!$G$8:$G$14,'2023'!$G$18:$G$25,'2023'!$G$29:$G$36,'2023'!$G$40:$G$43,'2023'!$G$47:$G$50,'2023'!$G$54:$G$58,'2023'!$G$63:$G$82,'2023'!$G$86:$G$100)</c:f>
              <c:numCache>
                <c:formatCode>_(* #,##0_);_(* \(#,##0\);_(* "-"_);_(@_)</c:formatCode>
                <c:ptCount val="71"/>
                <c:pt idx="0">
                  <c:v>4400000</c:v>
                </c:pt>
                <c:pt idx="1">
                  <c:v>8538700</c:v>
                </c:pt>
                <c:pt idx="2">
                  <c:v>6691000</c:v>
                </c:pt>
                <c:pt idx="3">
                  <c:v>6420000</c:v>
                </c:pt>
                <c:pt idx="4">
                  <c:v>8898000</c:v>
                </c:pt>
                <c:pt idx="5">
                  <c:v>7078000</c:v>
                </c:pt>
                <c:pt idx="6" formatCode="_-* #,##0_-;\-* #,##0_-;_-* &quot;-&quot;_-;_-@_-">
                  <c:v>522000</c:v>
                </c:pt>
                <c:pt idx="7">
                  <c:v>24173681</c:v>
                </c:pt>
                <c:pt idx="8">
                  <c:v>21522500</c:v>
                </c:pt>
                <c:pt idx="9">
                  <c:v>1875000</c:v>
                </c:pt>
                <c:pt idx="10">
                  <c:v>0</c:v>
                </c:pt>
                <c:pt idx="11">
                  <c:v>22865000</c:v>
                </c:pt>
                <c:pt idx="12">
                  <c:v>1660000</c:v>
                </c:pt>
                <c:pt idx="13">
                  <c:v>4471000</c:v>
                </c:pt>
                <c:pt idx="14">
                  <c:v>395000</c:v>
                </c:pt>
                <c:pt idx="15">
                  <c:v>18351454</c:v>
                </c:pt>
                <c:pt idx="16">
                  <c:v>10405362</c:v>
                </c:pt>
                <c:pt idx="17">
                  <c:v>7576000</c:v>
                </c:pt>
                <c:pt idx="18">
                  <c:v>0</c:v>
                </c:pt>
                <c:pt idx="19">
                  <c:v>14107454</c:v>
                </c:pt>
                <c:pt idx="20">
                  <c:v>430000</c:v>
                </c:pt>
                <c:pt idx="21">
                  <c:v>780000</c:v>
                </c:pt>
                <c:pt idx="22">
                  <c:v>0</c:v>
                </c:pt>
                <c:pt idx="23">
                  <c:v>60000</c:v>
                </c:pt>
                <c:pt idx="24">
                  <c:v>3717500</c:v>
                </c:pt>
                <c:pt idx="25">
                  <c:v>4876000</c:v>
                </c:pt>
                <c:pt idx="26">
                  <c:v>3868000</c:v>
                </c:pt>
                <c:pt idx="27">
                  <c:v>22250000</c:v>
                </c:pt>
                <c:pt idx="28">
                  <c:v>38662000</c:v>
                </c:pt>
                <c:pt idx="29">
                  <c:v>0</c:v>
                </c:pt>
                <c:pt idx="30">
                  <c:v>6775000</c:v>
                </c:pt>
                <c:pt idx="31">
                  <c:v>7244500</c:v>
                </c:pt>
                <c:pt idx="32">
                  <c:v>12945000</c:v>
                </c:pt>
                <c:pt idx="33">
                  <c:v>4187000</c:v>
                </c:pt>
                <c:pt idx="34">
                  <c:v>3770000</c:v>
                </c:pt>
                <c:pt idx="35" formatCode="_-* #,##0_-;\-* #,##0_-;_-* &quot;-&quot;_-;_-@_-">
                  <c:v>4255000</c:v>
                </c:pt>
                <c:pt idx="36">
                  <c:v>0</c:v>
                </c:pt>
                <c:pt idx="37">
                  <c:v>6567120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12400000</c:v>
                </c:pt>
                <c:pt idx="42">
                  <c:v>0</c:v>
                </c:pt>
                <c:pt idx="43">
                  <c:v>1500000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5940000</c:v>
                </c:pt>
                <c:pt idx="49">
                  <c:v>1422000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50000</c:v>
                </c:pt>
                <c:pt idx="56">
                  <c:v>9949000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2190000</c:v>
                </c:pt>
                <c:pt idx="65">
                  <c:v>550000</c:v>
                </c:pt>
                <c:pt idx="66">
                  <c:v>100000</c:v>
                </c:pt>
                <c:pt idx="67">
                  <c:v>150000</c:v>
                </c:pt>
                <c:pt idx="68">
                  <c:v>0</c:v>
                </c:pt>
                <c:pt idx="69">
                  <c:v>4530000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2-41F8-9291-BA034B2BF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200520"/>
        <c:axId val="629207000"/>
      </c:lineChart>
      <c:catAx>
        <c:axId val="62920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7000"/>
        <c:crosses val="autoZero"/>
        <c:auto val="1"/>
        <c:lblAlgn val="ctr"/>
        <c:lblOffset val="100"/>
        <c:noMultiLvlLbl val="0"/>
      </c:catAx>
      <c:valAx>
        <c:axId val="6292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00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REALISASI PEMASARAN DAERAH</a:t>
            </a:r>
          </a:p>
          <a:p>
            <a:pPr>
              <a:defRPr/>
            </a:pPr>
            <a:r>
              <a:rPr lang="en-US"/>
              <a:t>BULAN JANUARI S/D DESEMBER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'2024'!$G$5:$R$5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'2024'!$G$102:$R$102</c:f>
              <c:numCache>
                <c:formatCode>_-* #,##0_-;\-* #,##0_-;_-* "-"_-;_-@_-</c:formatCode>
                <c:ptCount val="12"/>
                <c:pt idx="0">
                  <c:v>187577000</c:v>
                </c:pt>
                <c:pt idx="1">
                  <c:v>176191000</c:v>
                </c:pt>
                <c:pt idx="2">
                  <c:v>195409345</c:v>
                </c:pt>
                <c:pt idx="3">
                  <c:v>150865980</c:v>
                </c:pt>
                <c:pt idx="4">
                  <c:v>157116900</c:v>
                </c:pt>
                <c:pt idx="5">
                  <c:v>149967000</c:v>
                </c:pt>
                <c:pt idx="6">
                  <c:v>156043825</c:v>
                </c:pt>
                <c:pt idx="7">
                  <c:v>162145100</c:v>
                </c:pt>
                <c:pt idx="8">
                  <c:v>151386200</c:v>
                </c:pt>
                <c:pt idx="9">
                  <c:v>136884800</c:v>
                </c:pt>
                <c:pt idx="10">
                  <c:v>199293100</c:v>
                </c:pt>
                <c:pt idx="11">
                  <c:v>149209174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3-4BA7-8018-27C6E28A1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9155072"/>
        <c:axId val="639158312"/>
      </c:barChart>
      <c:catAx>
        <c:axId val="63915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8312"/>
        <c:crosses val="autoZero"/>
        <c:auto val="1"/>
        <c:lblAlgn val="ctr"/>
        <c:lblOffset val="100"/>
        <c:noMultiLvlLbl val="0"/>
      </c:catAx>
      <c:valAx>
        <c:axId val="63915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Grand</a:t>
                </a:r>
                <a:r>
                  <a:rPr lang="en-US" baseline="0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5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Daerah Pengambilan</a:t>
            </a:r>
            <a:r>
              <a:rPr lang="en-US" baseline="0"/>
              <a:t> Terbanyak November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('2024'!$E$8:$E$14,'2024'!$E$18:$E$25,'2024'!$E$29:$E$32,'2024'!$E$36:$E$39,'2024'!$E$43:$E$50,'2024'!$E$54:$E$56,'2024'!$E$59:$E$60,'2024'!$E$64:$E$68,'2024'!$E$71:$E$82,'2024'!$E$86:$E$100)</c:f>
              <c:strCache>
                <c:ptCount val="68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Moutong</c:v>
                </c:pt>
                <c:pt idx="9">
                  <c:v>Toli Toli</c:v>
                </c:pt>
                <c:pt idx="10">
                  <c:v>Buol</c:v>
                </c:pt>
                <c:pt idx="11">
                  <c:v>Gorontalo</c:v>
                </c:pt>
                <c:pt idx="12">
                  <c:v>Palu</c:v>
                </c:pt>
                <c:pt idx="13">
                  <c:v>Poso</c:v>
                </c:pt>
                <c:pt idx="14">
                  <c:v>Luwuk Banggai</c:v>
                </c:pt>
                <c:pt idx="15">
                  <c:v>Pare Pare</c:v>
                </c:pt>
                <c:pt idx="16">
                  <c:v>Barru</c:v>
                </c:pt>
                <c:pt idx="17">
                  <c:v>Pangkep </c:v>
                </c:pt>
                <c:pt idx="18">
                  <c:v>Maros</c:v>
                </c:pt>
                <c:pt idx="19">
                  <c:v>Wajo</c:v>
                </c:pt>
                <c:pt idx="20">
                  <c:v>Bone</c:v>
                </c:pt>
                <c:pt idx="21">
                  <c:v>Sinjai</c:v>
                </c:pt>
                <c:pt idx="22">
                  <c:v>Bulukumba/Selayar/Bantaeng</c:v>
                </c:pt>
                <c:pt idx="23">
                  <c:v>Kolaka Utara</c:v>
                </c:pt>
                <c:pt idx="24">
                  <c:v>Kolaka Kota</c:v>
                </c:pt>
                <c:pt idx="25">
                  <c:v>Bombana </c:v>
                </c:pt>
                <c:pt idx="26">
                  <c:v>Kendari</c:v>
                </c:pt>
                <c:pt idx="27">
                  <c:v>Konawe Selatan</c:v>
                </c:pt>
                <c:pt idx="28">
                  <c:v>Konawe Utara</c:v>
                </c:pt>
                <c:pt idx="29">
                  <c:v>Raha </c:v>
                </c:pt>
                <c:pt idx="30">
                  <c:v>Buton</c:v>
                </c:pt>
                <c:pt idx="31">
                  <c:v>Luwu Utara</c:v>
                </c:pt>
                <c:pt idx="32">
                  <c:v>Luwu Timur</c:v>
                </c:pt>
                <c:pt idx="33">
                  <c:v>Morowali</c:v>
                </c:pt>
                <c:pt idx="34">
                  <c:v>Palopo</c:v>
                </c:pt>
                <c:pt idx="35">
                  <c:v>Luwu</c:v>
                </c:pt>
                <c:pt idx="36">
                  <c:v>Takalar (Intensif)</c:v>
                </c:pt>
                <c:pt idx="37">
                  <c:v>Bulukumba (Intensif)</c:v>
                </c:pt>
                <c:pt idx="38">
                  <c:v>Luwuk Banggai (Intensif)</c:v>
                </c:pt>
                <c:pt idx="39">
                  <c:v>Jeneponto</c:v>
                </c:pt>
                <c:pt idx="40">
                  <c:v>Makassar</c:v>
                </c:pt>
                <c:pt idx="41">
                  <c:v>Jalang'E (Petak 7, 8 9)</c:v>
                </c:pt>
                <c:pt idx="42">
                  <c:v>Donggulu 1</c:v>
                </c:pt>
                <c:pt idx="43">
                  <c:v>Donggulu 2</c:v>
                </c:pt>
                <c:pt idx="44">
                  <c:v>Lingadan Perusahaan</c:v>
                </c:pt>
                <c:pt idx="45">
                  <c:v>Lingadan Masyarakat</c:v>
                </c:pt>
                <c:pt idx="46">
                  <c:v>Tomoli, Parigi </c:v>
                </c:pt>
                <c:pt idx="47">
                  <c:v>Siney, Parigi</c:v>
                </c:pt>
                <c:pt idx="48">
                  <c:v>Bambapula 1, Dampal </c:v>
                </c:pt>
                <c:pt idx="49">
                  <c:v>Lado ABCD, Parigi</c:v>
                </c:pt>
                <c:pt idx="50">
                  <c:v>Babanji ABCD, Dampal</c:v>
                </c:pt>
                <c:pt idx="51">
                  <c:v>Bambapula 2, Dampal </c:v>
                </c:pt>
                <c:pt idx="52">
                  <c:v>Lombonga, Donggala</c:v>
                </c:pt>
                <c:pt idx="53">
                  <c:v>Yogyakarta</c:v>
                </c:pt>
                <c:pt idx="54">
                  <c:v>Ternate</c:v>
                </c:pt>
                <c:pt idx="55">
                  <c:v>Gresik</c:v>
                </c:pt>
                <c:pt idx="56">
                  <c:v>Sumbawa/ Lombok</c:v>
                </c:pt>
                <c:pt idx="57">
                  <c:v>Tuban/Surabaya</c:v>
                </c:pt>
                <c:pt idx="58">
                  <c:v>Berau, Kal. Utara</c:v>
                </c:pt>
                <c:pt idx="59">
                  <c:v>Tarakan/Nunukan, Kalut</c:v>
                </c:pt>
                <c:pt idx="60">
                  <c:v>Pontianak, Kalbar</c:v>
                </c:pt>
                <c:pt idx="61">
                  <c:v>Balikpapan/Samarinda, Kaltim</c:v>
                </c:pt>
                <c:pt idx="62">
                  <c:v>Batu Licin, Kalsel</c:v>
                </c:pt>
                <c:pt idx="63">
                  <c:v>Semarang</c:v>
                </c:pt>
                <c:pt idx="64">
                  <c:v>Papua/ Jaya Pura</c:v>
                </c:pt>
                <c:pt idx="65">
                  <c:v>Pangkal Pinang</c:v>
                </c:pt>
                <c:pt idx="66">
                  <c:v>Bengkulu/ Bengkalis</c:v>
                </c:pt>
                <c:pt idx="67">
                  <c:v>Manado</c:v>
                </c:pt>
              </c:strCache>
            </c:strRef>
          </c:cat>
          <c:val>
            <c:numRef>
              <c:f>('2024'!$Q$8:$Q$14,'2024'!$Q$18:$Q$25,'2024'!$Q$29:$Q$32,'2024'!$Q$36:$Q$39,'2024'!$Q$43:$Q$50,'2024'!$Q$54:$Q$56,'2024'!$Q$59:$Q$60,'2024'!$Q$64:$Q$68,'2024'!$Q$71:$Q$82,'2024'!$Q$86:$Q$100)</c:f>
              <c:numCache>
                <c:formatCode>_(* #,##0_);_(* \(#,##0\);_(* "-"_);_(@_)</c:formatCode>
                <c:ptCount val="68"/>
                <c:pt idx="0">
                  <c:v>0</c:v>
                </c:pt>
                <c:pt idx="1">
                  <c:v>2927000</c:v>
                </c:pt>
                <c:pt idx="2">
                  <c:v>2055000</c:v>
                </c:pt>
                <c:pt idx="3">
                  <c:v>1440000</c:v>
                </c:pt>
                <c:pt idx="4">
                  <c:v>7035500</c:v>
                </c:pt>
                <c:pt idx="5">
                  <c:v>11382000</c:v>
                </c:pt>
                <c:pt idx="6" formatCode="_-* #,##0_-;\-* #,##0_-;_-* &quot;-&quot;_-;_-@_-">
                  <c:v>9500</c:v>
                </c:pt>
                <c:pt idx="7">
                  <c:v>681400</c:v>
                </c:pt>
                <c:pt idx="8">
                  <c:v>16065000</c:v>
                </c:pt>
                <c:pt idx="9">
                  <c:v>0</c:v>
                </c:pt>
                <c:pt idx="10">
                  <c:v>0</c:v>
                </c:pt>
                <c:pt idx="11">
                  <c:v>6305000</c:v>
                </c:pt>
                <c:pt idx="12">
                  <c:v>0</c:v>
                </c:pt>
                <c:pt idx="13">
                  <c:v>771000</c:v>
                </c:pt>
                <c:pt idx="14">
                  <c:v>185000</c:v>
                </c:pt>
                <c:pt idx="15">
                  <c:v>40000</c:v>
                </c:pt>
                <c:pt idx="16">
                  <c:v>7107000</c:v>
                </c:pt>
                <c:pt idx="17">
                  <c:v>8990000</c:v>
                </c:pt>
                <c:pt idx="18">
                  <c:v>3747500</c:v>
                </c:pt>
                <c:pt idx="19">
                  <c:v>7278000</c:v>
                </c:pt>
                <c:pt idx="20">
                  <c:v>11327000</c:v>
                </c:pt>
                <c:pt idx="21">
                  <c:v>0</c:v>
                </c:pt>
                <c:pt idx="22">
                  <c:v>2940000</c:v>
                </c:pt>
                <c:pt idx="23">
                  <c:v>8184000</c:v>
                </c:pt>
                <c:pt idx="24">
                  <c:v>3765000</c:v>
                </c:pt>
                <c:pt idx="25">
                  <c:v>1630000</c:v>
                </c:pt>
                <c:pt idx="26">
                  <c:v>0</c:v>
                </c:pt>
                <c:pt idx="27">
                  <c:v>4054000</c:v>
                </c:pt>
                <c:pt idx="28">
                  <c:v>1500000</c:v>
                </c:pt>
                <c:pt idx="29">
                  <c:v>2900000</c:v>
                </c:pt>
                <c:pt idx="30">
                  <c:v>0</c:v>
                </c:pt>
                <c:pt idx="31">
                  <c:v>1570000</c:v>
                </c:pt>
                <c:pt idx="32">
                  <c:v>5471000</c:v>
                </c:pt>
                <c:pt idx="33" formatCode="_-* #,##0_-;\-* #,##0_-;_-* &quot;-&quot;_-;_-@_-">
                  <c:v>4240000</c:v>
                </c:pt>
                <c:pt idx="34">
                  <c:v>1731000</c:v>
                </c:pt>
                <c:pt idx="35">
                  <c:v>1199500</c:v>
                </c:pt>
                <c:pt idx="36">
                  <c:v>2350000</c:v>
                </c:pt>
                <c:pt idx="37">
                  <c:v>6800000</c:v>
                </c:pt>
                <c:pt idx="38">
                  <c:v>0</c:v>
                </c:pt>
                <c:pt idx="39">
                  <c:v>4157700</c:v>
                </c:pt>
                <c:pt idx="40">
                  <c:v>0</c:v>
                </c:pt>
                <c:pt idx="41">
                  <c:v>0</c:v>
                </c:pt>
                <c:pt idx="42">
                  <c:v>19500000</c:v>
                </c:pt>
                <c:pt idx="43">
                  <c:v>10800000</c:v>
                </c:pt>
                <c:pt idx="44">
                  <c:v>11050000</c:v>
                </c:pt>
                <c:pt idx="45">
                  <c:v>3000000</c:v>
                </c:pt>
                <c:pt idx="46">
                  <c:v>0</c:v>
                </c:pt>
                <c:pt idx="47">
                  <c:v>0</c:v>
                </c:pt>
                <c:pt idx="48">
                  <c:v>5800000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2445000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360000</c:v>
                </c:pt>
                <c:pt idx="65">
                  <c:v>0</c:v>
                </c:pt>
                <c:pt idx="66">
                  <c:v>6500000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1-418A-9A89-316A47835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921360"/>
        <c:axId val="790923160"/>
      </c:lineChart>
      <c:catAx>
        <c:axId val="79092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23160"/>
        <c:crosses val="autoZero"/>
        <c:auto val="1"/>
        <c:lblAlgn val="ctr"/>
        <c:lblOffset val="100"/>
        <c:noMultiLvlLbl val="0"/>
      </c:catAx>
      <c:valAx>
        <c:axId val="79092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2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898570</xdr:colOff>
      <xdr:row>88</xdr:row>
      <xdr:rowOff>18935</xdr:rowOff>
    </xdr:from>
    <xdr:to>
      <xdr:col>12</xdr:col>
      <xdr:colOff>355212</xdr:colOff>
      <xdr:row>111</xdr:row>
      <xdr:rowOff>98718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AD66B-A32A-C485-7D16-8A9976FEF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14207891" y="16886387"/>
    <xdr:ext cx="9740191" cy="4932954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EF3774-5AFC-4EDA-B2D6-A211C10B63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1940450</xdr:colOff>
      <xdr:row>91</xdr:row>
      <xdr:rowOff>136073</xdr:rowOff>
    </xdr:from>
    <xdr:to>
      <xdr:col>13</xdr:col>
      <xdr:colOff>689310</xdr:colOff>
      <xdr:row>115</xdr:row>
      <xdr:rowOff>175461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4F16CA-4793-44AD-937A-20008C770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13216199" y="17811018"/>
    <xdr:ext cx="13355720" cy="493295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65667E-B29D-44B4-9550-CDB3E3226A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94</xdr:row>
      <xdr:rowOff>173181</xdr:rowOff>
    </xdr:from>
    <xdr:to>
      <xdr:col>16</xdr:col>
      <xdr:colOff>21648</xdr:colOff>
      <xdr:row>122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FB074-DC21-4E58-858E-3AE507830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15646044" y="18548530"/>
    <xdr:ext cx="9740191" cy="4932954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08D62B-2B0A-46C0-819B-95041615D4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104</xdr:row>
      <xdr:rowOff>0</xdr:rowOff>
    </xdr:from>
    <xdr:to>
      <xdr:col>14</xdr:col>
      <xdr:colOff>612321</xdr:colOff>
      <xdr:row>134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BD4CE6-D186-477F-AFB8-5876847F4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17320605" y="20146580"/>
    <xdr:ext cx="9740191" cy="493295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C45CDD-60D9-45EF-9670-A60103A2F9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1878168</xdr:colOff>
      <xdr:row>103</xdr:row>
      <xdr:rowOff>160986</xdr:rowOff>
    </xdr:from>
    <xdr:to>
      <xdr:col>14</xdr:col>
      <xdr:colOff>610346</xdr:colOff>
      <xdr:row>133</xdr:row>
      <xdr:rowOff>136455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698BD-29A6-46EA-9AF3-BD9FBF0C9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238122</xdr:colOff>
      <xdr:row>104</xdr:row>
      <xdr:rowOff>41272</xdr:rowOff>
    </xdr:from>
    <xdr:to>
      <xdr:col>25</xdr:col>
      <xdr:colOff>130969</xdr:colOff>
      <xdr:row>134</xdr:row>
      <xdr:rowOff>11905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081F9-1A09-5513-082A-FBEE33DC6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ULIAH%20FIRA\Kerja%20Praktik\New%20folder\02.%20Lap.%20Pemasaran%20Daerah%20Desember%202021.xlsx" TargetMode="External"/><Relationship Id="rId1" Type="http://schemas.openxmlformats.org/officeDocument/2006/relationships/externalLinkPath" Target="02.%20Lap.%20Pemasaran%20Daerah%20Des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PD 2020"/>
      <sheetName val="Sheet5"/>
    </sheetNames>
    <sheetDataSet>
      <sheetData sheetId="0">
        <row r="90">
          <cell r="G90">
            <v>414381971</v>
          </cell>
          <cell r="H90">
            <v>382443770</v>
          </cell>
          <cell r="I90">
            <v>394078880</v>
          </cell>
          <cell r="J90">
            <v>375824253</v>
          </cell>
          <cell r="K90">
            <v>323639822</v>
          </cell>
          <cell r="L90">
            <v>401074107</v>
          </cell>
          <cell r="M90">
            <v>384416658</v>
          </cell>
          <cell r="N90">
            <v>378153042</v>
          </cell>
          <cell r="O90">
            <v>426398431</v>
          </cell>
          <cell r="P90">
            <v>469883780</v>
          </cell>
          <cell r="Q90">
            <v>394158483</v>
          </cell>
          <cell r="R90">
            <v>360778215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AA15-84FD-4FC2-A5F2-F99B43651605}">
  <dimension ref="A1:W175"/>
  <sheetViews>
    <sheetView topLeftCell="G86" zoomScale="71" workbookViewId="0">
      <selection activeCell="G20" sqref="G20"/>
    </sheetView>
  </sheetViews>
  <sheetFormatPr defaultRowHeight="15" x14ac:dyDescent="0.25"/>
  <cols>
    <col min="1" max="1" width="4.140625" bestFit="1" customWidth="1"/>
    <col min="3" max="3" width="18.140625" bestFit="1" customWidth="1"/>
    <col min="5" max="5" width="29.7109375" bestFit="1" customWidth="1"/>
    <col min="6" max="6" width="13.7109375" customWidth="1"/>
    <col min="7" max="7" width="18.85546875" bestFit="1" customWidth="1"/>
    <col min="8" max="8" width="18.5703125" bestFit="1" customWidth="1"/>
    <col min="9" max="9" width="18.85546875" bestFit="1" customWidth="1"/>
    <col min="10" max="10" width="18.140625" bestFit="1" customWidth="1"/>
    <col min="11" max="11" width="18.5703125" bestFit="1" customWidth="1"/>
    <col min="12" max="13" width="18.85546875" bestFit="1" customWidth="1"/>
    <col min="14" max="14" width="18.5703125" bestFit="1" customWidth="1"/>
    <col min="15" max="15" width="18.85546875" bestFit="1" customWidth="1"/>
    <col min="16" max="16" width="18.5703125" bestFit="1" customWidth="1"/>
    <col min="17" max="18" width="18.85546875" bestFit="1" customWidth="1"/>
    <col min="19" max="20" width="21.140625" bestFit="1" customWidth="1"/>
    <col min="21" max="21" width="11.42578125" bestFit="1" customWidth="1"/>
    <col min="22" max="22" width="18.85546875" bestFit="1" customWidth="1"/>
  </cols>
  <sheetData>
    <row r="1" spans="1:22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thickBot="1" x14ac:dyDescent="0.3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thickTop="1" thickBot="1" x14ac:dyDescent="0.3">
      <c r="A3" s="155"/>
      <c r="B3" s="156"/>
      <c r="C3" s="217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7"/>
      <c r="V3" s="156"/>
    </row>
    <row r="4" spans="1:22" ht="15.75" thickBot="1" x14ac:dyDescent="0.3">
      <c r="A4" s="7" t="s">
        <v>2</v>
      </c>
      <c r="B4" s="7" t="s">
        <v>3</v>
      </c>
      <c r="C4" s="8"/>
      <c r="D4" s="7" t="s">
        <v>4</v>
      </c>
      <c r="E4" s="8"/>
      <c r="F4" s="9" t="s">
        <v>5</v>
      </c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3" t="s">
        <v>7</v>
      </c>
      <c r="T4" s="13" t="s">
        <v>8</v>
      </c>
      <c r="U4" s="14" t="s">
        <v>9</v>
      </c>
      <c r="V4" s="15" t="s">
        <v>10</v>
      </c>
    </row>
    <row r="5" spans="1:22" ht="15.75" thickBot="1" x14ac:dyDescent="0.3">
      <c r="A5" s="17"/>
      <c r="B5" s="17"/>
      <c r="C5" s="18"/>
      <c r="D5" s="17"/>
      <c r="E5" s="18"/>
      <c r="F5" s="19"/>
      <c r="G5" s="248" t="s">
        <v>11</v>
      </c>
      <c r="H5" s="249" t="s">
        <v>143</v>
      </c>
      <c r="I5" s="245" t="s">
        <v>13</v>
      </c>
      <c r="J5" s="245" t="s">
        <v>14</v>
      </c>
      <c r="K5" s="245" t="s">
        <v>15</v>
      </c>
      <c r="L5" s="245" t="s">
        <v>16</v>
      </c>
      <c r="M5" s="245" t="s">
        <v>17</v>
      </c>
      <c r="N5" s="245" t="s">
        <v>18</v>
      </c>
      <c r="O5" s="245" t="s">
        <v>19</v>
      </c>
      <c r="P5" s="245" t="s">
        <v>20</v>
      </c>
      <c r="Q5" s="245" t="s">
        <v>21</v>
      </c>
      <c r="R5" s="245" t="s">
        <v>22</v>
      </c>
      <c r="S5" s="22"/>
      <c r="T5" s="22"/>
      <c r="U5" s="23"/>
      <c r="V5" s="24"/>
    </row>
    <row r="6" spans="1:22" x14ac:dyDescent="0.25">
      <c r="A6" s="158"/>
      <c r="B6" s="159"/>
      <c r="C6" s="218"/>
      <c r="D6" s="159"/>
      <c r="E6" s="160"/>
      <c r="F6" s="161"/>
      <c r="G6" s="162"/>
      <c r="H6" s="161"/>
      <c r="I6" s="187"/>
      <c r="J6" s="187"/>
      <c r="K6" s="198"/>
      <c r="L6" s="198"/>
      <c r="M6" s="198"/>
      <c r="N6" s="198"/>
      <c r="O6" s="198"/>
      <c r="P6" s="198"/>
      <c r="Q6" s="198"/>
      <c r="R6" s="198"/>
      <c r="S6" s="163"/>
      <c r="T6" s="163"/>
      <c r="U6" s="164"/>
      <c r="V6" s="163"/>
    </row>
    <row r="7" spans="1:22" x14ac:dyDescent="0.25">
      <c r="A7" s="165">
        <v>1</v>
      </c>
      <c r="B7" s="166" t="s">
        <v>23</v>
      </c>
      <c r="C7" s="219" t="s">
        <v>24</v>
      </c>
      <c r="D7" s="195" t="s">
        <v>25</v>
      </c>
      <c r="E7" s="167"/>
      <c r="F7" s="168" t="s">
        <v>26</v>
      </c>
      <c r="G7" s="169"/>
      <c r="H7" s="168"/>
      <c r="I7" s="166"/>
      <c r="J7" s="166"/>
      <c r="K7" s="169"/>
      <c r="L7" s="162"/>
      <c r="M7" s="162"/>
      <c r="N7" s="162"/>
      <c r="O7" s="162"/>
      <c r="P7" s="162"/>
      <c r="Q7" s="162"/>
      <c r="R7" s="162"/>
      <c r="S7" s="170"/>
      <c r="T7" s="170"/>
      <c r="U7" s="171"/>
      <c r="V7" s="170"/>
    </row>
    <row r="8" spans="1:22" x14ac:dyDescent="0.25">
      <c r="A8" s="165"/>
      <c r="B8" s="166" t="s">
        <v>27</v>
      </c>
      <c r="C8" s="219" t="s">
        <v>28</v>
      </c>
      <c r="D8" s="166"/>
      <c r="E8" s="167" t="s">
        <v>29</v>
      </c>
      <c r="F8" s="168" t="s">
        <v>30</v>
      </c>
      <c r="G8" s="172">
        <v>1015000</v>
      </c>
      <c r="H8" s="172">
        <v>340000</v>
      </c>
      <c r="I8" s="172">
        <v>0</v>
      </c>
      <c r="J8" s="172">
        <v>2275000</v>
      </c>
      <c r="K8" s="172">
        <v>1000000</v>
      </c>
      <c r="L8" s="172">
        <v>1050000</v>
      </c>
      <c r="M8" s="172">
        <v>770000</v>
      </c>
      <c r="N8" s="172">
        <v>200000</v>
      </c>
      <c r="O8" s="172">
        <v>1230000</v>
      </c>
      <c r="P8" s="183">
        <v>550000</v>
      </c>
      <c r="Q8" s="183">
        <v>801000</v>
      </c>
      <c r="R8" s="183">
        <v>570000</v>
      </c>
      <c r="S8" s="173">
        <v>9801000</v>
      </c>
      <c r="T8" s="173">
        <v>6088000</v>
      </c>
      <c r="U8" s="171">
        <v>1.6098883048620236</v>
      </c>
      <c r="V8" s="174">
        <v>816750</v>
      </c>
    </row>
    <row r="9" spans="1:22" x14ac:dyDescent="0.25">
      <c r="A9" s="165"/>
      <c r="B9" s="166"/>
      <c r="C9" s="219" t="s">
        <v>31</v>
      </c>
      <c r="D9" s="166"/>
      <c r="E9" s="167" t="s">
        <v>32</v>
      </c>
      <c r="F9" s="168"/>
      <c r="G9" s="172">
        <v>21316122</v>
      </c>
      <c r="H9" s="172">
        <v>17635333</v>
      </c>
      <c r="I9" s="172">
        <v>15177016</v>
      </c>
      <c r="J9" s="172">
        <v>10857000</v>
      </c>
      <c r="K9" s="172">
        <v>12797916</v>
      </c>
      <c r="L9" s="172">
        <v>12338574</v>
      </c>
      <c r="M9" s="172">
        <v>8456000</v>
      </c>
      <c r="N9" s="172">
        <v>10658000</v>
      </c>
      <c r="O9" s="172">
        <v>11036000</v>
      </c>
      <c r="P9" s="183">
        <v>12009500</v>
      </c>
      <c r="Q9" s="183">
        <v>11373500</v>
      </c>
      <c r="R9" s="183">
        <v>13469900</v>
      </c>
      <c r="S9" s="173">
        <v>157124861</v>
      </c>
      <c r="T9" s="173">
        <v>192904000</v>
      </c>
      <c r="U9" s="171">
        <v>0.81452360241363575</v>
      </c>
      <c r="V9" s="174">
        <v>13093738.416666666</v>
      </c>
    </row>
    <row r="10" spans="1:22" x14ac:dyDescent="0.25">
      <c r="A10" s="165"/>
      <c r="B10" s="166"/>
      <c r="C10" s="219" t="s">
        <v>33</v>
      </c>
      <c r="D10" s="166" t="s">
        <v>34</v>
      </c>
      <c r="E10" s="167" t="s">
        <v>35</v>
      </c>
      <c r="F10" s="168"/>
      <c r="G10" s="172">
        <v>13299319</v>
      </c>
      <c r="H10" s="172">
        <v>10887828</v>
      </c>
      <c r="I10" s="172">
        <v>12020000</v>
      </c>
      <c r="J10" s="172">
        <v>11090000</v>
      </c>
      <c r="K10" s="172">
        <v>12302000</v>
      </c>
      <c r="L10" s="172">
        <v>11647500</v>
      </c>
      <c r="M10" s="172">
        <v>8613000</v>
      </c>
      <c r="N10" s="172">
        <v>10986000</v>
      </c>
      <c r="O10" s="172">
        <v>7350000</v>
      </c>
      <c r="P10" s="183">
        <v>13719000</v>
      </c>
      <c r="Q10" s="183">
        <v>6123500</v>
      </c>
      <c r="R10" s="183">
        <v>10570000</v>
      </c>
      <c r="S10" s="173">
        <v>128608147</v>
      </c>
      <c r="T10" s="173">
        <v>115313000</v>
      </c>
      <c r="U10" s="171">
        <v>1.1152961678214945</v>
      </c>
      <c r="V10" s="174">
        <v>10717345.583333334</v>
      </c>
    </row>
    <row r="11" spans="1:22" x14ac:dyDescent="0.25">
      <c r="A11" s="165"/>
      <c r="B11" s="166"/>
      <c r="C11" s="219"/>
      <c r="D11" s="166"/>
      <c r="E11" s="167" t="s">
        <v>36</v>
      </c>
      <c r="F11" s="168"/>
      <c r="G11" s="172">
        <v>7570888</v>
      </c>
      <c r="H11" s="172">
        <v>9475000</v>
      </c>
      <c r="I11" s="172">
        <v>6481489</v>
      </c>
      <c r="J11" s="172">
        <v>4546000</v>
      </c>
      <c r="K11" s="172">
        <v>3920000</v>
      </c>
      <c r="L11" s="172">
        <v>5190000</v>
      </c>
      <c r="M11" s="172">
        <v>4330000</v>
      </c>
      <c r="N11" s="172">
        <v>4744000</v>
      </c>
      <c r="O11" s="172">
        <v>7620000</v>
      </c>
      <c r="P11" s="183">
        <v>11216000</v>
      </c>
      <c r="Q11" s="183">
        <v>6071000</v>
      </c>
      <c r="R11" s="183">
        <v>11824000</v>
      </c>
      <c r="S11" s="173">
        <v>82988377</v>
      </c>
      <c r="T11" s="173">
        <v>65852000</v>
      </c>
      <c r="U11" s="171">
        <v>1.2602256119783757</v>
      </c>
      <c r="V11" s="174">
        <v>6915698.083333333</v>
      </c>
    </row>
    <row r="12" spans="1:22" x14ac:dyDescent="0.25">
      <c r="A12" s="165"/>
      <c r="B12" s="166"/>
      <c r="C12" s="219"/>
      <c r="D12" s="166"/>
      <c r="E12" s="167" t="s">
        <v>37</v>
      </c>
      <c r="F12" s="168"/>
      <c r="G12" s="172">
        <v>10307833</v>
      </c>
      <c r="H12" s="172">
        <v>9461041</v>
      </c>
      <c r="I12" s="172">
        <v>10455500</v>
      </c>
      <c r="J12" s="172">
        <v>5433000</v>
      </c>
      <c r="K12" s="172">
        <v>7055000</v>
      </c>
      <c r="L12" s="257">
        <v>9136000</v>
      </c>
      <c r="M12" s="172">
        <v>7886000</v>
      </c>
      <c r="N12" s="172">
        <v>6891000</v>
      </c>
      <c r="O12" s="172">
        <v>9105000</v>
      </c>
      <c r="P12" s="183">
        <v>9705500</v>
      </c>
      <c r="Q12" s="183">
        <v>11427190</v>
      </c>
      <c r="R12" s="183">
        <v>11489928</v>
      </c>
      <c r="S12" s="173">
        <v>108352992</v>
      </c>
      <c r="T12" s="173">
        <v>95819000</v>
      </c>
      <c r="U12" s="171">
        <v>1.1308090462225655</v>
      </c>
      <c r="V12" s="174">
        <v>9029416</v>
      </c>
    </row>
    <row r="13" spans="1:22" x14ac:dyDescent="0.25">
      <c r="A13" s="165"/>
      <c r="B13" s="166"/>
      <c r="C13" s="219"/>
      <c r="D13" s="166"/>
      <c r="E13" s="167" t="s">
        <v>38</v>
      </c>
      <c r="F13" s="168"/>
      <c r="G13" s="183">
        <v>11656207</v>
      </c>
      <c r="H13" s="183">
        <v>8364000</v>
      </c>
      <c r="I13" s="183">
        <v>10042014</v>
      </c>
      <c r="J13" s="183">
        <v>7818000</v>
      </c>
      <c r="K13" s="172">
        <v>7728000</v>
      </c>
      <c r="L13" s="257">
        <v>12266000</v>
      </c>
      <c r="M13" s="172">
        <v>6190000</v>
      </c>
      <c r="N13" s="172">
        <v>6599000</v>
      </c>
      <c r="O13" s="172">
        <v>11744000</v>
      </c>
      <c r="P13" s="183">
        <v>13436000</v>
      </c>
      <c r="Q13" s="183">
        <v>13096500</v>
      </c>
      <c r="R13" s="183">
        <v>14953000</v>
      </c>
      <c r="S13" s="173">
        <v>123892721</v>
      </c>
      <c r="T13" s="197">
        <v>96193000</v>
      </c>
      <c r="U13" s="164">
        <v>1.2879598411526827</v>
      </c>
      <c r="V13" s="174">
        <v>10324393.416666666</v>
      </c>
    </row>
    <row r="14" spans="1:22" ht="15.75" thickBot="1" x14ac:dyDescent="0.3">
      <c r="A14" s="165"/>
      <c r="B14" s="166"/>
      <c r="C14" s="219"/>
      <c r="D14" s="166"/>
      <c r="E14" s="167" t="s">
        <v>39</v>
      </c>
      <c r="F14" s="168"/>
      <c r="G14" s="175">
        <v>690000</v>
      </c>
      <c r="H14" s="175">
        <v>1202000</v>
      </c>
      <c r="I14" s="175">
        <v>735000</v>
      </c>
      <c r="J14" s="175">
        <v>485000</v>
      </c>
      <c r="K14" s="172">
        <v>617500</v>
      </c>
      <c r="L14" s="257">
        <v>125000</v>
      </c>
      <c r="M14" s="258">
        <v>884000</v>
      </c>
      <c r="N14" s="172">
        <v>745000</v>
      </c>
      <c r="O14" s="172">
        <v>605000</v>
      </c>
      <c r="P14" s="183">
        <v>950000</v>
      </c>
      <c r="Q14" s="183">
        <v>2125000</v>
      </c>
      <c r="R14" s="183">
        <v>750000</v>
      </c>
      <c r="S14" s="173">
        <v>9913500</v>
      </c>
      <c r="T14" s="173">
        <v>5341000</v>
      </c>
      <c r="U14" s="171">
        <v>1.8561130874368097</v>
      </c>
      <c r="V14" s="174">
        <v>826125</v>
      </c>
    </row>
    <row r="15" spans="1:22" ht="15.75" thickBot="1" x14ac:dyDescent="0.3">
      <c r="A15" s="202"/>
      <c r="B15" s="203"/>
      <c r="C15" s="220"/>
      <c r="D15" s="203"/>
      <c r="E15" s="204"/>
      <c r="F15" s="205"/>
      <c r="G15" s="206">
        <v>65855369</v>
      </c>
      <c r="H15" s="206">
        <v>57365202</v>
      </c>
      <c r="I15" s="206">
        <v>54911019</v>
      </c>
      <c r="J15" s="206">
        <v>42504000</v>
      </c>
      <c r="K15" s="206">
        <v>45420416</v>
      </c>
      <c r="L15" s="259">
        <v>51753074</v>
      </c>
      <c r="M15" s="259">
        <v>37129000</v>
      </c>
      <c r="N15" s="206">
        <v>40823000</v>
      </c>
      <c r="O15" s="206">
        <v>48690000</v>
      </c>
      <c r="P15" s="206">
        <v>61586000</v>
      </c>
      <c r="Q15" s="206">
        <v>51017690</v>
      </c>
      <c r="R15" s="206">
        <v>63626828</v>
      </c>
      <c r="S15" s="207">
        <v>620681598</v>
      </c>
      <c r="T15" s="207">
        <v>577510000</v>
      </c>
      <c r="U15" s="208">
        <v>1.0747547193987983</v>
      </c>
      <c r="V15" s="209">
        <v>51723466.499999993</v>
      </c>
    </row>
    <row r="16" spans="1:22" x14ac:dyDescent="0.25">
      <c r="A16" s="158"/>
      <c r="B16" s="159"/>
      <c r="C16" s="218"/>
      <c r="D16" s="159"/>
      <c r="E16" s="160"/>
      <c r="F16" s="161"/>
      <c r="G16" s="181"/>
      <c r="H16" s="181"/>
      <c r="I16" s="181"/>
      <c r="J16" s="181"/>
      <c r="K16" s="181"/>
      <c r="L16" s="267"/>
      <c r="M16" s="260"/>
      <c r="N16" s="181"/>
      <c r="O16" s="181"/>
      <c r="P16" s="181"/>
      <c r="Q16" s="181"/>
      <c r="R16" s="181"/>
      <c r="S16" s="163"/>
      <c r="T16" s="163"/>
      <c r="U16" s="164"/>
      <c r="V16" s="163"/>
    </row>
    <row r="17" spans="1:22" x14ac:dyDescent="0.25">
      <c r="A17" s="165">
        <v>2</v>
      </c>
      <c r="B17" s="166" t="s">
        <v>23</v>
      </c>
      <c r="C17" s="219" t="s">
        <v>40</v>
      </c>
      <c r="D17" s="195" t="s">
        <v>144</v>
      </c>
      <c r="E17" s="167"/>
      <c r="F17" s="168" t="s">
        <v>26</v>
      </c>
      <c r="G17" s="169"/>
      <c r="H17" s="169"/>
      <c r="I17" s="169"/>
      <c r="J17" s="169"/>
      <c r="K17" s="169"/>
      <c r="L17" s="167"/>
      <c r="M17" s="167"/>
      <c r="N17" s="169"/>
      <c r="O17" s="169"/>
      <c r="P17" s="169"/>
      <c r="Q17" s="169"/>
      <c r="R17" s="169"/>
      <c r="S17" s="170"/>
      <c r="T17" s="170"/>
      <c r="U17" s="171"/>
      <c r="V17" s="170"/>
    </row>
    <row r="18" spans="1:22" x14ac:dyDescent="0.25">
      <c r="A18" s="165"/>
      <c r="B18" s="166" t="s">
        <v>27</v>
      </c>
      <c r="C18" s="219" t="s">
        <v>42</v>
      </c>
      <c r="D18" s="166"/>
      <c r="E18" s="167" t="s">
        <v>43</v>
      </c>
      <c r="F18" s="168" t="s">
        <v>30</v>
      </c>
      <c r="G18" s="172">
        <v>13430332</v>
      </c>
      <c r="H18" s="172">
        <v>9407000</v>
      </c>
      <c r="I18" s="172">
        <v>10740392</v>
      </c>
      <c r="J18" s="172">
        <v>14923082</v>
      </c>
      <c r="K18" s="172">
        <v>11542958</v>
      </c>
      <c r="L18" s="257">
        <v>18492571</v>
      </c>
      <c r="M18" s="257">
        <v>11352240</v>
      </c>
      <c r="N18" s="172">
        <v>12240120</v>
      </c>
      <c r="O18" s="172">
        <v>16889200</v>
      </c>
      <c r="P18" s="172">
        <v>16821000</v>
      </c>
      <c r="Q18" s="172">
        <v>13569960</v>
      </c>
      <c r="R18" s="172">
        <v>15540000</v>
      </c>
      <c r="S18" s="173">
        <v>164948855</v>
      </c>
      <c r="T18" s="173">
        <v>139475000</v>
      </c>
      <c r="U18" s="171">
        <v>1.1826410109338592</v>
      </c>
      <c r="V18" s="174">
        <v>13745737.916666666</v>
      </c>
    </row>
    <row r="19" spans="1:22" x14ac:dyDescent="0.25">
      <c r="A19" s="165"/>
      <c r="B19" s="166"/>
      <c r="C19" s="219" t="s">
        <v>145</v>
      </c>
      <c r="D19" s="166"/>
      <c r="E19" s="167" t="s">
        <v>146</v>
      </c>
      <c r="F19" s="168"/>
      <c r="G19" s="172">
        <v>0</v>
      </c>
      <c r="H19" s="172">
        <v>0</v>
      </c>
      <c r="I19" s="172">
        <v>0</v>
      </c>
      <c r="J19" s="172">
        <v>0</v>
      </c>
      <c r="K19" s="172">
        <v>4000000</v>
      </c>
      <c r="L19" s="257">
        <v>2800000</v>
      </c>
      <c r="M19" s="257">
        <v>1150000</v>
      </c>
      <c r="N19" s="172">
        <v>1000000</v>
      </c>
      <c r="O19" s="172">
        <v>2000000</v>
      </c>
      <c r="P19" s="172">
        <v>2500000</v>
      </c>
      <c r="Q19" s="172">
        <v>4000000</v>
      </c>
      <c r="R19" s="172">
        <v>2000000</v>
      </c>
      <c r="S19" s="173">
        <v>19450000</v>
      </c>
      <c r="T19" s="173">
        <v>0</v>
      </c>
      <c r="U19" s="171" t="e">
        <v>#DIV/0!</v>
      </c>
      <c r="V19" s="174">
        <v>1620833.3333333333</v>
      </c>
    </row>
    <row r="20" spans="1:22" x14ac:dyDescent="0.25">
      <c r="A20" s="165"/>
      <c r="B20" s="166"/>
      <c r="C20" s="219"/>
      <c r="D20" s="166"/>
      <c r="E20" s="167" t="s">
        <v>45</v>
      </c>
      <c r="F20" s="168"/>
      <c r="G20" s="172">
        <v>35865695</v>
      </c>
      <c r="H20" s="172">
        <v>34955000</v>
      </c>
      <c r="I20" s="172">
        <v>28929000</v>
      </c>
      <c r="J20" s="172">
        <v>26526000</v>
      </c>
      <c r="K20" s="172">
        <v>42123142</v>
      </c>
      <c r="L20" s="257">
        <v>35501500</v>
      </c>
      <c r="M20" s="257">
        <v>32732095</v>
      </c>
      <c r="N20" s="172">
        <v>27720000</v>
      </c>
      <c r="O20" s="172">
        <v>35766666</v>
      </c>
      <c r="P20" s="172">
        <v>36285000</v>
      </c>
      <c r="Q20" s="172">
        <v>36462500</v>
      </c>
      <c r="R20" s="172">
        <v>47147500</v>
      </c>
      <c r="S20" s="173">
        <v>420014098</v>
      </c>
      <c r="T20" s="173">
        <v>312317000</v>
      </c>
      <c r="U20" s="171">
        <v>1.3448326475984336</v>
      </c>
      <c r="V20" s="174">
        <v>35001174.833333336</v>
      </c>
    </row>
    <row r="21" spans="1:22" x14ac:dyDescent="0.25">
      <c r="A21" s="165"/>
      <c r="B21" s="166"/>
      <c r="C21" s="219"/>
      <c r="D21" s="166"/>
      <c r="E21" s="167" t="s">
        <v>46</v>
      </c>
      <c r="F21" s="168" t="s">
        <v>30</v>
      </c>
      <c r="G21" s="172">
        <v>0</v>
      </c>
      <c r="H21" s="172">
        <v>0</v>
      </c>
      <c r="I21" s="172">
        <v>450000</v>
      </c>
      <c r="J21" s="172">
        <v>0</v>
      </c>
      <c r="K21" s="172">
        <v>0</v>
      </c>
      <c r="L21" s="257">
        <v>450000</v>
      </c>
      <c r="M21" s="257">
        <v>150000</v>
      </c>
      <c r="N21" s="172">
        <v>185000</v>
      </c>
      <c r="O21" s="172">
        <v>100000</v>
      </c>
      <c r="P21" s="172">
        <v>140000</v>
      </c>
      <c r="Q21" s="172">
        <v>0</v>
      </c>
      <c r="R21" s="172">
        <v>400000</v>
      </c>
      <c r="S21" s="173">
        <v>1875000</v>
      </c>
      <c r="T21" s="173">
        <v>2986000</v>
      </c>
      <c r="U21" s="171">
        <v>0.62793034159410588</v>
      </c>
      <c r="V21" s="174">
        <v>156250</v>
      </c>
    </row>
    <row r="22" spans="1:22" x14ac:dyDescent="0.25">
      <c r="A22" s="165"/>
      <c r="B22" s="166"/>
      <c r="C22" s="219"/>
      <c r="D22" s="166"/>
      <c r="E22" s="167" t="s">
        <v>47</v>
      </c>
      <c r="F22" s="168"/>
      <c r="G22" s="172">
        <v>23916500</v>
      </c>
      <c r="H22" s="172">
        <v>35556238</v>
      </c>
      <c r="I22" s="172">
        <v>25533000</v>
      </c>
      <c r="J22" s="172">
        <v>17493000</v>
      </c>
      <c r="K22" s="172">
        <v>22002000</v>
      </c>
      <c r="L22" s="257">
        <v>27303238</v>
      </c>
      <c r="M22" s="257">
        <v>26285809</v>
      </c>
      <c r="N22" s="172">
        <v>17401952</v>
      </c>
      <c r="O22" s="172">
        <v>16895000</v>
      </c>
      <c r="P22" s="172">
        <v>25402000</v>
      </c>
      <c r="Q22" s="172">
        <v>19647900</v>
      </c>
      <c r="R22" s="172">
        <v>30060400</v>
      </c>
      <c r="S22" s="173">
        <v>287497037</v>
      </c>
      <c r="T22" s="173">
        <v>230654000</v>
      </c>
      <c r="U22" s="171">
        <v>1.2464428841468174</v>
      </c>
      <c r="V22" s="174">
        <v>23958086.416666668</v>
      </c>
    </row>
    <row r="23" spans="1:22" x14ac:dyDescent="0.25">
      <c r="A23" s="165"/>
      <c r="B23" s="166"/>
      <c r="C23" s="219"/>
      <c r="D23" s="166"/>
      <c r="E23" s="167" t="s">
        <v>48</v>
      </c>
      <c r="F23" s="168"/>
      <c r="G23" s="172">
        <v>200000</v>
      </c>
      <c r="H23" s="172">
        <v>0</v>
      </c>
      <c r="I23" s="172">
        <v>550000</v>
      </c>
      <c r="J23" s="172">
        <v>0</v>
      </c>
      <c r="K23" s="172">
        <v>940000</v>
      </c>
      <c r="L23" s="257">
        <v>895000</v>
      </c>
      <c r="M23" s="257">
        <v>1370000</v>
      </c>
      <c r="N23" s="172">
        <v>1900000</v>
      </c>
      <c r="O23" s="172">
        <v>1485000</v>
      </c>
      <c r="P23" s="172">
        <v>2049520</v>
      </c>
      <c r="Q23" s="172">
        <v>1250000</v>
      </c>
      <c r="R23" s="172">
        <v>150000</v>
      </c>
      <c r="S23" s="173">
        <v>10789520</v>
      </c>
      <c r="T23" s="173">
        <v>15284000</v>
      </c>
      <c r="U23" s="171">
        <v>0.70593561894791934</v>
      </c>
      <c r="V23" s="174">
        <v>899126.66666666663</v>
      </c>
    </row>
    <row r="24" spans="1:22" ht="15.75" thickBot="1" x14ac:dyDescent="0.3">
      <c r="A24" s="176"/>
      <c r="B24" s="177"/>
      <c r="C24" s="221"/>
      <c r="D24" s="177"/>
      <c r="E24" s="178" t="s">
        <v>49</v>
      </c>
      <c r="F24" s="179"/>
      <c r="G24" s="182">
        <v>1934811</v>
      </c>
      <c r="H24" s="182">
        <v>1240000</v>
      </c>
      <c r="I24" s="182">
        <v>3955000</v>
      </c>
      <c r="J24" s="182">
        <v>1610000</v>
      </c>
      <c r="K24" s="182">
        <v>1275000</v>
      </c>
      <c r="L24" s="262">
        <v>4385000</v>
      </c>
      <c r="M24" s="258">
        <v>2770000</v>
      </c>
      <c r="N24" s="182">
        <v>2050000</v>
      </c>
      <c r="O24" s="172">
        <v>1720000</v>
      </c>
      <c r="P24" s="172">
        <v>3189280</v>
      </c>
      <c r="Q24" s="172">
        <v>3526000</v>
      </c>
      <c r="R24" s="172">
        <v>2570000</v>
      </c>
      <c r="S24" s="173">
        <v>30225091</v>
      </c>
      <c r="T24" s="173">
        <v>18503000</v>
      </c>
      <c r="U24" s="171">
        <v>1.6335238069502243</v>
      </c>
      <c r="V24" s="174">
        <v>2518757.5833333335</v>
      </c>
    </row>
    <row r="25" spans="1:22" ht="15.75" thickBot="1" x14ac:dyDescent="0.3">
      <c r="A25" s="202"/>
      <c r="B25" s="203"/>
      <c r="C25" s="220"/>
      <c r="D25" s="203"/>
      <c r="E25" s="204"/>
      <c r="F25" s="205"/>
      <c r="G25" s="240">
        <v>75347338</v>
      </c>
      <c r="H25" s="211">
        <v>81158238</v>
      </c>
      <c r="I25" s="211">
        <v>70157392</v>
      </c>
      <c r="J25" s="211">
        <v>60552082</v>
      </c>
      <c r="K25" s="211">
        <v>81883100</v>
      </c>
      <c r="L25" s="256">
        <v>89827309</v>
      </c>
      <c r="M25" s="256">
        <v>75810144</v>
      </c>
      <c r="N25" s="211">
        <v>62497072</v>
      </c>
      <c r="O25" s="211">
        <v>74855866</v>
      </c>
      <c r="P25" s="211">
        <v>86386800</v>
      </c>
      <c r="Q25" s="211">
        <v>78456360</v>
      </c>
      <c r="R25" s="211">
        <v>97867900</v>
      </c>
      <c r="S25" s="207">
        <v>934799601</v>
      </c>
      <c r="T25" s="207">
        <v>719219000</v>
      </c>
      <c r="U25" s="208">
        <v>1.2997426388902407</v>
      </c>
      <c r="V25" s="207">
        <v>77899966.75</v>
      </c>
    </row>
    <row r="26" spans="1:22" x14ac:dyDescent="0.25">
      <c r="A26" s="158"/>
      <c r="B26" s="159"/>
      <c r="C26" s="218"/>
      <c r="D26" s="159"/>
      <c r="E26" s="160"/>
      <c r="F26" s="161"/>
      <c r="G26" s="183"/>
      <c r="H26" s="183"/>
      <c r="I26" s="183"/>
      <c r="J26" s="183"/>
      <c r="K26" s="183"/>
      <c r="L26" s="268"/>
      <c r="M26" s="261"/>
      <c r="N26" s="183"/>
      <c r="O26" s="183"/>
      <c r="P26" s="183"/>
      <c r="Q26" s="183"/>
      <c r="R26" s="183"/>
      <c r="S26" s="163"/>
      <c r="T26" s="163"/>
      <c r="U26" s="164"/>
      <c r="V26" s="163"/>
    </row>
    <row r="27" spans="1:22" x14ac:dyDescent="0.25">
      <c r="A27" s="165">
        <v>3</v>
      </c>
      <c r="B27" s="166" t="s">
        <v>23</v>
      </c>
      <c r="C27" s="219" t="s">
        <v>50</v>
      </c>
      <c r="D27" s="195" t="s">
        <v>51</v>
      </c>
      <c r="E27" s="167"/>
      <c r="F27" s="184" t="s">
        <v>26</v>
      </c>
      <c r="G27" s="169"/>
      <c r="H27" s="169"/>
      <c r="I27" s="169"/>
      <c r="J27" s="169"/>
      <c r="K27" s="169"/>
      <c r="L27" s="167"/>
      <c r="M27" s="167"/>
      <c r="N27" s="169"/>
      <c r="O27" s="169"/>
      <c r="P27" s="169"/>
      <c r="Q27" s="169"/>
      <c r="R27" s="169"/>
      <c r="S27" s="170"/>
      <c r="T27" s="170"/>
      <c r="U27" s="171"/>
      <c r="V27" s="170"/>
    </row>
    <row r="28" spans="1:22" x14ac:dyDescent="0.25">
      <c r="A28" s="165"/>
      <c r="B28" s="166" t="s">
        <v>27</v>
      </c>
      <c r="C28" s="219" t="s">
        <v>52</v>
      </c>
      <c r="D28" s="166"/>
      <c r="E28" s="167" t="s">
        <v>53</v>
      </c>
      <c r="F28" s="168" t="s">
        <v>30</v>
      </c>
      <c r="G28" s="172">
        <v>10233000</v>
      </c>
      <c r="H28" s="172">
        <v>8872481</v>
      </c>
      <c r="I28" s="172">
        <v>11346958</v>
      </c>
      <c r="J28" s="172">
        <v>7537000</v>
      </c>
      <c r="K28" s="172">
        <v>4990000</v>
      </c>
      <c r="L28" s="257">
        <v>4142000</v>
      </c>
      <c r="M28" s="257">
        <v>2651000</v>
      </c>
      <c r="N28" s="172">
        <v>5711000</v>
      </c>
      <c r="O28" s="172">
        <v>8498500</v>
      </c>
      <c r="P28" s="172">
        <v>6332000</v>
      </c>
      <c r="Q28" s="172">
        <v>6032000</v>
      </c>
      <c r="R28" s="172">
        <v>7579500</v>
      </c>
      <c r="S28" s="173">
        <v>83925439</v>
      </c>
      <c r="T28" s="173">
        <v>101356000</v>
      </c>
      <c r="U28" s="171">
        <v>0.8280263526579581</v>
      </c>
      <c r="V28" s="174">
        <v>6993786.583333333</v>
      </c>
    </row>
    <row r="29" spans="1:22" x14ac:dyDescent="0.25">
      <c r="A29" s="165"/>
      <c r="B29" s="166"/>
      <c r="C29" s="219"/>
      <c r="D29" s="166"/>
      <c r="E29" s="167" t="s">
        <v>54</v>
      </c>
      <c r="F29" s="168"/>
      <c r="G29" s="172">
        <v>28652455</v>
      </c>
      <c r="H29" s="172">
        <v>21052246</v>
      </c>
      <c r="I29" s="172">
        <v>19264958</v>
      </c>
      <c r="J29" s="172">
        <v>15355749</v>
      </c>
      <c r="K29" s="172">
        <v>18101830</v>
      </c>
      <c r="L29" s="257">
        <v>19359307</v>
      </c>
      <c r="M29" s="257">
        <v>8428000</v>
      </c>
      <c r="N29" s="172">
        <v>7685000</v>
      </c>
      <c r="O29" s="172">
        <v>15051000</v>
      </c>
      <c r="P29" s="172">
        <v>15719500</v>
      </c>
      <c r="Q29" s="172">
        <v>11835000</v>
      </c>
      <c r="R29" s="172">
        <v>17999000</v>
      </c>
      <c r="S29" s="173">
        <v>198504045</v>
      </c>
      <c r="T29" s="173">
        <v>230243000</v>
      </c>
      <c r="U29" s="171">
        <v>0.86215018480474981</v>
      </c>
      <c r="V29" s="174">
        <v>16542003.75</v>
      </c>
    </row>
    <row r="30" spans="1:22" x14ac:dyDescent="0.25">
      <c r="A30" s="165"/>
      <c r="B30" s="166"/>
      <c r="C30" s="219"/>
      <c r="D30" s="166"/>
      <c r="E30" s="167" t="s">
        <v>55</v>
      </c>
      <c r="F30" s="168"/>
      <c r="G30" s="172">
        <v>1555000</v>
      </c>
      <c r="H30" s="172">
        <v>2560000</v>
      </c>
      <c r="I30" s="172">
        <v>2585425</v>
      </c>
      <c r="J30" s="172">
        <v>1148936</v>
      </c>
      <c r="K30" s="172">
        <v>2356791</v>
      </c>
      <c r="L30" s="257">
        <v>1427583</v>
      </c>
      <c r="M30" s="257">
        <v>719000</v>
      </c>
      <c r="N30" s="172">
        <v>330000</v>
      </c>
      <c r="O30" s="172">
        <v>1280500</v>
      </c>
      <c r="P30" s="172">
        <v>1306000</v>
      </c>
      <c r="Q30" s="172">
        <v>995000</v>
      </c>
      <c r="R30" s="172">
        <v>2567000</v>
      </c>
      <c r="S30" s="173">
        <v>18831235</v>
      </c>
      <c r="T30" s="173">
        <v>19787000</v>
      </c>
      <c r="U30" s="171">
        <v>0.95169732652751804</v>
      </c>
      <c r="V30" s="174">
        <v>1569269.5833333333</v>
      </c>
    </row>
    <row r="31" spans="1:22" x14ac:dyDescent="0.25">
      <c r="A31" s="176"/>
      <c r="B31" s="177"/>
      <c r="C31" s="221"/>
      <c r="D31" s="177"/>
      <c r="E31" s="178" t="s">
        <v>56</v>
      </c>
      <c r="F31" s="179"/>
      <c r="G31" s="182">
        <v>3598250</v>
      </c>
      <c r="H31" s="182">
        <v>2281000</v>
      </c>
      <c r="I31" s="182">
        <v>2865666</v>
      </c>
      <c r="J31" s="182">
        <v>2420212</v>
      </c>
      <c r="K31" s="182">
        <v>1777000</v>
      </c>
      <c r="L31" s="262">
        <v>1805000</v>
      </c>
      <c r="M31" s="262">
        <v>2545000</v>
      </c>
      <c r="N31" s="182">
        <v>1670000</v>
      </c>
      <c r="O31" s="172">
        <v>2005238</v>
      </c>
      <c r="P31" s="172">
        <v>2040000</v>
      </c>
      <c r="Q31" s="172">
        <v>2556000</v>
      </c>
      <c r="R31" s="172">
        <v>2242000</v>
      </c>
      <c r="S31" s="173">
        <v>27805366</v>
      </c>
      <c r="T31" s="173">
        <v>27796000</v>
      </c>
      <c r="U31" s="171">
        <v>1.0003369549575478</v>
      </c>
      <c r="V31" s="174">
        <v>2317113.8333333335</v>
      </c>
    </row>
    <row r="32" spans="1:22" ht="15.75" thickBot="1" x14ac:dyDescent="0.3">
      <c r="A32" s="176"/>
      <c r="B32" s="177"/>
      <c r="C32" s="221"/>
      <c r="D32" s="177"/>
      <c r="E32" s="178" t="s">
        <v>57</v>
      </c>
      <c r="F32" s="179"/>
      <c r="G32" s="180">
        <v>0</v>
      </c>
      <c r="H32" s="180">
        <v>0</v>
      </c>
      <c r="I32" s="180">
        <v>2485714</v>
      </c>
      <c r="J32" s="180">
        <v>770000</v>
      </c>
      <c r="K32" s="180">
        <v>600000</v>
      </c>
      <c r="L32" s="269">
        <v>600000</v>
      </c>
      <c r="M32" s="263">
        <v>0</v>
      </c>
      <c r="N32" s="180">
        <v>0</v>
      </c>
      <c r="O32" s="172">
        <v>0</v>
      </c>
      <c r="P32" s="172">
        <v>0</v>
      </c>
      <c r="Q32" s="172">
        <v>1300000</v>
      </c>
      <c r="R32" s="172">
        <v>700000</v>
      </c>
      <c r="S32" s="173">
        <v>6455714</v>
      </c>
      <c r="T32" s="173">
        <v>14167000</v>
      </c>
      <c r="U32" s="171">
        <v>0.45568673678266391</v>
      </c>
      <c r="V32" s="174">
        <v>537976.16666666663</v>
      </c>
    </row>
    <row r="33" spans="1:22" ht="15.75" thickBot="1" x14ac:dyDescent="0.3">
      <c r="A33" s="202"/>
      <c r="B33" s="203"/>
      <c r="C33" s="220"/>
      <c r="D33" s="203"/>
      <c r="E33" s="204"/>
      <c r="F33" s="205"/>
      <c r="G33" s="255">
        <v>44038705</v>
      </c>
      <c r="H33" s="247">
        <v>34765727</v>
      </c>
      <c r="I33" s="252">
        <v>38548721</v>
      </c>
      <c r="J33" s="252">
        <v>27231897</v>
      </c>
      <c r="K33" s="255">
        <v>27825621</v>
      </c>
      <c r="L33" s="264">
        <v>27333890</v>
      </c>
      <c r="M33" s="264">
        <v>14343000</v>
      </c>
      <c r="N33" s="255">
        <v>15396000</v>
      </c>
      <c r="O33" s="255">
        <v>26835238</v>
      </c>
      <c r="P33" s="255">
        <v>25397500</v>
      </c>
      <c r="Q33" s="255">
        <v>22718000</v>
      </c>
      <c r="R33" s="255">
        <v>31087500</v>
      </c>
      <c r="S33" s="207">
        <v>335521799</v>
      </c>
      <c r="T33" s="207">
        <v>393349000</v>
      </c>
      <c r="U33" s="208">
        <v>0.85298754795359844</v>
      </c>
      <c r="V33" s="207">
        <v>27960149.916666664</v>
      </c>
    </row>
    <row r="34" spans="1:22" x14ac:dyDescent="0.25">
      <c r="A34" s="158"/>
      <c r="B34" s="159"/>
      <c r="C34" s="218"/>
      <c r="D34" s="159"/>
      <c r="E34" s="160"/>
      <c r="F34" s="161"/>
      <c r="G34" s="162"/>
      <c r="H34" s="162"/>
      <c r="I34" s="162"/>
      <c r="J34" s="162"/>
      <c r="K34" s="198"/>
      <c r="L34" s="160"/>
      <c r="M34" s="188"/>
      <c r="N34" s="162"/>
      <c r="O34" s="162"/>
      <c r="P34" s="162"/>
      <c r="Q34" s="162"/>
      <c r="R34" s="162"/>
      <c r="S34" s="163"/>
      <c r="T34" s="163"/>
      <c r="U34" s="164"/>
      <c r="V34" s="163"/>
    </row>
    <row r="35" spans="1:22" x14ac:dyDescent="0.25">
      <c r="A35" s="165">
        <v>4</v>
      </c>
      <c r="B35" s="166" t="s">
        <v>23</v>
      </c>
      <c r="C35" s="219" t="s">
        <v>58</v>
      </c>
      <c r="D35" s="195" t="s">
        <v>59</v>
      </c>
      <c r="E35" s="167"/>
      <c r="F35" s="168" t="s">
        <v>26</v>
      </c>
      <c r="G35" s="169"/>
      <c r="H35" s="169"/>
      <c r="I35" s="169"/>
      <c r="J35" s="169"/>
      <c r="K35" s="169"/>
      <c r="L35" s="167"/>
      <c r="M35" s="167"/>
      <c r="N35" s="169"/>
      <c r="O35" s="169"/>
      <c r="P35" s="169"/>
      <c r="Q35" s="169"/>
      <c r="R35" s="169"/>
      <c r="S35" s="170"/>
      <c r="T35" s="170"/>
      <c r="U35" s="171"/>
      <c r="V35" s="170"/>
    </row>
    <row r="36" spans="1:22" x14ac:dyDescent="0.25">
      <c r="A36" s="165"/>
      <c r="B36" s="166" t="s">
        <v>27</v>
      </c>
      <c r="C36" s="219" t="s">
        <v>60</v>
      </c>
      <c r="D36" s="166"/>
      <c r="E36" s="167" t="s">
        <v>61</v>
      </c>
      <c r="F36" s="168" t="s">
        <v>30</v>
      </c>
      <c r="G36" s="172">
        <v>21285000</v>
      </c>
      <c r="H36" s="172">
        <v>26310000</v>
      </c>
      <c r="I36" s="172">
        <v>29313333</v>
      </c>
      <c r="J36" s="172">
        <v>22005000</v>
      </c>
      <c r="K36" s="172">
        <v>16735000</v>
      </c>
      <c r="L36" s="257">
        <v>22409523</v>
      </c>
      <c r="M36" s="257">
        <v>14825619</v>
      </c>
      <c r="N36" s="172">
        <v>17756000</v>
      </c>
      <c r="O36" s="172">
        <v>22500000</v>
      </c>
      <c r="P36" s="172">
        <v>20032000</v>
      </c>
      <c r="Q36" s="172">
        <v>27799000</v>
      </c>
      <c r="R36" s="172">
        <v>25125000</v>
      </c>
      <c r="S36" s="173">
        <v>266095475</v>
      </c>
      <c r="T36" s="173">
        <v>291210000</v>
      </c>
      <c r="U36" s="171">
        <v>0.9137580268534734</v>
      </c>
      <c r="V36" s="194">
        <v>22174622.916666668</v>
      </c>
    </row>
    <row r="37" spans="1:22" x14ac:dyDescent="0.25">
      <c r="A37" s="165"/>
      <c r="B37" s="166"/>
      <c r="C37" s="219" t="s">
        <v>147</v>
      </c>
      <c r="D37" s="166"/>
      <c r="E37" s="167" t="s">
        <v>63</v>
      </c>
      <c r="F37" s="168" t="s">
        <v>30</v>
      </c>
      <c r="G37" s="172">
        <v>37565000</v>
      </c>
      <c r="H37" s="172">
        <v>26985000</v>
      </c>
      <c r="I37" s="172">
        <v>23445000</v>
      </c>
      <c r="J37" s="172">
        <v>21112500</v>
      </c>
      <c r="K37" s="172">
        <v>20772500</v>
      </c>
      <c r="L37" s="257">
        <v>28411500</v>
      </c>
      <c r="M37" s="257">
        <v>24450238</v>
      </c>
      <c r="N37" s="172">
        <v>30667500</v>
      </c>
      <c r="O37" s="172">
        <v>34145000</v>
      </c>
      <c r="P37" s="172">
        <v>30759000</v>
      </c>
      <c r="Q37" s="172">
        <v>32967500</v>
      </c>
      <c r="R37" s="172">
        <v>33477500</v>
      </c>
      <c r="S37" s="173">
        <v>344758238</v>
      </c>
      <c r="T37" s="173">
        <v>276832000</v>
      </c>
      <c r="U37" s="171">
        <v>1.2453698922089931</v>
      </c>
      <c r="V37" s="194">
        <v>28729853.166666668</v>
      </c>
    </row>
    <row r="38" spans="1:22" x14ac:dyDescent="0.25">
      <c r="A38" s="165"/>
      <c r="B38" s="166"/>
      <c r="C38" s="219" t="s">
        <v>64</v>
      </c>
      <c r="D38" s="166"/>
      <c r="E38" s="167" t="s">
        <v>65</v>
      </c>
      <c r="F38" s="168" t="s">
        <v>30</v>
      </c>
      <c r="G38" s="172">
        <v>15005000</v>
      </c>
      <c r="H38" s="172">
        <v>7901904</v>
      </c>
      <c r="I38" s="172">
        <v>7980475</v>
      </c>
      <c r="J38" s="172">
        <v>10464759</v>
      </c>
      <c r="K38" s="172">
        <v>5754760</v>
      </c>
      <c r="L38" s="257">
        <v>12770950</v>
      </c>
      <c r="M38" s="257">
        <v>8340951</v>
      </c>
      <c r="N38" s="172">
        <v>8666665</v>
      </c>
      <c r="O38" s="172">
        <v>10383330</v>
      </c>
      <c r="P38" s="172">
        <v>13193806</v>
      </c>
      <c r="Q38" s="172">
        <v>19034426</v>
      </c>
      <c r="R38" s="172">
        <v>14594520</v>
      </c>
      <c r="S38" s="173">
        <v>134091546</v>
      </c>
      <c r="T38" s="173">
        <v>147056000</v>
      </c>
      <c r="U38" s="171">
        <v>0.9118400201283865</v>
      </c>
      <c r="V38" s="194">
        <v>11174295.5</v>
      </c>
    </row>
    <row r="39" spans="1:22" x14ac:dyDescent="0.25">
      <c r="A39" s="165"/>
      <c r="B39" s="166"/>
      <c r="C39" s="219"/>
      <c r="D39" s="166"/>
      <c r="E39" s="167" t="s">
        <v>66</v>
      </c>
      <c r="F39" s="168"/>
      <c r="G39" s="172">
        <v>0</v>
      </c>
      <c r="H39" s="172">
        <v>0</v>
      </c>
      <c r="I39" s="172">
        <v>0</v>
      </c>
      <c r="J39" s="172">
        <v>0</v>
      </c>
      <c r="K39" s="172">
        <v>0</v>
      </c>
      <c r="L39" s="257">
        <v>0</v>
      </c>
      <c r="M39" s="257">
        <v>0</v>
      </c>
      <c r="N39" s="172">
        <v>0</v>
      </c>
      <c r="O39" s="172">
        <v>0</v>
      </c>
      <c r="P39" s="172">
        <v>0</v>
      </c>
      <c r="Q39" s="172">
        <v>0</v>
      </c>
      <c r="R39" s="172">
        <v>130000</v>
      </c>
      <c r="S39" s="173">
        <v>130000</v>
      </c>
      <c r="T39" s="173">
        <v>4406000</v>
      </c>
      <c r="U39" s="171">
        <v>2.9505220154334998E-2</v>
      </c>
      <c r="V39" s="194">
        <v>10833.333333333334</v>
      </c>
    </row>
    <row r="40" spans="1:22" x14ac:dyDescent="0.25">
      <c r="A40" s="165"/>
      <c r="B40" s="166"/>
      <c r="C40" s="219"/>
      <c r="D40" s="166"/>
      <c r="E40" s="167" t="s">
        <v>67</v>
      </c>
      <c r="F40" s="168"/>
      <c r="G40" s="172">
        <v>18070000</v>
      </c>
      <c r="H40" s="172">
        <v>9847500</v>
      </c>
      <c r="I40" s="172">
        <v>24446238</v>
      </c>
      <c r="J40" s="172">
        <v>14202738</v>
      </c>
      <c r="K40" s="172">
        <v>13339047</v>
      </c>
      <c r="L40" s="257">
        <v>12587857</v>
      </c>
      <c r="M40" s="257">
        <v>10570000</v>
      </c>
      <c r="N40" s="172">
        <v>20584619</v>
      </c>
      <c r="O40" s="172">
        <v>15050928</v>
      </c>
      <c r="P40" s="172">
        <v>15955832</v>
      </c>
      <c r="Q40" s="172">
        <v>14185000</v>
      </c>
      <c r="R40" s="172">
        <v>13346904</v>
      </c>
      <c r="S40" s="173">
        <v>182186663</v>
      </c>
      <c r="T40" s="173">
        <v>196102000</v>
      </c>
      <c r="U40" s="171">
        <v>0.92904031065465931</v>
      </c>
      <c r="V40" s="194">
        <v>15182221.916666666</v>
      </c>
    </row>
    <row r="41" spans="1:22" x14ac:dyDescent="0.25">
      <c r="A41" s="165"/>
      <c r="B41" s="166"/>
      <c r="C41" s="219"/>
      <c r="D41" s="166"/>
      <c r="E41" s="167" t="s">
        <v>68</v>
      </c>
      <c r="F41" s="168"/>
      <c r="G41" s="172">
        <v>0</v>
      </c>
      <c r="H41" s="172">
        <v>0</v>
      </c>
      <c r="I41" s="172">
        <v>0</v>
      </c>
      <c r="J41" s="172">
        <v>0</v>
      </c>
      <c r="K41" s="172">
        <v>0</v>
      </c>
      <c r="L41" s="257">
        <v>0</v>
      </c>
      <c r="M41" s="257">
        <v>0</v>
      </c>
      <c r="N41" s="172">
        <v>0</v>
      </c>
      <c r="O41" s="172">
        <v>0</v>
      </c>
      <c r="P41" s="172">
        <v>0</v>
      </c>
      <c r="Q41" s="172">
        <v>0</v>
      </c>
      <c r="R41" s="172">
        <v>0</v>
      </c>
      <c r="S41" s="173">
        <v>0</v>
      </c>
      <c r="T41" s="173">
        <v>0</v>
      </c>
      <c r="U41" s="171" t="e">
        <v>#DIV/0!</v>
      </c>
      <c r="V41" s="194">
        <v>0</v>
      </c>
    </row>
    <row r="42" spans="1:22" x14ac:dyDescent="0.25">
      <c r="A42" s="165"/>
      <c r="B42" s="166"/>
      <c r="C42" s="219"/>
      <c r="D42" s="166"/>
      <c r="E42" s="167" t="s">
        <v>69</v>
      </c>
      <c r="F42" s="168"/>
      <c r="G42" s="172">
        <v>11720000</v>
      </c>
      <c r="H42" s="172">
        <v>3555000</v>
      </c>
      <c r="I42" s="257">
        <v>3775000</v>
      </c>
      <c r="J42" s="172">
        <v>3490000</v>
      </c>
      <c r="K42" s="172">
        <v>5370000</v>
      </c>
      <c r="L42" s="257">
        <v>7248095</v>
      </c>
      <c r="M42" s="257">
        <v>3195000</v>
      </c>
      <c r="N42" s="172">
        <v>2760000</v>
      </c>
      <c r="O42" s="172">
        <v>4140000</v>
      </c>
      <c r="P42" s="172">
        <v>4190000</v>
      </c>
      <c r="Q42" s="172">
        <v>6112500</v>
      </c>
      <c r="R42" s="172">
        <v>3146600</v>
      </c>
      <c r="S42" s="173">
        <v>58702195</v>
      </c>
      <c r="T42" s="173">
        <v>82286000</v>
      </c>
      <c r="U42" s="171">
        <v>0.71339225384634086</v>
      </c>
      <c r="V42" s="194">
        <v>4891849.583333333</v>
      </c>
    </row>
    <row r="43" spans="1:22" ht="15.75" thickBot="1" x14ac:dyDescent="0.3">
      <c r="A43" s="176"/>
      <c r="B43" s="177"/>
      <c r="C43" s="221"/>
      <c r="D43" s="177"/>
      <c r="E43" s="178" t="s">
        <v>70</v>
      </c>
      <c r="F43" s="179"/>
      <c r="G43" s="182">
        <v>0</v>
      </c>
      <c r="H43" s="262">
        <v>0</v>
      </c>
      <c r="I43" s="262">
        <v>0</v>
      </c>
      <c r="J43" s="182">
        <v>0</v>
      </c>
      <c r="K43" s="262">
        <v>0</v>
      </c>
      <c r="L43" s="262">
        <v>0</v>
      </c>
      <c r="M43" s="258">
        <v>0</v>
      </c>
      <c r="N43" s="182">
        <v>0</v>
      </c>
      <c r="O43" s="172">
        <v>0</v>
      </c>
      <c r="P43" s="172">
        <v>0</v>
      </c>
      <c r="Q43" s="172">
        <v>0</v>
      </c>
      <c r="R43" s="172">
        <v>0</v>
      </c>
      <c r="S43" s="173">
        <v>0</v>
      </c>
      <c r="T43" s="173">
        <v>2133000</v>
      </c>
      <c r="U43" s="171">
        <v>0</v>
      </c>
      <c r="V43" s="194">
        <v>0</v>
      </c>
    </row>
    <row r="44" spans="1:22" ht="15.75" thickBot="1" x14ac:dyDescent="0.3">
      <c r="A44" s="202"/>
      <c r="B44" s="203"/>
      <c r="C44" s="220"/>
      <c r="D44" s="203"/>
      <c r="E44" s="204"/>
      <c r="F44" s="205"/>
      <c r="G44" s="211">
        <v>103645000</v>
      </c>
      <c r="H44" s="256">
        <v>74599404</v>
      </c>
      <c r="I44" s="256">
        <v>88960046</v>
      </c>
      <c r="J44" s="211">
        <v>71274997</v>
      </c>
      <c r="K44" s="256">
        <v>61971307</v>
      </c>
      <c r="L44" s="256">
        <v>83427925</v>
      </c>
      <c r="M44" s="256">
        <v>61381808</v>
      </c>
      <c r="N44" s="211">
        <v>80434784</v>
      </c>
      <c r="O44" s="211">
        <v>86219258</v>
      </c>
      <c r="P44" s="211">
        <v>84130638</v>
      </c>
      <c r="Q44" s="211">
        <v>100098426</v>
      </c>
      <c r="R44" s="211">
        <v>89820524</v>
      </c>
      <c r="S44" s="212">
        <v>985964117</v>
      </c>
      <c r="T44" s="212">
        <v>1000025000</v>
      </c>
      <c r="U44" s="208">
        <v>0.98593946851328718</v>
      </c>
      <c r="V44" s="212">
        <v>82163676.416666672</v>
      </c>
    </row>
    <row r="45" spans="1:22" ht="15.75" thickBot="1" x14ac:dyDescent="0.3">
      <c r="A45" s="186"/>
      <c r="B45" s="187"/>
      <c r="C45" s="222"/>
      <c r="D45" s="187"/>
      <c r="E45" s="188"/>
      <c r="F45" s="189"/>
      <c r="G45" s="198"/>
      <c r="H45" s="188"/>
      <c r="I45" s="188"/>
      <c r="J45" s="198"/>
      <c r="K45" s="188"/>
      <c r="L45" s="188"/>
      <c r="M45" s="265"/>
      <c r="N45" s="198"/>
      <c r="O45" s="198"/>
      <c r="P45" s="198"/>
      <c r="Q45" s="198"/>
      <c r="R45" s="198"/>
      <c r="S45" s="199"/>
      <c r="T45" s="199"/>
      <c r="U45" s="190"/>
      <c r="V45" s="185"/>
    </row>
    <row r="46" spans="1:22" ht="15.75" thickBot="1" x14ac:dyDescent="0.3">
      <c r="A46" s="214"/>
      <c r="B46" s="230"/>
      <c r="C46" s="231"/>
      <c r="D46" s="230"/>
      <c r="E46" s="232"/>
      <c r="F46" s="215"/>
      <c r="G46" s="233">
        <v>288886412</v>
      </c>
      <c r="H46" s="231">
        <v>247888571</v>
      </c>
      <c r="I46" s="231">
        <v>252577178</v>
      </c>
      <c r="J46" s="233">
        <v>201562976</v>
      </c>
      <c r="K46" s="231">
        <v>217100444</v>
      </c>
      <c r="L46" s="231">
        <v>252342198</v>
      </c>
      <c r="M46" s="231">
        <v>188663952</v>
      </c>
      <c r="N46" s="233">
        <v>199150856</v>
      </c>
      <c r="O46" s="233">
        <v>236600362</v>
      </c>
      <c r="P46" s="233">
        <v>257500938</v>
      </c>
      <c r="Q46" s="233">
        <v>252290476</v>
      </c>
      <c r="R46" s="233">
        <v>282402752</v>
      </c>
      <c r="S46" s="272">
        <v>2876967115</v>
      </c>
      <c r="T46" s="241">
        <v>2690103000</v>
      </c>
      <c r="U46" s="243">
        <v>1.0694635539977466</v>
      </c>
      <c r="V46" s="233">
        <v>239747259.58333331</v>
      </c>
    </row>
    <row r="47" spans="1:22" x14ac:dyDescent="0.25">
      <c r="A47" s="158">
        <v>5</v>
      </c>
      <c r="B47" s="159" t="s">
        <v>23</v>
      </c>
      <c r="C47" s="218" t="s">
        <v>71</v>
      </c>
      <c r="D47" s="196" t="s">
        <v>72</v>
      </c>
      <c r="E47" s="160"/>
      <c r="F47" s="161" t="s">
        <v>30</v>
      </c>
      <c r="G47" s="162"/>
      <c r="H47" s="160"/>
      <c r="I47" s="160"/>
      <c r="J47" s="162"/>
      <c r="K47" s="160"/>
      <c r="L47" s="160"/>
      <c r="M47" s="188"/>
      <c r="N47" s="162"/>
      <c r="O47" s="162"/>
      <c r="P47" s="162"/>
      <c r="Q47" s="162"/>
      <c r="R47" s="162"/>
      <c r="S47" s="163"/>
      <c r="T47" s="163"/>
      <c r="U47" s="164"/>
      <c r="V47" s="163"/>
    </row>
    <row r="48" spans="1:22" x14ac:dyDescent="0.25">
      <c r="A48" s="165"/>
      <c r="B48" s="166"/>
      <c r="C48" s="219"/>
      <c r="D48" s="166"/>
      <c r="E48" s="167" t="s">
        <v>74</v>
      </c>
      <c r="F48" s="168"/>
      <c r="G48" s="172">
        <v>307000</v>
      </c>
      <c r="H48" s="257">
        <v>220000</v>
      </c>
      <c r="I48" s="257">
        <v>655000</v>
      </c>
      <c r="J48" s="172">
        <v>337000</v>
      </c>
      <c r="K48" s="257">
        <v>690000</v>
      </c>
      <c r="L48" s="257">
        <v>710000</v>
      </c>
      <c r="M48" s="257">
        <v>295000</v>
      </c>
      <c r="N48" s="172">
        <v>455000</v>
      </c>
      <c r="O48" s="172">
        <v>280000</v>
      </c>
      <c r="P48" s="183">
        <v>835000</v>
      </c>
      <c r="Q48" s="183">
        <v>400000</v>
      </c>
      <c r="R48" s="183">
        <v>150000</v>
      </c>
      <c r="S48" s="173">
        <v>5334000</v>
      </c>
      <c r="T48" s="173">
        <v>7044000</v>
      </c>
      <c r="U48" s="171">
        <v>0.75724020442930151</v>
      </c>
      <c r="V48" s="174">
        <v>444500</v>
      </c>
    </row>
    <row r="49" spans="1:22" x14ac:dyDescent="0.25">
      <c r="A49" s="165"/>
      <c r="B49" s="166"/>
      <c r="C49" s="219"/>
      <c r="D49" s="166"/>
      <c r="E49" s="167" t="s">
        <v>75</v>
      </c>
      <c r="F49" s="168"/>
      <c r="G49" s="172">
        <v>17073216</v>
      </c>
      <c r="H49" s="257">
        <v>13340000</v>
      </c>
      <c r="I49" s="257">
        <v>20023416</v>
      </c>
      <c r="J49" s="172">
        <v>11284000</v>
      </c>
      <c r="K49" s="257">
        <v>11120416</v>
      </c>
      <c r="L49" s="257">
        <v>16472083</v>
      </c>
      <c r="M49" s="257">
        <v>8689700</v>
      </c>
      <c r="N49" s="172">
        <v>11368545</v>
      </c>
      <c r="O49" s="172">
        <v>32742404</v>
      </c>
      <c r="P49" s="183">
        <v>25679000</v>
      </c>
      <c r="Q49" s="183">
        <v>33479270</v>
      </c>
      <c r="R49" s="183">
        <v>8248460</v>
      </c>
      <c r="S49" s="173">
        <v>209520510</v>
      </c>
      <c r="T49" s="173">
        <v>210919000</v>
      </c>
      <c r="U49" s="171">
        <v>0.9933695399655792</v>
      </c>
      <c r="V49" s="174">
        <v>17460042.5</v>
      </c>
    </row>
    <row r="50" spans="1:22" x14ac:dyDescent="0.25">
      <c r="A50" s="165"/>
      <c r="B50" s="166"/>
      <c r="C50" s="219"/>
      <c r="D50" s="166"/>
      <c r="E50" s="167" t="s">
        <v>76</v>
      </c>
      <c r="F50" s="168"/>
      <c r="G50" s="172">
        <v>11870000</v>
      </c>
      <c r="H50" s="257">
        <v>10675000</v>
      </c>
      <c r="I50" s="257">
        <v>11735000</v>
      </c>
      <c r="J50" s="172">
        <v>10228791</v>
      </c>
      <c r="K50" s="257">
        <v>9237000</v>
      </c>
      <c r="L50" s="257">
        <v>12756332</v>
      </c>
      <c r="M50" s="257">
        <v>9000000</v>
      </c>
      <c r="N50" s="172">
        <v>7586000</v>
      </c>
      <c r="O50" s="172">
        <v>9183000</v>
      </c>
      <c r="P50" s="183">
        <v>18632000</v>
      </c>
      <c r="Q50" s="183">
        <v>12463000</v>
      </c>
      <c r="R50" s="183">
        <v>7218000</v>
      </c>
      <c r="S50" s="173">
        <v>130584123</v>
      </c>
      <c r="T50" s="173">
        <v>111748000</v>
      </c>
      <c r="U50" s="171">
        <v>1.1685589272291226</v>
      </c>
      <c r="V50" s="174">
        <v>10882010.25</v>
      </c>
    </row>
    <row r="51" spans="1:22" ht="15.75" thickBot="1" x14ac:dyDescent="0.3">
      <c r="A51" s="176"/>
      <c r="B51" s="177"/>
      <c r="C51" s="221"/>
      <c r="D51" s="177"/>
      <c r="E51" s="178" t="s">
        <v>77</v>
      </c>
      <c r="F51" s="179"/>
      <c r="G51" s="182">
        <v>6071000</v>
      </c>
      <c r="H51" s="262">
        <v>3822000</v>
      </c>
      <c r="I51" s="262">
        <v>6847000</v>
      </c>
      <c r="J51" s="182">
        <v>6980749</v>
      </c>
      <c r="K51" s="262">
        <v>3547500</v>
      </c>
      <c r="L51" s="262">
        <v>8795083</v>
      </c>
      <c r="M51" s="258">
        <v>4144500</v>
      </c>
      <c r="N51" s="182">
        <v>6827500</v>
      </c>
      <c r="O51" s="172">
        <v>8832000</v>
      </c>
      <c r="P51" s="183">
        <v>10247000</v>
      </c>
      <c r="Q51" s="183">
        <v>10289500</v>
      </c>
      <c r="R51" s="183">
        <v>1634000</v>
      </c>
      <c r="S51" s="173">
        <v>78037832</v>
      </c>
      <c r="T51" s="173">
        <v>51394000</v>
      </c>
      <c r="U51" s="171">
        <v>1.5184230065766431</v>
      </c>
      <c r="V51" s="174">
        <v>6503152.666666667</v>
      </c>
    </row>
    <row r="52" spans="1:22" ht="15.75" thickBot="1" x14ac:dyDescent="0.3">
      <c r="A52" s="202"/>
      <c r="B52" s="203"/>
      <c r="C52" s="220"/>
      <c r="D52" s="203"/>
      <c r="E52" s="204"/>
      <c r="F52" s="205"/>
      <c r="G52" s="211">
        <v>35321216</v>
      </c>
      <c r="H52" s="256">
        <v>28057000</v>
      </c>
      <c r="I52" s="256">
        <v>39260416</v>
      </c>
      <c r="J52" s="211">
        <v>28830540</v>
      </c>
      <c r="K52" s="256">
        <v>24594916</v>
      </c>
      <c r="L52" s="256">
        <v>38733498</v>
      </c>
      <c r="M52" s="256">
        <v>22129200</v>
      </c>
      <c r="N52" s="211">
        <v>26237045</v>
      </c>
      <c r="O52" s="211">
        <v>51037404</v>
      </c>
      <c r="P52" s="211">
        <v>55393000</v>
      </c>
      <c r="Q52" s="211">
        <v>56631770</v>
      </c>
      <c r="R52" s="211">
        <v>17250460</v>
      </c>
      <c r="S52" s="207">
        <v>423476465</v>
      </c>
      <c r="T52" s="207">
        <v>381105000</v>
      </c>
      <c r="U52" s="208">
        <v>1.1111805539155877</v>
      </c>
      <c r="V52" s="207">
        <v>35289705.416666664</v>
      </c>
    </row>
    <row r="53" spans="1:22" x14ac:dyDescent="0.25">
      <c r="A53" s="158"/>
      <c r="B53" s="159"/>
      <c r="C53" s="218"/>
      <c r="D53" s="159"/>
      <c r="E53" s="160"/>
      <c r="F53" s="161"/>
      <c r="G53" s="162"/>
      <c r="H53" s="162"/>
      <c r="I53" s="162"/>
      <c r="J53" s="162"/>
      <c r="K53" s="162"/>
      <c r="L53" s="160"/>
      <c r="M53" s="188"/>
      <c r="N53" s="162"/>
      <c r="O53" s="162"/>
      <c r="P53" s="162"/>
      <c r="Q53" s="162"/>
      <c r="R53" s="162"/>
      <c r="S53" s="163"/>
      <c r="T53" s="163"/>
      <c r="U53" s="164"/>
      <c r="V53" s="163"/>
    </row>
    <row r="54" spans="1:22" x14ac:dyDescent="0.25">
      <c r="A54" s="165">
        <v>6</v>
      </c>
      <c r="B54" s="166" t="s">
        <v>23</v>
      </c>
      <c r="C54" s="219" t="s">
        <v>78</v>
      </c>
      <c r="D54" s="195" t="s">
        <v>72</v>
      </c>
      <c r="E54" s="167"/>
      <c r="F54" s="168" t="s">
        <v>30</v>
      </c>
      <c r="G54" s="169"/>
      <c r="H54" s="169"/>
      <c r="I54" s="169"/>
      <c r="J54" s="169"/>
      <c r="K54" s="169"/>
      <c r="L54" s="167"/>
      <c r="M54" s="167"/>
      <c r="N54" s="169"/>
      <c r="O54" s="169"/>
      <c r="P54" s="169"/>
      <c r="Q54" s="169"/>
      <c r="R54" s="169"/>
      <c r="S54" s="170"/>
      <c r="T54" s="170"/>
      <c r="U54" s="171"/>
      <c r="V54" s="170"/>
    </row>
    <row r="55" spans="1:22" x14ac:dyDescent="0.25">
      <c r="A55" s="165"/>
      <c r="B55" s="166"/>
      <c r="C55" s="219" t="s">
        <v>79</v>
      </c>
      <c r="D55" s="166"/>
      <c r="E55" s="167" t="s">
        <v>80</v>
      </c>
      <c r="F55" s="168"/>
      <c r="G55" s="172">
        <v>13798953</v>
      </c>
      <c r="H55" s="172">
        <v>13913872</v>
      </c>
      <c r="I55" s="172">
        <v>19727872</v>
      </c>
      <c r="J55" s="172">
        <v>9302000</v>
      </c>
      <c r="K55" s="172">
        <v>5670277</v>
      </c>
      <c r="L55" s="257">
        <v>5076148</v>
      </c>
      <c r="M55" s="257">
        <v>5258000</v>
      </c>
      <c r="N55" s="172">
        <v>11434000</v>
      </c>
      <c r="O55" s="172">
        <v>8885000</v>
      </c>
      <c r="P55" s="172">
        <v>14128000</v>
      </c>
      <c r="Q55" s="172">
        <v>20320000</v>
      </c>
      <c r="R55" s="172">
        <v>23283000</v>
      </c>
      <c r="S55" s="173">
        <v>150797122</v>
      </c>
      <c r="T55" s="173">
        <v>118321000</v>
      </c>
      <c r="U55" s="171">
        <v>1.2744747086316039</v>
      </c>
      <c r="V55" s="174">
        <v>12566426.833333334</v>
      </c>
    </row>
    <row r="56" spans="1:22" x14ac:dyDescent="0.25">
      <c r="A56" s="165"/>
      <c r="B56" s="166"/>
      <c r="C56" s="219" t="s">
        <v>73</v>
      </c>
      <c r="D56" s="166"/>
      <c r="E56" s="167" t="s">
        <v>81</v>
      </c>
      <c r="F56" s="168"/>
      <c r="G56" s="172">
        <v>21558000</v>
      </c>
      <c r="H56" s="172">
        <v>23770000</v>
      </c>
      <c r="I56" s="172">
        <v>27686000</v>
      </c>
      <c r="J56" s="172">
        <v>20248000</v>
      </c>
      <c r="K56" s="172">
        <v>14995000</v>
      </c>
      <c r="L56" s="257">
        <v>17995000</v>
      </c>
      <c r="M56" s="257">
        <v>22477000</v>
      </c>
      <c r="N56" s="172">
        <v>18255500</v>
      </c>
      <c r="O56" s="172">
        <v>17859000</v>
      </c>
      <c r="P56" s="172">
        <v>27260000</v>
      </c>
      <c r="Q56" s="172">
        <v>28347000</v>
      </c>
      <c r="R56" s="172">
        <v>28713904</v>
      </c>
      <c r="S56" s="173">
        <v>269164404</v>
      </c>
      <c r="T56" s="173">
        <v>212501000</v>
      </c>
      <c r="U56" s="171">
        <v>1.2666500581173736</v>
      </c>
      <c r="V56" s="174">
        <v>22430367</v>
      </c>
    </row>
    <row r="57" spans="1:22" x14ac:dyDescent="0.25">
      <c r="A57" s="165"/>
      <c r="B57" s="166"/>
      <c r="C57" s="219"/>
      <c r="D57" s="166"/>
      <c r="E57" s="167" t="s">
        <v>82</v>
      </c>
      <c r="F57" s="168"/>
      <c r="G57" s="172">
        <v>210000</v>
      </c>
      <c r="H57" s="172">
        <v>270000</v>
      </c>
      <c r="I57" s="172">
        <v>805000</v>
      </c>
      <c r="J57" s="172">
        <v>497000</v>
      </c>
      <c r="K57" s="172">
        <v>485000</v>
      </c>
      <c r="L57" s="257">
        <v>0</v>
      </c>
      <c r="M57" s="257">
        <v>270000</v>
      </c>
      <c r="N57" s="172">
        <v>0</v>
      </c>
      <c r="O57" s="172">
        <v>255000</v>
      </c>
      <c r="P57" s="172">
        <v>60000</v>
      </c>
      <c r="Q57" s="172">
        <v>0</v>
      </c>
      <c r="R57" s="172">
        <v>0</v>
      </c>
      <c r="S57" s="173">
        <v>2852000</v>
      </c>
      <c r="T57" s="173">
        <v>3148000</v>
      </c>
      <c r="U57" s="171">
        <v>0.90597204574332912</v>
      </c>
      <c r="V57" s="174">
        <v>237666.66666666666</v>
      </c>
    </row>
    <row r="58" spans="1:22" ht="15.75" thickBot="1" x14ac:dyDescent="0.3">
      <c r="A58" s="165"/>
      <c r="B58" s="166"/>
      <c r="C58" s="219"/>
      <c r="D58" s="166"/>
      <c r="E58" s="178" t="s">
        <v>83</v>
      </c>
      <c r="F58" s="168"/>
      <c r="G58" s="172">
        <v>265000</v>
      </c>
      <c r="H58" s="172">
        <v>0</v>
      </c>
      <c r="I58" s="172">
        <v>150000</v>
      </c>
      <c r="J58" s="172">
        <v>0</v>
      </c>
      <c r="K58" s="172">
        <v>0</v>
      </c>
      <c r="L58" s="257">
        <v>570000</v>
      </c>
      <c r="M58" s="257">
        <v>800000</v>
      </c>
      <c r="N58" s="172">
        <v>5290000</v>
      </c>
      <c r="O58" s="172">
        <v>800000</v>
      </c>
      <c r="P58" s="172">
        <v>2660000</v>
      </c>
      <c r="Q58" s="172">
        <v>1200000</v>
      </c>
      <c r="R58" s="172">
        <v>1655000</v>
      </c>
      <c r="S58" s="173">
        <v>13390000</v>
      </c>
      <c r="T58" s="173">
        <v>6444000</v>
      </c>
      <c r="U58" s="171">
        <v>2.0779019242706394</v>
      </c>
      <c r="V58" s="174">
        <v>1115833.3333333333</v>
      </c>
    </row>
    <row r="59" spans="1:22" ht="15.75" thickBot="1" x14ac:dyDescent="0.3">
      <c r="A59" s="202"/>
      <c r="B59" s="203"/>
      <c r="C59" s="220"/>
      <c r="D59" s="203"/>
      <c r="E59" s="204"/>
      <c r="F59" s="205"/>
      <c r="G59" s="211">
        <v>35831953</v>
      </c>
      <c r="H59" s="211">
        <v>37953872</v>
      </c>
      <c r="I59" s="246">
        <v>48368872</v>
      </c>
      <c r="J59" s="211">
        <v>30047000</v>
      </c>
      <c r="K59" s="211">
        <v>21150277</v>
      </c>
      <c r="L59" s="256">
        <v>23641148</v>
      </c>
      <c r="M59" s="256">
        <v>28805000</v>
      </c>
      <c r="N59" s="211">
        <v>34979500</v>
      </c>
      <c r="O59" s="211">
        <v>27799000</v>
      </c>
      <c r="P59" s="211">
        <v>44108000</v>
      </c>
      <c r="Q59" s="211">
        <v>49867000</v>
      </c>
      <c r="R59" s="211">
        <v>53651904</v>
      </c>
      <c r="S59" s="244">
        <v>436203526</v>
      </c>
      <c r="T59" s="211">
        <v>340414000</v>
      </c>
      <c r="U59" s="208">
        <v>1.2813912647540935</v>
      </c>
      <c r="V59" s="211">
        <v>36350293.833333336</v>
      </c>
    </row>
    <row r="60" spans="1:22" x14ac:dyDescent="0.25">
      <c r="A60" s="158"/>
      <c r="B60" s="159"/>
      <c r="C60" s="218"/>
      <c r="D60" s="159"/>
      <c r="E60" s="160"/>
      <c r="F60" s="162"/>
      <c r="G60" s="162"/>
      <c r="H60" s="162"/>
      <c r="I60" s="160"/>
      <c r="J60" s="162"/>
      <c r="K60" s="162"/>
      <c r="L60" s="160"/>
      <c r="M60" s="188"/>
      <c r="N60" s="162"/>
      <c r="O60" s="162"/>
      <c r="P60" s="162"/>
      <c r="Q60" s="162"/>
      <c r="R60" s="162"/>
      <c r="S60" s="173"/>
      <c r="T60" s="173"/>
      <c r="U60" s="171"/>
      <c r="V60" s="173"/>
    </row>
    <row r="61" spans="1:22" x14ac:dyDescent="0.25">
      <c r="A61" s="158"/>
      <c r="B61" s="159"/>
      <c r="C61" s="218"/>
      <c r="D61" s="159" t="s">
        <v>85</v>
      </c>
      <c r="E61" s="167"/>
      <c r="F61" s="162"/>
      <c r="G61" s="172">
        <v>0</v>
      </c>
      <c r="H61" s="172">
        <v>0</v>
      </c>
      <c r="I61" s="172">
        <v>0</v>
      </c>
      <c r="J61" s="172">
        <v>0</v>
      </c>
      <c r="K61" s="172">
        <v>0</v>
      </c>
      <c r="L61" s="257">
        <v>0</v>
      </c>
      <c r="M61" s="257">
        <v>0</v>
      </c>
      <c r="N61" s="250">
        <v>4779175</v>
      </c>
      <c r="O61" s="250">
        <v>0</v>
      </c>
      <c r="P61" s="183">
        <v>4101000</v>
      </c>
      <c r="Q61" s="183">
        <v>1250000</v>
      </c>
      <c r="R61" s="183">
        <v>250000</v>
      </c>
      <c r="S61" s="173">
        <v>10380175</v>
      </c>
      <c r="T61" s="173">
        <v>14743000</v>
      </c>
      <c r="U61" s="171">
        <v>0.70407481516651971</v>
      </c>
      <c r="V61" s="174">
        <v>865014.58333333337</v>
      </c>
    </row>
    <row r="62" spans="1:22" x14ac:dyDescent="0.25">
      <c r="A62" s="176"/>
      <c r="B62" s="177"/>
      <c r="C62" s="221"/>
      <c r="D62" s="177"/>
      <c r="E62" s="167" t="s">
        <v>86</v>
      </c>
      <c r="F62" s="179"/>
      <c r="G62" s="182">
        <v>15431975</v>
      </c>
      <c r="H62" s="182">
        <v>1190000</v>
      </c>
      <c r="I62" s="182">
        <v>980000</v>
      </c>
      <c r="J62" s="182">
        <v>2755000</v>
      </c>
      <c r="K62" s="182">
        <v>3204000</v>
      </c>
      <c r="L62" s="262">
        <v>16852545</v>
      </c>
      <c r="M62" s="262">
        <v>25823450</v>
      </c>
      <c r="N62" s="182">
        <v>7650000</v>
      </c>
      <c r="O62" s="172">
        <v>5080000</v>
      </c>
      <c r="P62" s="183">
        <v>4225000</v>
      </c>
      <c r="Q62" s="183">
        <v>12152000</v>
      </c>
      <c r="R62" s="183">
        <v>29776040</v>
      </c>
      <c r="S62" s="173">
        <v>125120010</v>
      </c>
      <c r="T62" s="173">
        <v>23097000</v>
      </c>
      <c r="U62" s="171">
        <v>5.4171541758669957</v>
      </c>
      <c r="V62" s="174">
        <v>10426667.5</v>
      </c>
    </row>
    <row r="63" spans="1:22" x14ac:dyDescent="0.25">
      <c r="A63" s="165"/>
      <c r="B63" s="166"/>
      <c r="C63" s="219"/>
      <c r="D63" s="166"/>
      <c r="E63" s="178" t="s">
        <v>87</v>
      </c>
      <c r="F63" s="168"/>
      <c r="G63" s="172">
        <v>0</v>
      </c>
      <c r="H63" s="172">
        <v>0</v>
      </c>
      <c r="I63" s="172">
        <v>0</v>
      </c>
      <c r="J63" s="172">
        <v>0</v>
      </c>
      <c r="K63" s="172">
        <v>0</v>
      </c>
      <c r="L63" s="257">
        <v>0</v>
      </c>
      <c r="M63" s="172">
        <v>0</v>
      </c>
      <c r="N63" s="172">
        <v>0</v>
      </c>
      <c r="O63" s="172">
        <v>0</v>
      </c>
      <c r="P63" s="183">
        <v>0</v>
      </c>
      <c r="Q63" s="183">
        <v>0</v>
      </c>
      <c r="R63" s="183">
        <v>0</v>
      </c>
      <c r="S63" s="173">
        <v>0</v>
      </c>
      <c r="T63" s="173">
        <v>1937000</v>
      </c>
      <c r="U63" s="171">
        <v>0</v>
      </c>
      <c r="V63" s="174">
        <v>0</v>
      </c>
    </row>
    <row r="64" spans="1:22" ht="15.75" thickBot="1" x14ac:dyDescent="0.3">
      <c r="A64" s="158"/>
      <c r="B64" s="159"/>
      <c r="C64" s="218"/>
      <c r="D64" s="166" t="s">
        <v>94</v>
      </c>
      <c r="E64" s="271"/>
      <c r="F64" s="162"/>
      <c r="G64" s="172">
        <v>0</v>
      </c>
      <c r="H64" s="172">
        <v>0</v>
      </c>
      <c r="I64" s="172">
        <v>0</v>
      </c>
      <c r="J64" s="250">
        <v>53125</v>
      </c>
      <c r="K64" s="250">
        <v>10000</v>
      </c>
      <c r="L64" s="266">
        <v>72500</v>
      </c>
      <c r="M64" s="266">
        <v>150000</v>
      </c>
      <c r="N64" s="250">
        <v>20000</v>
      </c>
      <c r="O64" s="250">
        <v>79000</v>
      </c>
      <c r="P64" s="183">
        <v>0</v>
      </c>
      <c r="Q64" s="183">
        <v>100000</v>
      </c>
      <c r="R64" s="183">
        <v>0</v>
      </c>
      <c r="S64" s="173">
        <v>484625</v>
      </c>
      <c r="T64" s="173">
        <v>75000</v>
      </c>
      <c r="U64" s="171">
        <v>6.4616666666666669</v>
      </c>
      <c r="V64" s="174">
        <v>40385.416666666664</v>
      </c>
    </row>
    <row r="65" spans="1:23" ht="15.75" thickBot="1" x14ac:dyDescent="0.3">
      <c r="A65" s="202"/>
      <c r="B65" s="203"/>
      <c r="C65" s="220"/>
      <c r="D65" s="203"/>
      <c r="E65" s="204"/>
      <c r="F65" s="205"/>
      <c r="G65" s="211">
        <v>15431975</v>
      </c>
      <c r="H65" s="211">
        <v>1190000</v>
      </c>
      <c r="I65" s="256">
        <v>980000</v>
      </c>
      <c r="J65" s="256">
        <v>2808125</v>
      </c>
      <c r="K65" s="256">
        <v>3214000</v>
      </c>
      <c r="L65" s="256">
        <v>16925045</v>
      </c>
      <c r="M65" s="256">
        <v>25973450</v>
      </c>
      <c r="N65" s="211">
        <v>12449175</v>
      </c>
      <c r="O65" s="211">
        <v>5159000</v>
      </c>
      <c r="P65" s="211">
        <v>8326000</v>
      </c>
      <c r="Q65" s="211">
        <v>13502000</v>
      </c>
      <c r="R65" s="211">
        <v>30026040</v>
      </c>
      <c r="S65" s="212">
        <v>135984810</v>
      </c>
      <c r="T65" s="212">
        <v>39852000</v>
      </c>
      <c r="U65" s="208">
        <v>3.4122455585666969</v>
      </c>
      <c r="V65" s="211">
        <v>11332067.5</v>
      </c>
      <c r="W65" s="210"/>
    </row>
    <row r="66" spans="1:23" ht="15.75" thickBot="1" x14ac:dyDescent="0.3">
      <c r="A66" s="214"/>
      <c r="B66" s="230"/>
      <c r="C66" s="231"/>
      <c r="D66" s="230"/>
      <c r="E66" s="232"/>
      <c r="F66" s="215"/>
      <c r="G66" s="239">
        <v>86585144</v>
      </c>
      <c r="H66" s="233">
        <v>67200872</v>
      </c>
      <c r="I66" s="231">
        <v>88609288</v>
      </c>
      <c r="J66" s="225">
        <v>61685665</v>
      </c>
      <c r="K66" s="233">
        <v>48959193</v>
      </c>
      <c r="L66" s="231">
        <v>79299691</v>
      </c>
      <c r="M66" s="231">
        <v>76907650</v>
      </c>
      <c r="N66" s="233">
        <v>73665720</v>
      </c>
      <c r="O66" s="233">
        <v>83995404</v>
      </c>
      <c r="P66" s="233">
        <v>107827000</v>
      </c>
      <c r="Q66" s="233">
        <v>120000770</v>
      </c>
      <c r="R66" s="233">
        <v>100928404</v>
      </c>
      <c r="S66" s="241">
        <v>995664801</v>
      </c>
      <c r="T66" s="241">
        <v>761371000</v>
      </c>
      <c r="U66" s="243">
        <v>1.3077261952451564</v>
      </c>
      <c r="V66" s="239">
        <v>82972066.75</v>
      </c>
      <c r="W66" s="270" t="s">
        <v>34</v>
      </c>
    </row>
    <row r="67" spans="1:23" x14ac:dyDescent="0.25">
      <c r="A67" s="165"/>
      <c r="B67" s="166"/>
      <c r="C67" s="219"/>
      <c r="D67" s="234"/>
      <c r="E67" s="167"/>
      <c r="F67" s="169"/>
      <c r="G67" s="169"/>
      <c r="H67" s="169"/>
      <c r="I67" s="167"/>
      <c r="J67" s="169"/>
      <c r="K67" s="169"/>
      <c r="L67" s="167"/>
      <c r="M67" s="167"/>
      <c r="N67" s="169"/>
      <c r="O67" s="169"/>
      <c r="P67" s="172"/>
      <c r="Q67" s="172"/>
      <c r="R67" s="172"/>
      <c r="S67" s="173"/>
      <c r="T67" s="173"/>
      <c r="U67" s="171"/>
      <c r="V67" s="174"/>
      <c r="W67" s="152"/>
    </row>
    <row r="68" spans="1:23" x14ac:dyDescent="0.25">
      <c r="A68" s="165">
        <v>7</v>
      </c>
      <c r="B68" s="166"/>
      <c r="C68" s="219"/>
      <c r="D68" s="153" t="s">
        <v>95</v>
      </c>
      <c r="E68" s="167"/>
      <c r="F68" s="169"/>
      <c r="G68" s="169"/>
      <c r="H68" s="169"/>
      <c r="I68" s="167"/>
      <c r="J68" s="169"/>
      <c r="K68" s="169"/>
      <c r="L68" s="167"/>
      <c r="M68" s="167"/>
      <c r="N68" s="169"/>
      <c r="O68" s="169"/>
      <c r="P68" s="172"/>
      <c r="Q68" s="172"/>
      <c r="R68" s="172"/>
      <c r="S68" s="173"/>
      <c r="T68" s="173"/>
      <c r="U68" s="171"/>
      <c r="V68" s="174"/>
      <c r="W68" s="152"/>
    </row>
    <row r="69" spans="1:23" x14ac:dyDescent="0.25">
      <c r="A69" s="165"/>
      <c r="B69" s="166"/>
      <c r="C69" s="219"/>
      <c r="D69" s="166"/>
      <c r="E69" s="200" t="s">
        <v>93</v>
      </c>
      <c r="F69" s="169"/>
      <c r="G69" s="172">
        <v>2428166</v>
      </c>
      <c r="H69" s="172">
        <v>4482500</v>
      </c>
      <c r="I69" s="172">
        <v>442500</v>
      </c>
      <c r="J69" s="172">
        <v>408500</v>
      </c>
      <c r="K69" s="172">
        <v>0</v>
      </c>
      <c r="L69" s="257">
        <v>1488916</v>
      </c>
      <c r="M69" s="257">
        <v>4310685</v>
      </c>
      <c r="N69" s="172">
        <v>1750000</v>
      </c>
      <c r="O69" s="172">
        <v>4690000</v>
      </c>
      <c r="P69" s="172">
        <v>675080</v>
      </c>
      <c r="Q69" s="172">
        <v>312500</v>
      </c>
      <c r="R69" s="172">
        <v>3824066</v>
      </c>
      <c r="S69" s="173">
        <v>24812913</v>
      </c>
      <c r="T69" s="173">
        <v>12478000</v>
      </c>
      <c r="U69" s="171">
        <v>1.9885328578297805</v>
      </c>
      <c r="V69" s="174">
        <v>2067742.75</v>
      </c>
      <c r="W69" s="152"/>
    </row>
    <row r="70" spans="1:23" x14ac:dyDescent="0.25">
      <c r="A70" s="165"/>
      <c r="B70" s="166"/>
      <c r="C70" s="219"/>
      <c r="D70" s="166"/>
      <c r="E70" s="200" t="s">
        <v>96</v>
      </c>
      <c r="F70" s="169"/>
      <c r="G70" s="172">
        <v>18415500</v>
      </c>
      <c r="H70" s="172">
        <v>12242000</v>
      </c>
      <c r="I70" s="172">
        <v>16910000</v>
      </c>
      <c r="J70" s="172">
        <v>9805000</v>
      </c>
      <c r="K70" s="172">
        <v>26653500</v>
      </c>
      <c r="L70" s="257">
        <v>18403000</v>
      </c>
      <c r="M70" s="257">
        <v>7400000</v>
      </c>
      <c r="N70" s="172">
        <v>2225000</v>
      </c>
      <c r="O70" s="172">
        <v>12298000</v>
      </c>
      <c r="P70" s="172">
        <v>11783000</v>
      </c>
      <c r="Q70" s="172">
        <v>15376000</v>
      </c>
      <c r="R70" s="172">
        <v>9958500</v>
      </c>
      <c r="S70" s="173">
        <v>161469500</v>
      </c>
      <c r="T70" s="173">
        <v>159530000</v>
      </c>
      <c r="U70" s="171">
        <v>1.0121575879144988</v>
      </c>
      <c r="V70" s="174">
        <v>13455791.666666666</v>
      </c>
      <c r="W70" s="152"/>
    </row>
    <row r="71" spans="1:23" x14ac:dyDescent="0.25">
      <c r="A71" s="165"/>
      <c r="B71" s="166"/>
      <c r="C71" s="219"/>
      <c r="D71" s="166"/>
      <c r="E71" s="200" t="s">
        <v>97</v>
      </c>
      <c r="F71" s="169"/>
      <c r="G71" s="172">
        <v>3150000</v>
      </c>
      <c r="H71" s="172">
        <v>0</v>
      </c>
      <c r="I71" s="172">
        <v>550000</v>
      </c>
      <c r="J71" s="172">
        <v>0</v>
      </c>
      <c r="K71" s="172">
        <v>0</v>
      </c>
      <c r="L71" s="257">
        <v>0</v>
      </c>
      <c r="M71" s="257">
        <v>0</v>
      </c>
      <c r="N71" s="172">
        <v>500000</v>
      </c>
      <c r="O71" s="172">
        <v>300000</v>
      </c>
      <c r="P71" s="172">
        <v>40000</v>
      </c>
      <c r="Q71" s="172">
        <v>0</v>
      </c>
      <c r="R71" s="172">
        <v>5000</v>
      </c>
      <c r="S71" s="173">
        <v>4545000</v>
      </c>
      <c r="T71" s="173">
        <v>9425000</v>
      </c>
      <c r="U71" s="171">
        <v>0.48222811671087534</v>
      </c>
      <c r="V71" s="174">
        <v>378750</v>
      </c>
      <c r="W71" s="152"/>
    </row>
    <row r="72" spans="1:23" x14ac:dyDescent="0.25">
      <c r="A72" s="165"/>
      <c r="B72" s="166"/>
      <c r="C72" s="219"/>
      <c r="D72" s="166"/>
      <c r="E72" s="200" t="s">
        <v>98</v>
      </c>
      <c r="F72" s="169"/>
      <c r="G72" s="172">
        <v>0</v>
      </c>
      <c r="H72" s="172">
        <v>0</v>
      </c>
      <c r="I72" s="172">
        <v>0</v>
      </c>
      <c r="J72" s="172">
        <v>0</v>
      </c>
      <c r="K72" s="172">
        <v>0</v>
      </c>
      <c r="L72" s="257">
        <v>0</v>
      </c>
      <c r="M72" s="257">
        <v>0</v>
      </c>
      <c r="N72" s="172">
        <v>0</v>
      </c>
      <c r="O72" s="172">
        <v>0</v>
      </c>
      <c r="P72" s="172">
        <v>0</v>
      </c>
      <c r="Q72" s="172">
        <v>0</v>
      </c>
      <c r="R72" s="172">
        <v>0</v>
      </c>
      <c r="S72" s="173">
        <v>0</v>
      </c>
      <c r="T72" s="173">
        <v>0</v>
      </c>
      <c r="U72" s="171" t="e">
        <v>#DIV/0!</v>
      </c>
      <c r="V72" s="174">
        <v>0</v>
      </c>
      <c r="W72" s="152"/>
    </row>
    <row r="73" spans="1:23" x14ac:dyDescent="0.25">
      <c r="A73" s="165"/>
      <c r="B73" s="166"/>
      <c r="C73" s="219"/>
      <c r="D73" s="166"/>
      <c r="E73" s="200" t="s">
        <v>99</v>
      </c>
      <c r="F73" s="169"/>
      <c r="G73" s="172">
        <v>0</v>
      </c>
      <c r="H73" s="172">
        <v>0</v>
      </c>
      <c r="I73" s="172">
        <v>0</v>
      </c>
      <c r="J73" s="172">
        <v>0</v>
      </c>
      <c r="K73" s="172">
        <v>0</v>
      </c>
      <c r="L73" s="257">
        <v>0</v>
      </c>
      <c r="M73" s="257">
        <v>0</v>
      </c>
      <c r="N73" s="172">
        <v>0</v>
      </c>
      <c r="O73" s="172">
        <v>0</v>
      </c>
      <c r="P73" s="172">
        <v>0</v>
      </c>
      <c r="Q73" s="172">
        <v>0</v>
      </c>
      <c r="R73" s="172">
        <v>0</v>
      </c>
      <c r="S73" s="173">
        <v>0</v>
      </c>
      <c r="T73" s="173">
        <v>0</v>
      </c>
      <c r="U73" s="171" t="e">
        <v>#DIV/0!</v>
      </c>
      <c r="V73" s="174">
        <v>0</v>
      </c>
      <c r="W73" s="152"/>
    </row>
    <row r="74" spans="1:23" x14ac:dyDescent="0.25">
      <c r="A74" s="165"/>
      <c r="B74" s="166"/>
      <c r="C74" s="219"/>
      <c r="D74" s="166"/>
      <c r="E74" s="200" t="s">
        <v>100</v>
      </c>
      <c r="F74" s="169"/>
      <c r="G74" s="172">
        <v>0</v>
      </c>
      <c r="H74" s="172">
        <v>0</v>
      </c>
      <c r="I74" s="172">
        <v>0</v>
      </c>
      <c r="J74" s="172">
        <v>0</v>
      </c>
      <c r="K74" s="172">
        <v>0</v>
      </c>
      <c r="L74" s="257">
        <v>0</v>
      </c>
      <c r="M74" s="257">
        <v>0</v>
      </c>
      <c r="N74" s="172">
        <v>0</v>
      </c>
      <c r="O74" s="172">
        <v>0</v>
      </c>
      <c r="P74" s="172">
        <v>0</v>
      </c>
      <c r="Q74" s="172">
        <v>0</v>
      </c>
      <c r="R74" s="172">
        <v>0</v>
      </c>
      <c r="S74" s="173">
        <v>0</v>
      </c>
      <c r="T74" s="173">
        <v>6948000</v>
      </c>
      <c r="U74" s="171">
        <v>0</v>
      </c>
      <c r="V74" s="174">
        <v>0</v>
      </c>
      <c r="W74" s="152"/>
    </row>
    <row r="75" spans="1:23" x14ac:dyDescent="0.25">
      <c r="A75" s="165"/>
      <c r="B75" s="166"/>
      <c r="C75" s="219"/>
      <c r="D75" s="166"/>
      <c r="E75" s="200" t="s">
        <v>101</v>
      </c>
      <c r="F75" s="169"/>
      <c r="G75" s="172">
        <v>0</v>
      </c>
      <c r="H75" s="172">
        <v>0</v>
      </c>
      <c r="I75" s="172">
        <v>0</v>
      </c>
      <c r="J75" s="172">
        <v>0</v>
      </c>
      <c r="K75" s="172">
        <v>0</v>
      </c>
      <c r="L75" s="257">
        <v>0</v>
      </c>
      <c r="M75" s="257">
        <v>0</v>
      </c>
      <c r="N75" s="172">
        <v>0</v>
      </c>
      <c r="O75" s="172">
        <v>0</v>
      </c>
      <c r="P75" s="172">
        <v>0</v>
      </c>
      <c r="Q75" s="172">
        <v>0</v>
      </c>
      <c r="R75" s="172">
        <v>0</v>
      </c>
      <c r="S75" s="173">
        <v>0</v>
      </c>
      <c r="T75" s="173">
        <v>1090000</v>
      </c>
      <c r="U75" s="171">
        <v>0</v>
      </c>
      <c r="V75" s="174">
        <v>0</v>
      </c>
      <c r="W75" s="152"/>
    </row>
    <row r="76" spans="1:23" x14ac:dyDescent="0.25">
      <c r="A76" s="165"/>
      <c r="B76" s="166"/>
      <c r="C76" s="219"/>
      <c r="D76" s="166"/>
      <c r="E76" s="200" t="s">
        <v>102</v>
      </c>
      <c r="F76" s="169"/>
      <c r="G76" s="172">
        <v>0</v>
      </c>
      <c r="H76" s="172">
        <v>247297</v>
      </c>
      <c r="I76" s="172">
        <v>0</v>
      </c>
      <c r="J76" s="172">
        <v>0</v>
      </c>
      <c r="K76" s="172">
        <v>0</v>
      </c>
      <c r="L76" s="257">
        <v>0</v>
      </c>
      <c r="M76" s="257">
        <v>0</v>
      </c>
      <c r="N76" s="172">
        <v>0</v>
      </c>
      <c r="O76" s="172">
        <v>0</v>
      </c>
      <c r="P76" s="172">
        <v>0</v>
      </c>
      <c r="Q76" s="172">
        <v>0</v>
      </c>
      <c r="R76" s="172">
        <v>0</v>
      </c>
      <c r="S76" s="173">
        <v>247297</v>
      </c>
      <c r="T76" s="173">
        <v>11000</v>
      </c>
      <c r="U76" s="171">
        <v>22.481545454545454</v>
      </c>
      <c r="V76" s="174">
        <v>20608.083333333332</v>
      </c>
      <c r="W76" s="152"/>
    </row>
    <row r="77" spans="1:23" x14ac:dyDescent="0.25">
      <c r="A77" s="165"/>
      <c r="B77" s="166"/>
      <c r="C77" s="219"/>
      <c r="D77" s="166"/>
      <c r="E77" s="200" t="s">
        <v>103</v>
      </c>
      <c r="F77" s="169"/>
      <c r="G77" s="172">
        <v>0</v>
      </c>
      <c r="H77" s="172">
        <v>0</v>
      </c>
      <c r="I77" s="172">
        <v>0</v>
      </c>
      <c r="J77" s="172">
        <v>0</v>
      </c>
      <c r="K77" s="172">
        <v>0</v>
      </c>
      <c r="L77" s="257">
        <v>350000</v>
      </c>
      <c r="M77" s="257">
        <v>6000000</v>
      </c>
      <c r="N77" s="172">
        <v>0</v>
      </c>
      <c r="O77" s="172">
        <v>0</v>
      </c>
      <c r="P77" s="172">
        <v>0</v>
      </c>
      <c r="Q77" s="172">
        <v>0</v>
      </c>
      <c r="R77" s="172">
        <v>0</v>
      </c>
      <c r="S77" s="173">
        <v>6350000</v>
      </c>
      <c r="T77" s="173">
        <v>0</v>
      </c>
      <c r="U77" s="171" t="e">
        <v>#DIV/0!</v>
      </c>
      <c r="V77" s="174">
        <v>529166.66666666663</v>
      </c>
      <c r="W77" s="152"/>
    </row>
    <row r="78" spans="1:23" x14ac:dyDescent="0.25">
      <c r="A78" s="165"/>
      <c r="B78" s="166"/>
      <c r="C78" s="219"/>
      <c r="D78" s="166"/>
      <c r="E78" s="200" t="s">
        <v>104</v>
      </c>
      <c r="F78" s="169"/>
      <c r="G78" s="172">
        <v>0</v>
      </c>
      <c r="H78" s="172">
        <v>0</v>
      </c>
      <c r="I78" s="172">
        <v>0</v>
      </c>
      <c r="J78" s="172">
        <v>0</v>
      </c>
      <c r="K78" s="172">
        <v>0</v>
      </c>
      <c r="L78" s="257">
        <v>400000</v>
      </c>
      <c r="M78" s="257">
        <v>66000</v>
      </c>
      <c r="N78" s="172">
        <v>0</v>
      </c>
      <c r="O78" s="172">
        <v>0</v>
      </c>
      <c r="P78" s="172">
        <v>0</v>
      </c>
      <c r="Q78" s="172">
        <v>0</v>
      </c>
      <c r="R78" s="172">
        <v>285000</v>
      </c>
      <c r="S78" s="173">
        <v>751000</v>
      </c>
      <c r="T78" s="173">
        <v>915000</v>
      </c>
      <c r="U78" s="171">
        <v>0.82076502732240442</v>
      </c>
      <c r="V78" s="174">
        <v>62583.333333333336</v>
      </c>
      <c r="W78" s="152"/>
    </row>
    <row r="79" spans="1:23" x14ac:dyDescent="0.25">
      <c r="A79" s="165"/>
      <c r="B79" s="166"/>
      <c r="C79" s="219"/>
      <c r="D79" s="166"/>
      <c r="E79" s="200" t="s">
        <v>105</v>
      </c>
      <c r="F79" s="169"/>
      <c r="G79" s="172">
        <v>0</v>
      </c>
      <c r="H79" s="172">
        <v>0</v>
      </c>
      <c r="I79" s="172">
        <v>0</v>
      </c>
      <c r="J79" s="172">
        <v>0</v>
      </c>
      <c r="K79" s="172">
        <v>0</v>
      </c>
      <c r="L79" s="257">
        <v>0</v>
      </c>
      <c r="M79" s="257">
        <v>70000</v>
      </c>
      <c r="N79" s="172">
        <v>0</v>
      </c>
      <c r="O79" s="172">
        <v>0</v>
      </c>
      <c r="P79" s="172">
        <v>0</v>
      </c>
      <c r="Q79" s="172">
        <v>0</v>
      </c>
      <c r="R79" s="172">
        <v>0</v>
      </c>
      <c r="S79" s="173">
        <v>70000</v>
      </c>
      <c r="T79" s="173">
        <v>0</v>
      </c>
      <c r="U79" s="171" t="e">
        <v>#DIV/0!</v>
      </c>
      <c r="V79" s="174">
        <v>5833.333333333333</v>
      </c>
      <c r="W79" s="152"/>
    </row>
    <row r="80" spans="1:23" x14ac:dyDescent="0.25">
      <c r="A80" s="165"/>
      <c r="B80" s="166"/>
      <c r="C80" s="219"/>
      <c r="D80" s="166"/>
      <c r="E80" s="200" t="s">
        <v>106</v>
      </c>
      <c r="F80" s="169"/>
      <c r="G80" s="172">
        <v>0</v>
      </c>
      <c r="H80" s="172">
        <v>0</v>
      </c>
      <c r="I80" s="172">
        <v>0</v>
      </c>
      <c r="J80" s="172">
        <v>0</v>
      </c>
      <c r="K80" s="172">
        <v>0</v>
      </c>
      <c r="L80" s="257">
        <v>0</v>
      </c>
      <c r="M80" s="257">
        <v>0</v>
      </c>
      <c r="N80" s="172">
        <v>0</v>
      </c>
      <c r="O80" s="172">
        <v>0</v>
      </c>
      <c r="P80" s="172">
        <v>0</v>
      </c>
      <c r="Q80" s="172">
        <v>0</v>
      </c>
      <c r="R80" s="172">
        <v>0</v>
      </c>
      <c r="S80" s="173">
        <v>0</v>
      </c>
      <c r="T80" s="173">
        <v>1738000</v>
      </c>
      <c r="U80" s="171">
        <v>0</v>
      </c>
      <c r="V80" s="174">
        <v>0</v>
      </c>
      <c r="W80" s="152"/>
    </row>
    <row r="81" spans="1:22" x14ac:dyDescent="0.25">
      <c r="A81" s="165"/>
      <c r="B81" s="166"/>
      <c r="C81" s="219"/>
      <c r="D81" s="166"/>
      <c r="E81" s="200" t="s">
        <v>107</v>
      </c>
      <c r="F81" s="169"/>
      <c r="G81" s="172">
        <v>0</v>
      </c>
      <c r="H81" s="172">
        <v>0</v>
      </c>
      <c r="I81" s="172">
        <v>0</v>
      </c>
      <c r="J81" s="172">
        <v>0</v>
      </c>
      <c r="K81" s="172">
        <v>50000</v>
      </c>
      <c r="L81" s="257">
        <v>400000</v>
      </c>
      <c r="M81" s="257">
        <v>650000</v>
      </c>
      <c r="N81" s="172">
        <v>0</v>
      </c>
      <c r="O81" s="172">
        <v>0</v>
      </c>
      <c r="P81" s="172">
        <v>0</v>
      </c>
      <c r="Q81" s="172">
        <v>0</v>
      </c>
      <c r="R81" s="172">
        <v>0</v>
      </c>
      <c r="S81" s="173">
        <v>1100000</v>
      </c>
      <c r="T81" s="173">
        <v>423000</v>
      </c>
      <c r="U81" s="171">
        <v>2.6004728132387709</v>
      </c>
      <c r="V81" s="174">
        <v>91666.666666666672</v>
      </c>
    </row>
    <row r="82" spans="1:22" x14ac:dyDescent="0.25">
      <c r="A82" s="165"/>
      <c r="B82" s="166"/>
      <c r="C82" s="219"/>
      <c r="D82" s="166"/>
      <c r="E82" s="200" t="s">
        <v>108</v>
      </c>
      <c r="F82" s="169"/>
      <c r="G82" s="172">
        <v>0</v>
      </c>
      <c r="H82" s="172">
        <v>0</v>
      </c>
      <c r="I82" s="172">
        <v>0</v>
      </c>
      <c r="J82" s="172">
        <v>0</v>
      </c>
      <c r="K82" s="172">
        <v>0</v>
      </c>
      <c r="L82" s="257">
        <v>0</v>
      </c>
      <c r="M82" s="257">
        <v>0</v>
      </c>
      <c r="N82" s="172">
        <v>0</v>
      </c>
      <c r="O82" s="172">
        <v>0</v>
      </c>
      <c r="P82" s="172">
        <v>0</v>
      </c>
      <c r="Q82" s="172">
        <v>0</v>
      </c>
      <c r="R82" s="172">
        <v>0</v>
      </c>
      <c r="S82" s="173">
        <v>0</v>
      </c>
      <c r="T82" s="173">
        <v>0</v>
      </c>
      <c r="U82" s="171" t="e">
        <v>#DIV/0!</v>
      </c>
      <c r="V82" s="174">
        <v>0</v>
      </c>
    </row>
    <row r="83" spans="1:22" x14ac:dyDescent="0.25">
      <c r="A83" s="165"/>
      <c r="B83" s="166"/>
      <c r="C83" s="219"/>
      <c r="D83" s="166"/>
      <c r="E83" s="200" t="s">
        <v>109</v>
      </c>
      <c r="F83" s="169"/>
      <c r="G83" s="172">
        <v>0</v>
      </c>
      <c r="H83" s="172">
        <v>0</v>
      </c>
      <c r="I83" s="172">
        <v>300000</v>
      </c>
      <c r="J83" s="172">
        <v>0</v>
      </c>
      <c r="K83" s="172">
        <v>0</v>
      </c>
      <c r="L83" s="257">
        <v>0</v>
      </c>
      <c r="M83" s="257">
        <v>0</v>
      </c>
      <c r="N83" s="172">
        <v>0</v>
      </c>
      <c r="O83" s="172">
        <v>0</v>
      </c>
      <c r="P83" s="172">
        <v>0</v>
      </c>
      <c r="Q83" s="172">
        <v>0</v>
      </c>
      <c r="R83" s="172">
        <v>1500000</v>
      </c>
      <c r="S83" s="173">
        <v>1800000</v>
      </c>
      <c r="T83" s="173">
        <v>3436000</v>
      </c>
      <c r="U83" s="171">
        <v>0.52386495925494758</v>
      </c>
      <c r="V83" s="174">
        <v>150000</v>
      </c>
    </row>
    <row r="84" spans="1:22" ht="15.75" thickBot="1" x14ac:dyDescent="0.3">
      <c r="A84" s="191"/>
      <c r="B84" s="192"/>
      <c r="C84" s="223"/>
      <c r="D84" s="192"/>
      <c r="E84" s="201" t="s">
        <v>110</v>
      </c>
      <c r="F84" s="193"/>
      <c r="G84" s="182">
        <v>0</v>
      </c>
      <c r="H84" s="182">
        <v>0</v>
      </c>
      <c r="I84" s="182">
        <v>0</v>
      </c>
      <c r="J84" s="182">
        <v>0</v>
      </c>
      <c r="K84" s="251">
        <v>0</v>
      </c>
      <c r="L84" s="258">
        <v>0</v>
      </c>
      <c r="M84" s="258">
        <v>0</v>
      </c>
      <c r="N84" s="251">
        <v>0</v>
      </c>
      <c r="O84" s="172">
        <v>0</v>
      </c>
      <c r="P84" s="169">
        <v>150000</v>
      </c>
      <c r="Q84" s="172">
        <v>0</v>
      </c>
      <c r="R84" s="172">
        <v>0</v>
      </c>
      <c r="S84" s="173">
        <v>150000</v>
      </c>
      <c r="T84" s="173">
        <v>2120000</v>
      </c>
      <c r="U84" s="171">
        <v>7.0754716981132074E-2</v>
      </c>
      <c r="V84" s="174">
        <v>12500</v>
      </c>
    </row>
    <row r="85" spans="1:22" ht="15.75" thickBot="1" x14ac:dyDescent="0.3">
      <c r="A85" s="214"/>
      <c r="B85" s="215"/>
      <c r="C85" s="225"/>
      <c r="D85" s="215"/>
      <c r="E85" s="215"/>
      <c r="F85" s="215"/>
      <c r="G85" s="235">
        <v>23993666</v>
      </c>
      <c r="H85" s="216">
        <v>16971797</v>
      </c>
      <c r="I85" s="216">
        <v>18202500</v>
      </c>
      <c r="J85" s="216">
        <v>10213500</v>
      </c>
      <c r="K85" s="216">
        <v>26703500</v>
      </c>
      <c r="L85" s="216">
        <v>21041916</v>
      </c>
      <c r="M85" s="216">
        <v>18496685</v>
      </c>
      <c r="N85" s="216">
        <v>4475000</v>
      </c>
      <c r="O85" s="216">
        <v>17288000</v>
      </c>
      <c r="P85" s="216">
        <v>12648080</v>
      </c>
      <c r="Q85" s="216">
        <v>15688500</v>
      </c>
      <c r="R85" s="216">
        <v>15572566</v>
      </c>
      <c r="S85" s="216">
        <v>201295710</v>
      </c>
      <c r="T85" s="242">
        <v>198114000</v>
      </c>
      <c r="U85" s="243">
        <v>1.0160599957600169</v>
      </c>
      <c r="V85" s="235">
        <v>16774642.5</v>
      </c>
    </row>
    <row r="86" spans="1:22" ht="15.75" thickBot="1" x14ac:dyDescent="0.3">
      <c r="A86" s="202"/>
      <c r="B86" s="205"/>
      <c r="C86" s="224"/>
      <c r="D86" s="205"/>
      <c r="E86" s="205"/>
      <c r="F86" s="205"/>
      <c r="G86" s="253">
        <v>399465222</v>
      </c>
      <c r="H86" s="213">
        <v>332061240</v>
      </c>
      <c r="I86" s="213">
        <v>359388966</v>
      </c>
      <c r="J86" s="213">
        <v>273462141</v>
      </c>
      <c r="K86" s="213">
        <v>292763137</v>
      </c>
      <c r="L86" s="213">
        <v>352683805</v>
      </c>
      <c r="M86" s="213">
        <v>284068287</v>
      </c>
      <c r="N86" s="213">
        <v>277291576</v>
      </c>
      <c r="O86" s="213">
        <v>337883766</v>
      </c>
      <c r="P86" s="213">
        <v>377976018</v>
      </c>
      <c r="Q86" s="213">
        <v>387979746</v>
      </c>
      <c r="R86" s="213">
        <v>398903722</v>
      </c>
      <c r="S86" s="213">
        <v>4073927626</v>
      </c>
      <c r="T86" s="213">
        <v>3649588000</v>
      </c>
      <c r="U86" s="236">
        <v>1.1162705560189259</v>
      </c>
      <c r="V86" s="213">
        <v>339493968.83333331</v>
      </c>
    </row>
    <row r="87" spans="1:22" x14ac:dyDescent="0.25">
      <c r="A87" s="155"/>
      <c r="B87" s="156"/>
      <c r="C87" s="217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7"/>
      <c r="V87" s="156"/>
    </row>
    <row r="88" spans="1:22" x14ac:dyDescent="0.25">
      <c r="A88" s="152"/>
      <c r="B88" s="152"/>
      <c r="C88" s="152"/>
      <c r="D88" s="152"/>
      <c r="E88" s="152"/>
      <c r="F88" s="152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27" t="s">
        <v>148</v>
      </c>
      <c r="V88" s="127"/>
    </row>
    <row r="89" spans="1:22" x14ac:dyDescent="0.25">
      <c r="A89" s="152"/>
      <c r="B89" s="152"/>
      <c r="C89" s="152"/>
      <c r="D89" s="152"/>
      <c r="E89" s="152"/>
      <c r="F89" s="152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254"/>
      <c r="V89" s="254"/>
    </row>
    <row r="90" spans="1:22" x14ac:dyDescent="0.25">
      <c r="A90" s="152"/>
      <c r="B90" s="227" t="s">
        <v>149</v>
      </c>
      <c r="C90" s="217"/>
      <c r="D90" s="156"/>
      <c r="E90" s="152"/>
      <c r="F90" s="152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254"/>
      <c r="V90" s="254"/>
    </row>
    <row r="91" spans="1:22" x14ac:dyDescent="0.25">
      <c r="A91" s="152"/>
      <c r="B91" s="156" t="s">
        <v>113</v>
      </c>
      <c r="C91" s="217">
        <v>395264522</v>
      </c>
      <c r="D91" s="156"/>
      <c r="E91" s="152"/>
      <c r="F91" s="152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254"/>
      <c r="V91" s="254"/>
    </row>
    <row r="92" spans="1:22" ht="15.75" thickBot="1" x14ac:dyDescent="0.3">
      <c r="A92" s="152"/>
      <c r="B92" s="156" t="s">
        <v>114</v>
      </c>
      <c r="C92" s="226">
        <v>3639200</v>
      </c>
      <c r="D92" s="156"/>
      <c r="E92" s="152"/>
      <c r="F92" s="152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254"/>
      <c r="V92" s="254"/>
    </row>
    <row r="93" spans="1:22" ht="15.75" thickTop="1" x14ac:dyDescent="0.25">
      <c r="A93" s="152"/>
      <c r="B93" s="156"/>
      <c r="C93" s="228">
        <v>398903722</v>
      </c>
      <c r="D93" s="156"/>
      <c r="E93" s="152"/>
      <c r="F93" s="152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254"/>
      <c r="V93" s="254"/>
    </row>
    <row r="94" spans="1:22" x14ac:dyDescent="0.25">
      <c r="A94" s="152"/>
      <c r="B94" s="156"/>
      <c r="C94" s="217"/>
      <c r="D94" s="156"/>
      <c r="E94" s="152"/>
      <c r="F94" s="152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254"/>
      <c r="V94" s="254"/>
    </row>
    <row r="95" spans="1:22" x14ac:dyDescent="0.25">
      <c r="A95" s="152"/>
      <c r="B95" s="156"/>
      <c r="C95" s="229">
        <v>0</v>
      </c>
      <c r="D95" s="156"/>
      <c r="E95" s="152"/>
      <c r="F95" s="152"/>
      <c r="G95" s="154"/>
      <c r="H95" s="154"/>
      <c r="I95" s="154"/>
      <c r="J95" s="154"/>
      <c r="K95" s="154"/>
      <c r="L95" s="154"/>
      <c r="M95" s="154"/>
      <c r="N95" s="406"/>
      <c r="O95" s="154"/>
      <c r="P95" s="154"/>
      <c r="Q95" s="154"/>
      <c r="R95" s="154"/>
      <c r="S95" s="154"/>
      <c r="T95" s="154"/>
      <c r="U95" s="254"/>
      <c r="V95" s="254"/>
    </row>
    <row r="96" spans="1:22" x14ac:dyDescent="0.25">
      <c r="A96" s="152"/>
      <c r="B96" s="237"/>
      <c r="C96" s="238"/>
      <c r="D96" s="237"/>
      <c r="E96" s="152"/>
      <c r="F96" s="152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254"/>
      <c r="V96" s="254"/>
    </row>
    <row r="97" spans="2:22" x14ac:dyDescent="0.25">
      <c r="B97" s="227" t="s">
        <v>150</v>
      </c>
      <c r="C97" s="217"/>
      <c r="D97" s="156"/>
      <c r="E97" s="152"/>
      <c r="F97" s="152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254"/>
      <c r="V97" s="254"/>
    </row>
    <row r="98" spans="2:22" x14ac:dyDescent="0.25">
      <c r="B98" s="156" t="s">
        <v>113</v>
      </c>
      <c r="C98" s="217">
        <v>382997946</v>
      </c>
      <c r="D98" s="156"/>
      <c r="E98" s="152"/>
      <c r="F98" s="152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254"/>
      <c r="V98" s="254"/>
    </row>
    <row r="99" spans="2:22" ht="15.75" thickBot="1" x14ac:dyDescent="0.3">
      <c r="B99" s="156" t="s">
        <v>114</v>
      </c>
      <c r="C99" s="226">
        <v>4981800</v>
      </c>
      <c r="D99" s="156"/>
      <c r="E99" s="152"/>
      <c r="F99" s="152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254"/>
      <c r="V99" s="254"/>
    </row>
    <row r="100" spans="2:22" ht="15.75" thickTop="1" x14ac:dyDescent="0.25">
      <c r="B100" s="156"/>
      <c r="C100" s="228">
        <v>387979746</v>
      </c>
      <c r="D100" s="156"/>
      <c r="E100" s="152"/>
      <c r="F100" s="152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254"/>
      <c r="V100" s="254"/>
    </row>
    <row r="101" spans="2:22" x14ac:dyDescent="0.25">
      <c r="B101" s="156"/>
      <c r="C101" s="217"/>
      <c r="D101" s="156"/>
      <c r="E101" s="152"/>
      <c r="F101" s="152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254"/>
      <c r="V101" s="254"/>
    </row>
    <row r="102" spans="2:22" x14ac:dyDescent="0.25">
      <c r="B102" s="156"/>
      <c r="C102" s="229">
        <v>0</v>
      </c>
      <c r="D102" s="156"/>
      <c r="E102" s="152"/>
      <c r="F102" s="152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254"/>
      <c r="V102" s="254"/>
    </row>
    <row r="103" spans="2:22" x14ac:dyDescent="0.25">
      <c r="B103" s="237"/>
      <c r="C103" s="238"/>
      <c r="D103" s="237"/>
      <c r="E103" s="152"/>
      <c r="F103" s="152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254"/>
      <c r="V103" s="254"/>
    </row>
    <row r="104" spans="2:22" x14ac:dyDescent="0.25">
      <c r="B104" s="227" t="s">
        <v>151</v>
      </c>
      <c r="C104" s="217"/>
      <c r="D104" s="156"/>
      <c r="E104" s="152"/>
      <c r="F104" s="152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254"/>
      <c r="V104" s="254"/>
    </row>
    <row r="105" spans="2:22" x14ac:dyDescent="0.25">
      <c r="B105" s="156" t="s">
        <v>113</v>
      </c>
      <c r="C105" s="217">
        <v>373772018</v>
      </c>
      <c r="D105" s="156"/>
      <c r="E105" s="152"/>
      <c r="F105" s="152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254"/>
      <c r="V105" s="254"/>
    </row>
    <row r="106" spans="2:22" ht="15.75" thickBot="1" x14ac:dyDescent="0.3">
      <c r="B106" s="156" t="s">
        <v>114</v>
      </c>
      <c r="C106" s="226">
        <v>4204000</v>
      </c>
      <c r="D106" s="156"/>
      <c r="E106" s="152"/>
      <c r="F106" s="152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254"/>
      <c r="V106" s="254"/>
    </row>
    <row r="107" spans="2:22" ht="15.75" thickTop="1" x14ac:dyDescent="0.25">
      <c r="B107" s="156"/>
      <c r="C107" s="228">
        <v>377976018</v>
      </c>
      <c r="D107" s="156"/>
      <c r="E107" s="152"/>
      <c r="F107" s="152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254"/>
      <c r="V107" s="254"/>
    </row>
    <row r="108" spans="2:22" x14ac:dyDescent="0.25">
      <c r="B108" s="156"/>
      <c r="C108" s="217"/>
      <c r="D108" s="156"/>
      <c r="E108" s="152"/>
      <c r="F108" s="152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254"/>
      <c r="V108" s="254"/>
    </row>
    <row r="109" spans="2:22" x14ac:dyDescent="0.25">
      <c r="B109" s="156"/>
      <c r="C109" s="229">
        <v>0</v>
      </c>
      <c r="D109" s="156"/>
      <c r="E109" s="152"/>
      <c r="F109" s="152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254"/>
      <c r="V109" s="254"/>
    </row>
    <row r="110" spans="2:22" x14ac:dyDescent="0.25">
      <c r="B110" s="237"/>
      <c r="C110" s="238"/>
      <c r="D110" s="237"/>
      <c r="E110" s="152"/>
      <c r="F110" s="152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254"/>
      <c r="V110" s="254"/>
    </row>
    <row r="111" spans="2:22" x14ac:dyDescent="0.25">
      <c r="B111" s="227" t="s">
        <v>152</v>
      </c>
      <c r="C111" s="217"/>
      <c r="D111" s="156"/>
      <c r="E111" s="152"/>
      <c r="F111" s="152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254"/>
      <c r="V111" s="254"/>
    </row>
    <row r="112" spans="2:22" x14ac:dyDescent="0.25">
      <c r="B112" s="156" t="s">
        <v>113</v>
      </c>
      <c r="C112" s="217">
        <v>336732766</v>
      </c>
      <c r="D112" s="156"/>
      <c r="E112" s="152"/>
      <c r="F112" s="152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254"/>
      <c r="V112" s="254"/>
    </row>
    <row r="113" spans="2:22" ht="15.75" thickBot="1" x14ac:dyDescent="0.3">
      <c r="B113" s="156" t="s">
        <v>114</v>
      </c>
      <c r="C113" s="226">
        <v>1151000</v>
      </c>
      <c r="D113" s="156"/>
      <c r="E113" s="152"/>
      <c r="F113" s="152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254"/>
      <c r="V113" s="254"/>
    </row>
    <row r="114" spans="2:22" ht="15.75" thickTop="1" x14ac:dyDescent="0.25">
      <c r="B114" s="156"/>
      <c r="C114" s="228">
        <v>337883766</v>
      </c>
      <c r="D114" s="156"/>
      <c r="E114" s="152"/>
      <c r="F114" s="152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254"/>
      <c r="V114" s="254"/>
    </row>
    <row r="115" spans="2:22" x14ac:dyDescent="0.25">
      <c r="B115" s="156"/>
      <c r="C115" s="217"/>
      <c r="D115" s="156"/>
      <c r="E115" s="152"/>
      <c r="F115" s="152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254"/>
      <c r="V115" s="254"/>
    </row>
    <row r="116" spans="2:22" x14ac:dyDescent="0.25">
      <c r="B116" s="156"/>
      <c r="C116" s="229">
        <v>0</v>
      </c>
      <c r="D116" s="156"/>
      <c r="E116" s="152"/>
      <c r="F116" s="152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254"/>
      <c r="V116" s="254"/>
    </row>
    <row r="117" spans="2:22" x14ac:dyDescent="0.25">
      <c r="B117" s="237"/>
      <c r="C117" s="238"/>
      <c r="D117" s="237"/>
      <c r="E117" s="152"/>
      <c r="F117" s="152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254"/>
      <c r="V117" s="254"/>
    </row>
    <row r="118" spans="2:22" x14ac:dyDescent="0.25">
      <c r="B118" s="227" t="s">
        <v>153</v>
      </c>
      <c r="C118" s="217"/>
      <c r="D118" s="156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</row>
    <row r="119" spans="2:22" x14ac:dyDescent="0.25">
      <c r="B119" s="156" t="s">
        <v>113</v>
      </c>
      <c r="C119" s="217">
        <v>276338576</v>
      </c>
      <c r="D119" s="156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</row>
    <row r="120" spans="2:22" ht="15.75" thickBot="1" x14ac:dyDescent="0.3">
      <c r="B120" s="156" t="s">
        <v>114</v>
      </c>
      <c r="C120" s="226">
        <v>953000</v>
      </c>
      <c r="D120" s="156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</row>
    <row r="121" spans="2:22" ht="15.75" thickTop="1" x14ac:dyDescent="0.25">
      <c r="B121" s="156"/>
      <c r="C121" s="228">
        <v>277291576</v>
      </c>
      <c r="D121" s="156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</row>
    <row r="122" spans="2:22" x14ac:dyDescent="0.25">
      <c r="B122" s="156"/>
      <c r="C122" s="217"/>
      <c r="D122" s="156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</row>
    <row r="123" spans="2:22" x14ac:dyDescent="0.25">
      <c r="B123" s="156"/>
      <c r="C123" s="229">
        <v>0</v>
      </c>
      <c r="D123" s="156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</row>
    <row r="124" spans="2:22" x14ac:dyDescent="0.25">
      <c r="B124" s="237"/>
      <c r="C124" s="238"/>
      <c r="D124" s="237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</row>
    <row r="125" spans="2:22" x14ac:dyDescent="0.25">
      <c r="B125" s="227" t="s">
        <v>154</v>
      </c>
      <c r="C125" s="217"/>
      <c r="D125" s="156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</row>
    <row r="126" spans="2:22" x14ac:dyDescent="0.25">
      <c r="B126" s="156" t="s">
        <v>113</v>
      </c>
      <c r="C126" s="217">
        <v>283046287</v>
      </c>
      <c r="D126" s="156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</row>
    <row r="127" spans="2:22" ht="15.75" thickBot="1" x14ac:dyDescent="0.3">
      <c r="B127" s="156" t="s">
        <v>114</v>
      </c>
      <c r="C127" s="226">
        <v>1022000</v>
      </c>
      <c r="D127" s="156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</row>
    <row r="128" spans="2:22" ht="15.75" thickTop="1" x14ac:dyDescent="0.25">
      <c r="B128" s="156"/>
      <c r="C128" s="228">
        <v>284068287</v>
      </c>
      <c r="D128" s="156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</row>
    <row r="129" spans="2:4" x14ac:dyDescent="0.25">
      <c r="B129" s="156"/>
      <c r="C129" s="217"/>
      <c r="D129" s="156"/>
    </row>
    <row r="130" spans="2:4" x14ac:dyDescent="0.25">
      <c r="B130" s="156"/>
      <c r="C130" s="229">
        <v>0</v>
      </c>
      <c r="D130" s="156"/>
    </row>
    <row r="131" spans="2:4" x14ac:dyDescent="0.25">
      <c r="B131" s="237"/>
      <c r="C131" s="238"/>
      <c r="D131" s="237"/>
    </row>
    <row r="132" spans="2:4" x14ac:dyDescent="0.25">
      <c r="B132" s="227" t="s">
        <v>155</v>
      </c>
      <c r="C132" s="217"/>
      <c r="D132" s="156"/>
    </row>
    <row r="133" spans="2:4" x14ac:dyDescent="0.25">
      <c r="B133" s="156" t="s">
        <v>113</v>
      </c>
      <c r="C133" s="217">
        <v>352094805</v>
      </c>
      <c r="D133" s="156"/>
    </row>
    <row r="134" spans="2:4" ht="15.75" thickBot="1" x14ac:dyDescent="0.3">
      <c r="B134" s="156" t="s">
        <v>114</v>
      </c>
      <c r="C134" s="226">
        <v>589000</v>
      </c>
      <c r="D134" s="156"/>
    </row>
    <row r="135" spans="2:4" ht="15.75" thickTop="1" x14ac:dyDescent="0.25">
      <c r="B135" s="156"/>
      <c r="C135" s="228">
        <v>352683805</v>
      </c>
      <c r="D135" s="156"/>
    </row>
    <row r="136" spans="2:4" x14ac:dyDescent="0.25">
      <c r="B136" s="156"/>
      <c r="C136" s="217"/>
      <c r="D136" s="156"/>
    </row>
    <row r="137" spans="2:4" x14ac:dyDescent="0.25">
      <c r="B137" s="156"/>
      <c r="C137" s="229">
        <v>0</v>
      </c>
      <c r="D137" s="156"/>
    </row>
    <row r="138" spans="2:4" x14ac:dyDescent="0.25">
      <c r="B138" s="237"/>
      <c r="C138" s="238"/>
      <c r="D138" s="237"/>
    </row>
    <row r="139" spans="2:4" x14ac:dyDescent="0.25">
      <c r="B139" s="227" t="s">
        <v>156</v>
      </c>
      <c r="C139" s="217"/>
      <c r="D139" s="156"/>
    </row>
    <row r="140" spans="2:4" x14ac:dyDescent="0.25">
      <c r="B140" s="156" t="s">
        <v>113</v>
      </c>
      <c r="C140" s="217">
        <v>291460637</v>
      </c>
      <c r="D140" s="156"/>
    </row>
    <row r="141" spans="2:4" ht="15.75" thickBot="1" x14ac:dyDescent="0.3">
      <c r="B141" s="156" t="s">
        <v>114</v>
      </c>
      <c r="C141" s="226">
        <v>1302500</v>
      </c>
      <c r="D141" s="156"/>
    </row>
    <row r="142" spans="2:4" ht="15.75" thickTop="1" x14ac:dyDescent="0.25">
      <c r="B142" s="156"/>
      <c r="C142" s="228">
        <v>292763137</v>
      </c>
      <c r="D142" s="156"/>
    </row>
    <row r="143" spans="2:4" x14ac:dyDescent="0.25">
      <c r="B143" s="156"/>
      <c r="C143" s="217"/>
      <c r="D143" s="156"/>
    </row>
    <row r="144" spans="2:4" x14ac:dyDescent="0.25">
      <c r="B144" s="156"/>
      <c r="C144" s="229">
        <v>0</v>
      </c>
      <c r="D144" s="156"/>
    </row>
    <row r="145" spans="1:21" x14ac:dyDescent="0.25">
      <c r="A145" s="152"/>
      <c r="B145" s="237"/>
      <c r="C145" s="238"/>
      <c r="D145" s="237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</row>
    <row r="146" spans="1:21" x14ac:dyDescent="0.25">
      <c r="A146" s="152"/>
      <c r="B146" s="227" t="s">
        <v>157</v>
      </c>
      <c r="C146" s="217"/>
      <c r="D146" s="156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</row>
    <row r="147" spans="1:21" x14ac:dyDescent="0.25">
      <c r="A147" s="152"/>
      <c r="B147" s="156" t="s">
        <v>113</v>
      </c>
      <c r="C147" s="217">
        <v>273462141</v>
      </c>
      <c r="D147" s="156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</row>
    <row r="148" spans="1:21" ht="15.75" thickBot="1" x14ac:dyDescent="0.3">
      <c r="A148" s="152"/>
      <c r="B148" s="156" t="s">
        <v>114</v>
      </c>
      <c r="C148" s="226">
        <v>1042000</v>
      </c>
      <c r="D148" s="156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</row>
    <row r="149" spans="1:21" ht="15.75" thickTop="1" x14ac:dyDescent="0.25">
      <c r="A149" s="152"/>
      <c r="B149" s="156"/>
      <c r="C149" s="228">
        <v>274504141</v>
      </c>
      <c r="D149" s="156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</row>
    <row r="150" spans="1:21" x14ac:dyDescent="0.25">
      <c r="A150" s="152"/>
      <c r="B150" s="156"/>
      <c r="C150" s="217"/>
      <c r="D150" s="156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</row>
    <row r="151" spans="1:21" x14ac:dyDescent="0.25">
      <c r="A151" s="152"/>
      <c r="B151" s="156"/>
      <c r="C151" s="229">
        <v>-1042000</v>
      </c>
      <c r="D151" s="156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</row>
    <row r="152" spans="1:21" x14ac:dyDescent="0.25">
      <c r="A152" s="152"/>
      <c r="B152" s="237"/>
      <c r="C152" s="238"/>
      <c r="D152" s="237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</row>
    <row r="153" spans="1:21" x14ac:dyDescent="0.25">
      <c r="A153" s="155"/>
      <c r="B153" s="227" t="s">
        <v>158</v>
      </c>
      <c r="C153" s="217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7"/>
    </row>
    <row r="154" spans="1:21" x14ac:dyDescent="0.25">
      <c r="A154" s="155"/>
      <c r="B154" s="156" t="s">
        <v>113</v>
      </c>
      <c r="C154" s="217">
        <v>357386966</v>
      </c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7"/>
    </row>
    <row r="155" spans="1:21" ht="15.75" thickBot="1" x14ac:dyDescent="0.3">
      <c r="A155" s="155"/>
      <c r="B155" s="156" t="s">
        <v>114</v>
      </c>
      <c r="C155" s="226">
        <v>2002000</v>
      </c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7"/>
    </row>
    <row r="156" spans="1:21" ht="15.75" thickTop="1" x14ac:dyDescent="0.25">
      <c r="A156" s="155"/>
      <c r="B156" s="156"/>
      <c r="C156" s="228">
        <v>359388966</v>
      </c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7"/>
    </row>
    <row r="157" spans="1:21" x14ac:dyDescent="0.25">
      <c r="A157" s="155"/>
      <c r="B157" s="156"/>
      <c r="C157" s="217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7"/>
    </row>
    <row r="158" spans="1:21" x14ac:dyDescent="0.25">
      <c r="A158" s="155"/>
      <c r="B158" s="156"/>
      <c r="C158" s="229">
        <v>0</v>
      </c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7"/>
    </row>
    <row r="159" spans="1:21" x14ac:dyDescent="0.25">
      <c r="A159" s="155"/>
      <c r="B159" s="237"/>
      <c r="C159" s="238"/>
      <c r="D159" s="237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7"/>
    </row>
    <row r="160" spans="1:21" x14ac:dyDescent="0.25">
      <c r="A160" s="155"/>
      <c r="B160" s="227" t="s">
        <v>159</v>
      </c>
      <c r="C160" s="217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217"/>
      <c r="U160" s="157"/>
    </row>
    <row r="161" spans="1:21" x14ac:dyDescent="0.25">
      <c r="A161" s="155"/>
      <c r="B161" s="156" t="s">
        <v>113</v>
      </c>
      <c r="C161" s="217">
        <v>330536240</v>
      </c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7"/>
    </row>
    <row r="162" spans="1:21" ht="15.75" thickBot="1" x14ac:dyDescent="0.3">
      <c r="A162" s="155"/>
      <c r="B162" s="156" t="s">
        <v>114</v>
      </c>
      <c r="C162" s="226">
        <v>1525000</v>
      </c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7"/>
    </row>
    <row r="163" spans="1:21" ht="15.75" thickTop="1" x14ac:dyDescent="0.25">
      <c r="A163" s="155"/>
      <c r="B163" s="156"/>
      <c r="C163" s="228">
        <v>332061240</v>
      </c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7"/>
    </row>
    <row r="164" spans="1:21" x14ac:dyDescent="0.25">
      <c r="A164" s="155"/>
      <c r="B164" s="156"/>
      <c r="C164" s="217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7"/>
    </row>
    <row r="165" spans="1:21" x14ac:dyDescent="0.25">
      <c r="A165" s="155"/>
      <c r="B165" s="156"/>
      <c r="C165" s="229">
        <v>0</v>
      </c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7"/>
    </row>
    <row r="166" spans="1:21" x14ac:dyDescent="0.25">
      <c r="A166" s="155"/>
      <c r="B166" s="237"/>
      <c r="C166" s="238"/>
      <c r="D166" s="237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7"/>
    </row>
    <row r="167" spans="1:21" x14ac:dyDescent="0.25">
      <c r="A167" s="155"/>
      <c r="B167" s="227" t="s">
        <v>160</v>
      </c>
      <c r="C167" s="217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7"/>
    </row>
    <row r="168" spans="1:21" x14ac:dyDescent="0.25">
      <c r="A168" s="155"/>
      <c r="B168" s="156" t="s">
        <v>113</v>
      </c>
      <c r="C168" s="217">
        <v>397387722</v>
      </c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7"/>
    </row>
    <row r="169" spans="1:21" ht="15.75" thickBot="1" x14ac:dyDescent="0.3">
      <c r="A169" s="155"/>
      <c r="B169" s="156" t="s">
        <v>114</v>
      </c>
      <c r="C169" s="226">
        <v>2077500</v>
      </c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7"/>
    </row>
    <row r="170" spans="1:21" ht="15.75" thickTop="1" x14ac:dyDescent="0.25">
      <c r="A170" s="155"/>
      <c r="B170" s="156"/>
      <c r="C170" s="228">
        <v>399465222</v>
      </c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7"/>
    </row>
    <row r="171" spans="1:21" x14ac:dyDescent="0.25">
      <c r="A171" s="155"/>
      <c r="B171" s="156"/>
      <c r="C171" s="217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7"/>
    </row>
    <row r="172" spans="1:21" x14ac:dyDescent="0.25">
      <c r="A172" s="155"/>
      <c r="B172" s="156"/>
      <c r="C172" s="229">
        <v>0</v>
      </c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7"/>
    </row>
    <row r="173" spans="1:21" x14ac:dyDescent="0.25">
      <c r="A173" s="155"/>
      <c r="B173" s="156"/>
      <c r="C173" s="217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7"/>
    </row>
    <row r="174" spans="1:21" x14ac:dyDescent="0.25">
      <c r="A174" s="155"/>
      <c r="B174" s="156"/>
      <c r="C174" s="217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7"/>
    </row>
    <row r="175" spans="1:21" x14ac:dyDescent="0.25">
      <c r="A175" s="155"/>
      <c r="B175" s="156"/>
      <c r="C175" s="217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7"/>
    </row>
  </sheetData>
  <mergeCells count="12">
    <mergeCell ref="U88:V88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54DE-8FB3-415A-BEE1-7E2F45BF27DC}">
  <dimension ref="A1:W178"/>
  <sheetViews>
    <sheetView topLeftCell="A94" zoomScale="60" zoomScaleNormal="79" workbookViewId="0">
      <selection activeCell="Q83" sqref="Q83"/>
    </sheetView>
  </sheetViews>
  <sheetFormatPr defaultRowHeight="15" x14ac:dyDescent="0.25"/>
  <cols>
    <col min="1" max="1" width="5" style="124" customWidth="1"/>
    <col min="2" max="2" width="13.140625" customWidth="1"/>
    <col min="3" max="3" width="20.7109375" style="125" customWidth="1"/>
    <col min="4" max="4" width="3.7109375" customWidth="1"/>
    <col min="5" max="5" width="29.28515625" customWidth="1"/>
    <col min="6" max="6" width="16.28515625" hidden="1" customWidth="1"/>
    <col min="7" max="18" width="16.140625" customWidth="1"/>
    <col min="19" max="19" width="16.5703125" customWidth="1"/>
    <col min="20" max="20" width="16.85546875" customWidth="1"/>
    <col min="21" max="21" width="14.42578125" style="133" customWidth="1"/>
    <col min="22" max="22" width="15.7109375" customWidth="1"/>
  </cols>
  <sheetData>
    <row r="1" spans="1:22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thickBo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7.5" customHeight="1" thickTop="1" thickBot="1" x14ac:dyDescent="0.3">
      <c r="A3" s="3"/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/>
      <c r="V3" s="4"/>
    </row>
    <row r="4" spans="1:22" s="16" customFormat="1" ht="15.75" thickBot="1" x14ac:dyDescent="0.3">
      <c r="A4" s="7" t="s">
        <v>2</v>
      </c>
      <c r="B4" s="7" t="s">
        <v>3</v>
      </c>
      <c r="C4" s="8"/>
      <c r="D4" s="7" t="s">
        <v>4</v>
      </c>
      <c r="E4" s="8"/>
      <c r="F4" s="9" t="s">
        <v>5</v>
      </c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3" t="s">
        <v>7</v>
      </c>
      <c r="T4" s="13" t="s">
        <v>8</v>
      </c>
      <c r="U4" s="14" t="s">
        <v>9</v>
      </c>
      <c r="V4" s="15" t="s">
        <v>10</v>
      </c>
    </row>
    <row r="5" spans="1:22" s="16" customFormat="1" ht="15.75" thickBot="1" x14ac:dyDescent="0.3">
      <c r="A5" s="17"/>
      <c r="B5" s="17"/>
      <c r="C5" s="18"/>
      <c r="D5" s="17"/>
      <c r="E5" s="18"/>
      <c r="F5" s="19"/>
      <c r="G5" s="20" t="s">
        <v>11</v>
      </c>
      <c r="H5" s="20" t="s">
        <v>12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0" t="s">
        <v>18</v>
      </c>
      <c r="O5" s="20" t="s">
        <v>19</v>
      </c>
      <c r="P5" s="21" t="s">
        <v>20</v>
      </c>
      <c r="Q5" s="21" t="s">
        <v>21</v>
      </c>
      <c r="R5" s="21" t="s">
        <v>22</v>
      </c>
      <c r="S5" s="22"/>
      <c r="T5" s="22"/>
      <c r="U5" s="23"/>
      <c r="V5" s="24"/>
    </row>
    <row r="6" spans="1:22" x14ac:dyDescent="0.25">
      <c r="A6" s="25"/>
      <c r="B6" s="26"/>
      <c r="C6" s="27"/>
      <c r="D6" s="26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1"/>
      <c r="Q6" s="29"/>
      <c r="R6" s="32"/>
      <c r="S6" s="33"/>
      <c r="T6" s="33"/>
      <c r="U6" s="34"/>
      <c r="V6" s="33"/>
    </row>
    <row r="7" spans="1:22" x14ac:dyDescent="0.25">
      <c r="A7" s="35">
        <v>1</v>
      </c>
      <c r="B7" s="36" t="s">
        <v>23</v>
      </c>
      <c r="C7" s="37" t="s">
        <v>24</v>
      </c>
      <c r="D7" s="38" t="s">
        <v>25</v>
      </c>
      <c r="E7" s="39"/>
      <c r="F7" s="40" t="s">
        <v>26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0"/>
      <c r="R7" s="36"/>
      <c r="S7" s="42"/>
      <c r="T7" s="42"/>
      <c r="U7" s="43"/>
      <c r="V7" s="42"/>
    </row>
    <row r="8" spans="1:22" x14ac:dyDescent="0.25">
      <c r="A8" s="35"/>
      <c r="B8" s="36" t="s">
        <v>27</v>
      </c>
      <c r="C8" s="37" t="s">
        <v>28</v>
      </c>
      <c r="D8" s="36"/>
      <c r="E8" s="39" t="s">
        <v>29</v>
      </c>
      <c r="F8" s="40" t="s">
        <v>30</v>
      </c>
      <c r="G8" s="44">
        <v>2345000</v>
      </c>
      <c r="H8" s="44">
        <v>2065000</v>
      </c>
      <c r="I8" s="44">
        <v>1400000</v>
      </c>
      <c r="J8" s="44">
        <v>1620000</v>
      </c>
      <c r="K8" s="44">
        <v>2645000</v>
      </c>
      <c r="L8" s="44">
        <v>1968000</v>
      </c>
      <c r="M8" s="44">
        <v>1175000</v>
      </c>
      <c r="N8" s="44">
        <v>5075000</v>
      </c>
      <c r="O8" s="44">
        <v>2565000</v>
      </c>
      <c r="P8" s="44">
        <v>3950000</v>
      </c>
      <c r="Q8" s="45">
        <v>1000000</v>
      </c>
      <c r="R8" s="46">
        <v>2580000</v>
      </c>
      <c r="S8" s="47">
        <f>SUM(G8:R8)</f>
        <v>28388000</v>
      </c>
      <c r="T8" s="47">
        <f>1015000+357000+0+2654925+1096000+1013250+808500+210000+1291500+849450+330750+1102500</f>
        <v>10728875</v>
      </c>
      <c r="U8" s="43">
        <f>S8/T8</f>
        <v>2.6459437732287867</v>
      </c>
      <c r="V8" s="48">
        <f>S8/12</f>
        <v>2365666.6666666665</v>
      </c>
    </row>
    <row r="9" spans="1:22" x14ac:dyDescent="0.25">
      <c r="A9" s="35"/>
      <c r="B9" s="36"/>
      <c r="C9" s="37" t="s">
        <v>31</v>
      </c>
      <c r="D9" s="36"/>
      <c r="E9" s="39" t="s">
        <v>32</v>
      </c>
      <c r="F9" s="40"/>
      <c r="G9" s="44">
        <v>11374000</v>
      </c>
      <c r="H9" s="44">
        <v>13279000</v>
      </c>
      <c r="I9" s="44">
        <v>13352000</v>
      </c>
      <c r="J9" s="44">
        <v>9082000</v>
      </c>
      <c r="K9" s="44">
        <v>11309000</v>
      </c>
      <c r="L9" s="44">
        <v>12382500</v>
      </c>
      <c r="M9" s="44">
        <v>12560000</v>
      </c>
      <c r="N9" s="44">
        <v>7330142</v>
      </c>
      <c r="O9" s="44">
        <v>8260000</v>
      </c>
      <c r="P9" s="44">
        <v>12056000</v>
      </c>
      <c r="Q9" s="45">
        <v>11320000</v>
      </c>
      <c r="R9" s="46">
        <v>8147000</v>
      </c>
      <c r="S9" s="47">
        <f t="shared" ref="S9:S14" si="0">SUM(G9:R9)</f>
        <v>130451642</v>
      </c>
      <c r="T9" s="47">
        <f>21316122+18517100+15935867+12670119+14026516+11906724+8878800+11190900+11587800+21000000+19495350+21000000</f>
        <v>187525298</v>
      </c>
      <c r="U9" s="43">
        <f>S9/T9</f>
        <v>0.69564823195214975</v>
      </c>
      <c r="V9" s="48">
        <f t="shared" ref="V9:V14" si="1">S9/12</f>
        <v>10870970.166666666</v>
      </c>
    </row>
    <row r="10" spans="1:22" x14ac:dyDescent="0.25">
      <c r="A10" s="35"/>
      <c r="B10" s="36"/>
      <c r="C10" s="37" t="s">
        <v>33</v>
      </c>
      <c r="D10" s="36" t="s">
        <v>34</v>
      </c>
      <c r="E10" s="39" t="s">
        <v>35</v>
      </c>
      <c r="F10" s="40"/>
      <c r="G10" s="44">
        <v>12188000</v>
      </c>
      <c r="H10" s="44">
        <v>12645000</v>
      </c>
      <c r="I10" s="44">
        <v>11185000</v>
      </c>
      <c r="J10" s="44">
        <v>12665000</v>
      </c>
      <c r="K10" s="44">
        <v>7115000</v>
      </c>
      <c r="L10" s="44">
        <v>10069000</v>
      </c>
      <c r="M10" s="44">
        <v>9967500</v>
      </c>
      <c r="N10" s="44">
        <v>8502500</v>
      </c>
      <c r="O10" s="44">
        <v>9559000</v>
      </c>
      <c r="P10" s="44">
        <v>11446000</v>
      </c>
      <c r="Q10" s="45">
        <v>5942000</v>
      </c>
      <c r="R10" s="46">
        <v>7659000</v>
      </c>
      <c r="S10" s="47">
        <f t="shared" si="0"/>
        <v>118943000</v>
      </c>
      <c r="T10" s="47">
        <f>13299319+11432219+12621000+12942030+13482992+11239837+9043650+11535300+7171500+12600000+12390000+12600000</f>
        <v>140357847</v>
      </c>
      <c r="U10" s="43">
        <f t="shared" ref="U10:U14" si="2">S10/T10</f>
        <v>0.84742679189144299</v>
      </c>
      <c r="V10" s="48">
        <f t="shared" si="1"/>
        <v>9911916.666666666</v>
      </c>
    </row>
    <row r="11" spans="1:22" x14ac:dyDescent="0.25">
      <c r="A11" s="35"/>
      <c r="B11" s="36"/>
      <c r="C11" s="37"/>
      <c r="D11" s="36"/>
      <c r="E11" s="39" t="s">
        <v>36</v>
      </c>
      <c r="F11" s="40"/>
      <c r="G11" s="44">
        <v>6060000</v>
      </c>
      <c r="H11" s="44">
        <v>10780000</v>
      </c>
      <c r="I11" s="44">
        <v>10680000</v>
      </c>
      <c r="J11" s="44">
        <v>8691000</v>
      </c>
      <c r="K11" s="44">
        <v>9638000</v>
      </c>
      <c r="L11" s="44">
        <v>10974500</v>
      </c>
      <c r="M11" s="44">
        <v>8875000</v>
      </c>
      <c r="N11" s="44">
        <v>8549000</v>
      </c>
      <c r="O11" s="44">
        <v>7263000</v>
      </c>
      <c r="P11" s="44">
        <v>10393500</v>
      </c>
      <c r="Q11" s="45">
        <v>10327500</v>
      </c>
      <c r="R11" s="46">
        <v>7250000</v>
      </c>
      <c r="S11" s="47">
        <f>SUM(G11:R11)</f>
        <v>109481500</v>
      </c>
      <c r="T11" s="47">
        <f>7570888+9948750+6805563+5305182+4296320+5008350+4546500+4981200+8001000+7844550+8018850+7875000</f>
        <v>80202153</v>
      </c>
      <c r="U11" s="43">
        <f>S11/T11</f>
        <v>1.3650693392233497</v>
      </c>
      <c r="V11" s="48">
        <f t="shared" si="1"/>
        <v>9123458.333333334</v>
      </c>
    </row>
    <row r="12" spans="1:22" x14ac:dyDescent="0.25">
      <c r="A12" s="35"/>
      <c r="B12" s="36"/>
      <c r="C12" s="37"/>
      <c r="D12" s="36"/>
      <c r="E12" s="39" t="s">
        <v>37</v>
      </c>
      <c r="F12" s="40"/>
      <c r="G12" s="44">
        <v>8349500</v>
      </c>
      <c r="H12" s="44">
        <v>12211500</v>
      </c>
      <c r="I12" s="44">
        <v>11707000</v>
      </c>
      <c r="J12" s="44">
        <v>10513928</v>
      </c>
      <c r="K12" s="44">
        <v>9953572</v>
      </c>
      <c r="L12" s="44">
        <v>10564309</v>
      </c>
      <c r="M12" s="44">
        <v>11972000</v>
      </c>
      <c r="N12" s="44">
        <v>6850000</v>
      </c>
      <c r="O12" s="44">
        <v>11645500</v>
      </c>
      <c r="P12" s="44">
        <v>15162500</v>
      </c>
      <c r="Q12" s="45">
        <v>9048000</v>
      </c>
      <c r="R12" s="46">
        <v>7671500</v>
      </c>
      <c r="S12" s="47">
        <f>SUM(G12:R12)</f>
        <v>125649309</v>
      </c>
      <c r="T12" s="47">
        <f>10307833+9934093+10978275+6761598+7732280+8816240+8280300+7235550+9560250+10374650+10386850+10484000</f>
        <v>110851919</v>
      </c>
      <c r="U12" s="43">
        <f t="shared" si="2"/>
        <v>1.1334879010980405</v>
      </c>
      <c r="V12" s="48">
        <f t="shared" si="1"/>
        <v>10470775.75</v>
      </c>
    </row>
    <row r="13" spans="1:22" x14ac:dyDescent="0.25">
      <c r="A13" s="35"/>
      <c r="B13" s="36"/>
      <c r="C13" s="37"/>
      <c r="D13" s="36"/>
      <c r="E13" s="39" t="s">
        <v>38</v>
      </c>
      <c r="F13" s="40"/>
      <c r="G13" s="49">
        <v>8069000</v>
      </c>
      <c r="H13" s="44">
        <v>15293000</v>
      </c>
      <c r="I13" s="44">
        <v>12077380</v>
      </c>
      <c r="J13" s="44">
        <v>9410432</v>
      </c>
      <c r="K13" s="44">
        <v>9681380</v>
      </c>
      <c r="L13" s="44">
        <v>12892500</v>
      </c>
      <c r="M13" s="44">
        <v>9224000</v>
      </c>
      <c r="N13" s="44">
        <v>8746000</v>
      </c>
      <c r="O13" s="44">
        <v>15332670</v>
      </c>
      <c r="P13" s="44">
        <v>18271500</v>
      </c>
      <c r="Q13" s="45">
        <v>13336000</v>
      </c>
      <c r="R13" s="46">
        <v>12085500</v>
      </c>
      <c r="S13" s="47">
        <f t="shared" si="0"/>
        <v>144419362</v>
      </c>
      <c r="T13" s="50">
        <f>11656207+8782200+10544115+9123606+8469888+11836690+6499500+6928950+12331200+12023800+12495250+12176600</f>
        <v>122868006</v>
      </c>
      <c r="U13" s="34">
        <f>S13/T13</f>
        <v>1.1754025047008576</v>
      </c>
      <c r="V13" s="48">
        <f t="shared" si="1"/>
        <v>12034946.833333334</v>
      </c>
    </row>
    <row r="14" spans="1:22" ht="15.75" thickBot="1" x14ac:dyDescent="0.3">
      <c r="A14" s="35"/>
      <c r="B14" s="36"/>
      <c r="C14" s="37"/>
      <c r="D14" s="36"/>
      <c r="E14" s="39" t="s">
        <v>39</v>
      </c>
      <c r="F14" s="40"/>
      <c r="G14" s="51">
        <v>1590000</v>
      </c>
      <c r="H14" s="51">
        <v>660000</v>
      </c>
      <c r="I14" s="51">
        <v>613000</v>
      </c>
      <c r="J14" s="51">
        <v>840000</v>
      </c>
      <c r="K14" s="51">
        <v>515000</v>
      </c>
      <c r="L14" s="51">
        <v>1100000</v>
      </c>
      <c r="M14" s="51">
        <v>1300000</v>
      </c>
      <c r="N14" s="51">
        <v>1355000</v>
      </c>
      <c r="O14" s="51">
        <v>1725000</v>
      </c>
      <c r="P14" s="51">
        <v>1765000</v>
      </c>
      <c r="Q14" s="52">
        <v>720000</v>
      </c>
      <c r="R14" s="53">
        <v>990000</v>
      </c>
      <c r="S14" s="47">
        <f t="shared" si="0"/>
        <v>13173000</v>
      </c>
      <c r="T14" s="47">
        <f>690000+1262100+771750+565995+676780+120625+928200+782250+635250+1260000+910350+1050000</f>
        <v>9653300</v>
      </c>
      <c r="U14" s="43">
        <f t="shared" si="2"/>
        <v>1.3646110656459449</v>
      </c>
      <c r="V14" s="48">
        <f t="shared" si="1"/>
        <v>1097750</v>
      </c>
    </row>
    <row r="15" spans="1:22" s="64" customFormat="1" ht="15.75" thickBot="1" x14ac:dyDescent="0.3">
      <c r="A15" s="54"/>
      <c r="B15" s="55"/>
      <c r="C15" s="56"/>
      <c r="D15" s="55"/>
      <c r="E15" s="57"/>
      <c r="F15" s="58"/>
      <c r="G15" s="59">
        <f t="shared" ref="G15:T15" si="3">SUM(G8:G14)</f>
        <v>49975500</v>
      </c>
      <c r="H15" s="59">
        <f t="shared" si="3"/>
        <v>66933500</v>
      </c>
      <c r="I15" s="59">
        <f t="shared" si="3"/>
        <v>61014380</v>
      </c>
      <c r="J15" s="59">
        <f t="shared" ref="J15:N15" si="4">SUM(J8:J14)</f>
        <v>52822360</v>
      </c>
      <c r="K15" s="59">
        <f t="shared" si="4"/>
        <v>50856952</v>
      </c>
      <c r="L15" s="59">
        <f t="shared" si="4"/>
        <v>59950809</v>
      </c>
      <c r="M15" s="59">
        <f t="shared" si="4"/>
        <v>55073500</v>
      </c>
      <c r="N15" s="59">
        <f t="shared" si="4"/>
        <v>46407642</v>
      </c>
      <c r="O15" s="59">
        <f>SUM(O8:O14)</f>
        <v>56350170</v>
      </c>
      <c r="P15" s="59">
        <f>SUM(P8:P14)</f>
        <v>73044500</v>
      </c>
      <c r="Q15" s="60">
        <f>SUM(Q8:Q14)</f>
        <v>51693500</v>
      </c>
      <c r="R15" s="59">
        <f>SUM(R8:R14)</f>
        <v>46383000</v>
      </c>
      <c r="S15" s="61">
        <f>SUM(S8:S14)</f>
        <v>670505813</v>
      </c>
      <c r="T15" s="61">
        <f t="shared" si="3"/>
        <v>662187398</v>
      </c>
      <c r="U15" s="62">
        <f>S15/T15</f>
        <v>1.0125620255310266</v>
      </c>
      <c r="V15" s="63">
        <f>SUM(V8:V14)</f>
        <v>55875484.416666672</v>
      </c>
    </row>
    <row r="16" spans="1:22" x14ac:dyDescent="0.25">
      <c r="A16" s="25"/>
      <c r="B16" s="26"/>
      <c r="C16" s="27"/>
      <c r="D16" s="26"/>
      <c r="E16" s="28"/>
      <c r="F16" s="29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6"/>
      <c r="R16" s="67"/>
      <c r="S16" s="33"/>
      <c r="T16" s="33"/>
      <c r="U16" s="34"/>
      <c r="V16" s="33"/>
    </row>
    <row r="17" spans="1:22" x14ac:dyDescent="0.25">
      <c r="A17" s="35">
        <v>2</v>
      </c>
      <c r="B17" s="36" t="s">
        <v>23</v>
      </c>
      <c r="C17" s="37" t="s">
        <v>40</v>
      </c>
      <c r="D17" s="38" t="s">
        <v>41</v>
      </c>
      <c r="E17" s="39"/>
      <c r="F17" s="40" t="s">
        <v>26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0"/>
      <c r="R17" s="36"/>
      <c r="S17" s="42"/>
      <c r="T17" s="42"/>
      <c r="U17" s="43"/>
      <c r="V17" s="42"/>
    </row>
    <row r="18" spans="1:22" x14ac:dyDescent="0.25">
      <c r="A18" s="35"/>
      <c r="B18" s="36" t="s">
        <v>27</v>
      </c>
      <c r="C18" s="37" t="s">
        <v>42</v>
      </c>
      <c r="D18" s="36"/>
      <c r="E18" s="39" t="s">
        <v>43</v>
      </c>
      <c r="F18" s="40" t="s">
        <v>30</v>
      </c>
      <c r="G18" s="44">
        <v>15737385</v>
      </c>
      <c r="H18" s="44">
        <v>10891900</v>
      </c>
      <c r="I18" s="44">
        <v>20529000</v>
      </c>
      <c r="J18" s="44">
        <v>15583000</v>
      </c>
      <c r="K18" s="44">
        <v>12695000</v>
      </c>
      <c r="L18" s="44">
        <v>18039500</v>
      </c>
      <c r="M18" s="68">
        <v>13971658</v>
      </c>
      <c r="N18" s="44">
        <v>14383000</v>
      </c>
      <c r="O18" s="44">
        <v>14148386</v>
      </c>
      <c r="P18" s="69">
        <v>21969193</v>
      </c>
      <c r="Q18" s="45">
        <v>16177200</v>
      </c>
      <c r="R18" s="46">
        <v>18540000</v>
      </c>
      <c r="S18" s="47">
        <f t="shared" ref="S18:S23" si="5">SUM(G18:R18)</f>
        <v>192665222</v>
      </c>
      <c r="T18" s="47">
        <f>13430332+9877350+11277412+17415237+12651082+17845331+11919852+12852126+17733660+10500000+13515600+13635300</f>
        <v>162653282</v>
      </c>
      <c r="U18" s="43">
        <f>S18/T18</f>
        <v>1.1845148135406207</v>
      </c>
      <c r="V18" s="48">
        <f t="shared" ref="V18:V23" si="6">S18/12</f>
        <v>16055435.166666666</v>
      </c>
    </row>
    <row r="19" spans="1:22" x14ac:dyDescent="0.25">
      <c r="A19" s="35"/>
      <c r="B19" s="36"/>
      <c r="C19" s="37" t="s">
        <v>44</v>
      </c>
      <c r="D19" s="36"/>
      <c r="E19" s="39" t="s">
        <v>45</v>
      </c>
      <c r="F19" s="40"/>
      <c r="G19" s="44">
        <v>43320595</v>
      </c>
      <c r="H19" s="44">
        <v>37225000</v>
      </c>
      <c r="I19" s="44">
        <v>38552500</v>
      </c>
      <c r="J19" s="44">
        <v>34315000</v>
      </c>
      <c r="K19" s="44">
        <v>24430000</v>
      </c>
      <c r="L19" s="44">
        <v>33755000</v>
      </c>
      <c r="M19" s="44">
        <v>36610000</v>
      </c>
      <c r="N19" s="44">
        <v>35410000</v>
      </c>
      <c r="O19" s="44">
        <v>35199500</v>
      </c>
      <c r="P19" s="69">
        <v>15035000</v>
      </c>
      <c r="Q19" s="45">
        <v>28420000</v>
      </c>
      <c r="R19" s="46">
        <v>32685000</v>
      </c>
      <c r="S19" s="47">
        <f>SUM(G19:R19)</f>
        <v>394957595</v>
      </c>
      <c r="T19" s="47">
        <f>35865695+36702750+30375450+30955842+36166964+34258947+34368700+29106000+37554999+35700000+35700000+35700000</f>
        <v>412455347</v>
      </c>
      <c r="U19" s="43">
        <f>S19/T19</f>
        <v>0.95757661495415158</v>
      </c>
      <c r="V19" s="48">
        <f t="shared" si="6"/>
        <v>32913132.916666668</v>
      </c>
    </row>
    <row r="20" spans="1:22" x14ac:dyDescent="0.25">
      <c r="A20" s="35"/>
      <c r="B20" s="36"/>
      <c r="C20" s="37"/>
      <c r="D20" s="36"/>
      <c r="E20" s="39" t="s">
        <v>46</v>
      </c>
      <c r="F20" s="40" t="s">
        <v>30</v>
      </c>
      <c r="G20" s="44">
        <v>0</v>
      </c>
      <c r="H20" s="44">
        <v>0</v>
      </c>
      <c r="I20" s="44">
        <v>340000</v>
      </c>
      <c r="J20" s="44">
        <v>0</v>
      </c>
      <c r="K20" s="44"/>
      <c r="L20" s="44">
        <v>0</v>
      </c>
      <c r="M20" s="44">
        <v>0</v>
      </c>
      <c r="N20" s="44">
        <v>0</v>
      </c>
      <c r="O20" s="44">
        <v>230000</v>
      </c>
      <c r="P20" s="69">
        <v>0</v>
      </c>
      <c r="Q20" s="45">
        <v>0</v>
      </c>
      <c r="R20" s="46">
        <v>30000</v>
      </c>
      <c r="S20" s="47">
        <f t="shared" si="5"/>
        <v>600000</v>
      </c>
      <c r="T20" s="47">
        <f>0+0+472500+0+0+434250+157500+194250+105000+1050000+1050000</f>
        <v>3463500</v>
      </c>
      <c r="U20" s="43">
        <f>S20/T20</f>
        <v>0.17323516673884798</v>
      </c>
      <c r="V20" s="48">
        <f t="shared" si="6"/>
        <v>50000</v>
      </c>
    </row>
    <row r="21" spans="1:22" x14ac:dyDescent="0.25">
      <c r="A21" s="35"/>
      <c r="B21" s="36"/>
      <c r="C21" s="37"/>
      <c r="D21" s="36"/>
      <c r="E21" s="39" t="s">
        <v>47</v>
      </c>
      <c r="F21" s="40"/>
      <c r="G21" s="44">
        <v>34987500</v>
      </c>
      <c r="H21" s="44">
        <v>28945000</v>
      </c>
      <c r="I21" s="44">
        <v>34416000</v>
      </c>
      <c r="J21" s="44">
        <v>30890000</v>
      </c>
      <c r="K21" s="44">
        <v>25007500</v>
      </c>
      <c r="L21" s="44">
        <v>32802000</v>
      </c>
      <c r="M21" s="44">
        <v>27182500</v>
      </c>
      <c r="N21" s="44">
        <v>26939400</v>
      </c>
      <c r="O21" s="44">
        <v>34772500</v>
      </c>
      <c r="P21" s="69">
        <v>45477500</v>
      </c>
      <c r="Q21" s="45">
        <v>27380000</v>
      </c>
      <c r="R21" s="46">
        <v>31270000</v>
      </c>
      <c r="S21" s="47">
        <f t="shared" si="5"/>
        <v>380069900</v>
      </c>
      <c r="T21" s="47">
        <f>23916500+37334050+26809650+26414331+24114192+26347625+22600099+20272050+22739750+26250000+27300000+27300000</f>
        <v>311398247</v>
      </c>
      <c r="U21" s="43">
        <f>S21/T21</f>
        <v>1.2205267809359248</v>
      </c>
      <c r="V21" s="48">
        <f t="shared" si="6"/>
        <v>31672491.666666668</v>
      </c>
    </row>
    <row r="22" spans="1:22" x14ac:dyDescent="0.25">
      <c r="A22" s="35"/>
      <c r="B22" s="36"/>
      <c r="C22" s="37"/>
      <c r="D22" s="36"/>
      <c r="E22" s="39" t="s">
        <v>48</v>
      </c>
      <c r="F22" s="40"/>
      <c r="G22" s="44">
        <v>390000</v>
      </c>
      <c r="H22" s="44">
        <v>400000</v>
      </c>
      <c r="I22" s="44">
        <v>100000</v>
      </c>
      <c r="J22" s="44">
        <v>0</v>
      </c>
      <c r="K22" s="44">
        <v>200000</v>
      </c>
      <c r="L22" s="44">
        <v>330000</v>
      </c>
      <c r="M22" s="44">
        <v>145000</v>
      </c>
      <c r="N22" s="44">
        <v>900000</v>
      </c>
      <c r="O22" s="44">
        <v>1645000</v>
      </c>
      <c r="P22" s="69">
        <v>550000</v>
      </c>
      <c r="Q22" s="45">
        <v>884000</v>
      </c>
      <c r="R22" s="46">
        <v>1000000</v>
      </c>
      <c r="S22" s="47">
        <f t="shared" si="5"/>
        <v>6544000</v>
      </c>
      <c r="T22" s="47">
        <f>200000+0+577500+0+1030240+863675+1438500+1995000+1559250+992250+0+0</f>
        <v>8656415</v>
      </c>
      <c r="U22" s="43">
        <f t="shared" ref="U22:U23" si="7">S22/T22</f>
        <v>0.755971149719601</v>
      </c>
      <c r="V22" s="48">
        <f t="shared" si="6"/>
        <v>545333.33333333337</v>
      </c>
    </row>
    <row r="23" spans="1:22" ht="15.75" thickBot="1" x14ac:dyDescent="0.3">
      <c r="A23" s="70"/>
      <c r="B23" s="71"/>
      <c r="C23" s="72"/>
      <c r="D23" s="71"/>
      <c r="E23" s="73" t="s">
        <v>49</v>
      </c>
      <c r="F23" s="74"/>
      <c r="G23" s="75">
        <v>6000000</v>
      </c>
      <c r="H23" s="75">
        <v>2424000</v>
      </c>
      <c r="I23" s="75">
        <v>3345000</v>
      </c>
      <c r="J23" s="75">
        <v>3163700</v>
      </c>
      <c r="K23" s="75">
        <v>3397800</v>
      </c>
      <c r="L23" s="75">
        <v>6295000</v>
      </c>
      <c r="M23" s="75">
        <v>2460000</v>
      </c>
      <c r="N23" s="75">
        <v>2980000</v>
      </c>
      <c r="O23" s="75">
        <v>3920000</v>
      </c>
      <c r="P23" s="76">
        <v>2425000</v>
      </c>
      <c r="Q23" s="77">
        <v>2635000</v>
      </c>
      <c r="R23" s="78">
        <v>3205000</v>
      </c>
      <c r="S23" s="47">
        <f t="shared" si="5"/>
        <v>42250500</v>
      </c>
      <c r="T23" s="47">
        <f>1934811+1302000+4152750+1878870+1397400+4231525+2908500+2152500+1806000+4095000+2122050+2803500</f>
        <v>30784906</v>
      </c>
      <c r="U23" s="43">
        <f t="shared" si="7"/>
        <v>1.3724420662515584</v>
      </c>
      <c r="V23" s="48">
        <f t="shared" si="6"/>
        <v>3520875</v>
      </c>
    </row>
    <row r="24" spans="1:22" s="64" customFormat="1" ht="15.75" thickBot="1" x14ac:dyDescent="0.3">
      <c r="A24" s="54"/>
      <c r="B24" s="55"/>
      <c r="C24" s="56"/>
      <c r="D24" s="55"/>
      <c r="E24" s="57"/>
      <c r="F24" s="58"/>
      <c r="G24" s="79">
        <f t="shared" ref="G24:T24" si="8">SUM(G18:G23)</f>
        <v>100435480</v>
      </c>
      <c r="H24" s="79">
        <f t="shared" si="8"/>
        <v>79885900</v>
      </c>
      <c r="I24" s="79">
        <f t="shared" si="8"/>
        <v>97282500</v>
      </c>
      <c r="J24" s="79">
        <f t="shared" ref="J24:P24" si="9">SUM(J18:J23)</f>
        <v>83951700</v>
      </c>
      <c r="K24" s="79">
        <f t="shared" si="9"/>
        <v>65730300</v>
      </c>
      <c r="L24" s="79">
        <f t="shared" si="9"/>
        <v>91221500</v>
      </c>
      <c r="M24" s="79">
        <f t="shared" si="9"/>
        <v>80369158</v>
      </c>
      <c r="N24" s="79">
        <f t="shared" si="9"/>
        <v>80612400</v>
      </c>
      <c r="O24" s="79">
        <f t="shared" si="9"/>
        <v>89915386</v>
      </c>
      <c r="P24" s="80">
        <f t="shared" si="9"/>
        <v>85456693</v>
      </c>
      <c r="Q24" s="81">
        <f>SUM(Q18:Q23)</f>
        <v>75496200</v>
      </c>
      <c r="R24" s="79">
        <f>SUM(R18:R23)</f>
        <v>86730000</v>
      </c>
      <c r="S24" s="61">
        <f t="shared" si="8"/>
        <v>1017087217</v>
      </c>
      <c r="T24" s="61">
        <f t="shared" si="8"/>
        <v>929411697</v>
      </c>
      <c r="U24" s="62">
        <f>S24/T24</f>
        <v>1.0943344271252484</v>
      </c>
      <c r="V24" s="61">
        <f>SUM(V18:V23)</f>
        <v>84757268.083333328</v>
      </c>
    </row>
    <row r="25" spans="1:22" x14ac:dyDescent="0.25">
      <c r="A25" s="25"/>
      <c r="B25" s="26"/>
      <c r="C25" s="27"/>
      <c r="D25" s="26"/>
      <c r="E25" s="28"/>
      <c r="F25" s="29"/>
      <c r="G25" s="49"/>
      <c r="H25" s="49"/>
      <c r="I25" s="49"/>
      <c r="J25" s="49"/>
      <c r="K25" s="49"/>
      <c r="L25" s="49"/>
      <c r="M25" s="49"/>
      <c r="N25" s="49"/>
      <c r="O25" s="49"/>
      <c r="P25" s="82"/>
      <c r="Q25" s="83"/>
      <c r="R25" s="84"/>
      <c r="S25" s="33"/>
      <c r="T25" s="33"/>
      <c r="U25" s="34"/>
      <c r="V25" s="33"/>
    </row>
    <row r="26" spans="1:22" x14ac:dyDescent="0.25">
      <c r="A26" s="35">
        <v>3</v>
      </c>
      <c r="B26" s="36" t="s">
        <v>23</v>
      </c>
      <c r="C26" s="37" t="s">
        <v>50</v>
      </c>
      <c r="D26" s="38" t="s">
        <v>51</v>
      </c>
      <c r="E26" s="39"/>
      <c r="F26" s="85" t="s">
        <v>26</v>
      </c>
      <c r="G26" s="41"/>
      <c r="H26" s="41"/>
      <c r="I26" s="41"/>
      <c r="J26" s="41"/>
      <c r="K26" s="41"/>
      <c r="L26" s="41"/>
      <c r="M26" s="41"/>
      <c r="N26" s="41"/>
      <c r="O26" s="41"/>
      <c r="P26" s="39"/>
      <c r="Q26" s="40"/>
      <c r="R26" s="36"/>
      <c r="S26" s="42"/>
      <c r="T26" s="42"/>
      <c r="U26" s="43"/>
      <c r="V26" s="42"/>
    </row>
    <row r="27" spans="1:22" x14ac:dyDescent="0.25">
      <c r="A27" s="35"/>
      <c r="B27" s="36" t="s">
        <v>27</v>
      </c>
      <c r="C27" s="37" t="s">
        <v>52</v>
      </c>
      <c r="D27" s="36"/>
      <c r="E27" s="39" t="s">
        <v>53</v>
      </c>
      <c r="F27" s="40" t="s">
        <v>30</v>
      </c>
      <c r="G27" s="44">
        <v>8558000</v>
      </c>
      <c r="H27" s="44">
        <v>9620000</v>
      </c>
      <c r="I27" s="44">
        <v>10795000</v>
      </c>
      <c r="J27" s="44">
        <v>9269000</v>
      </c>
      <c r="K27" s="44">
        <v>7802000</v>
      </c>
      <c r="L27" s="44">
        <v>8552018</v>
      </c>
      <c r="M27" s="44">
        <v>8783000</v>
      </c>
      <c r="N27" s="44">
        <v>7460000</v>
      </c>
      <c r="O27" s="44">
        <v>5507500</v>
      </c>
      <c r="P27" s="69">
        <v>11036000</v>
      </c>
      <c r="Q27" s="45">
        <v>5202000</v>
      </c>
      <c r="R27" s="46">
        <v>5820000</v>
      </c>
      <c r="S27" s="47">
        <f t="shared" ref="S27:S31" si="10">SUM(G27:R27)</f>
        <v>98404518</v>
      </c>
      <c r="T27" s="47">
        <f>10233000+9316105+11914306+8795679+5469040+4997031+4783550+5996550+8923425+12600000+10500000+10500000</f>
        <v>104028686</v>
      </c>
      <c r="U27" s="43">
        <f>S27/T27</f>
        <v>0.94593637374214268</v>
      </c>
      <c r="V27" s="48">
        <f t="shared" ref="V27:V31" si="11">S27/12</f>
        <v>8200376.5</v>
      </c>
    </row>
    <row r="28" spans="1:22" x14ac:dyDescent="0.25">
      <c r="A28" s="35"/>
      <c r="B28" s="36"/>
      <c r="C28" s="37"/>
      <c r="D28" s="36"/>
      <c r="E28" s="39" t="s">
        <v>54</v>
      </c>
      <c r="F28" s="40"/>
      <c r="G28" s="44">
        <v>24219000</v>
      </c>
      <c r="H28" s="44">
        <v>17216000</v>
      </c>
      <c r="I28" s="44">
        <v>22560000</v>
      </c>
      <c r="J28" s="44">
        <v>15898000</v>
      </c>
      <c r="K28" s="44">
        <v>10748000</v>
      </c>
      <c r="L28" s="44">
        <v>13808000</v>
      </c>
      <c r="M28" s="44">
        <v>12106000</v>
      </c>
      <c r="N28" s="44">
        <v>11966500</v>
      </c>
      <c r="O28" s="44">
        <v>15311900</v>
      </c>
      <c r="P28" s="69">
        <v>16135000</v>
      </c>
      <c r="Q28" s="45">
        <v>9199000</v>
      </c>
      <c r="R28" s="46">
        <v>14522000</v>
      </c>
      <c r="S28" s="47">
        <f t="shared" si="10"/>
        <v>183689400</v>
      </c>
      <c r="T28" s="47">
        <f>20652455+20104858+20228206+17920159+12839606+18681731+10649400+10069250+15803550+12050000+14150000+12050000</f>
        <v>185199215</v>
      </c>
      <c r="U28" s="43">
        <f t="shared" ref="U28:U31" si="12">S28/T28</f>
        <v>0.99184761663271626</v>
      </c>
      <c r="V28" s="48">
        <f t="shared" si="11"/>
        <v>15307450</v>
      </c>
    </row>
    <row r="29" spans="1:22" x14ac:dyDescent="0.25">
      <c r="A29" s="35"/>
      <c r="B29" s="36"/>
      <c r="C29" s="37"/>
      <c r="D29" s="36"/>
      <c r="E29" s="39" t="s">
        <v>55</v>
      </c>
      <c r="F29" s="40"/>
      <c r="G29" s="44">
        <v>2762500</v>
      </c>
      <c r="H29" s="44">
        <v>1529800</v>
      </c>
      <c r="I29" s="44">
        <v>2995000</v>
      </c>
      <c r="J29" s="44">
        <v>1956500</v>
      </c>
      <c r="K29" s="44">
        <v>1934000</v>
      </c>
      <c r="L29" s="44">
        <v>2422000</v>
      </c>
      <c r="M29" s="44">
        <v>1846000</v>
      </c>
      <c r="N29" s="44">
        <v>3020000</v>
      </c>
      <c r="O29" s="44">
        <v>3996000</v>
      </c>
      <c r="P29" s="69">
        <v>3754000</v>
      </c>
      <c r="Q29" s="45">
        <v>2637500</v>
      </c>
      <c r="R29" s="46">
        <v>3188000</v>
      </c>
      <c r="S29" s="47">
        <f>SUM(G29:R29)</f>
        <v>32041300</v>
      </c>
      <c r="T29" s="47">
        <f>1555000+2688000+2714696+1340808+2583043+1377618+754950+346500+1344525+2625000+2100000+2415000</f>
        <v>21845140</v>
      </c>
      <c r="U29" s="43">
        <f t="shared" si="12"/>
        <v>1.46674729482164</v>
      </c>
      <c r="V29" s="48">
        <f t="shared" si="11"/>
        <v>2670108.3333333335</v>
      </c>
    </row>
    <row r="30" spans="1:22" x14ac:dyDescent="0.25">
      <c r="A30" s="70"/>
      <c r="B30" s="71"/>
      <c r="C30" s="72"/>
      <c r="D30" s="71"/>
      <c r="E30" s="73" t="s">
        <v>56</v>
      </c>
      <c r="F30" s="74"/>
      <c r="G30" s="75">
        <v>2636000</v>
      </c>
      <c r="H30" s="75">
        <v>2868000</v>
      </c>
      <c r="I30" s="75">
        <v>4958500</v>
      </c>
      <c r="J30" s="75">
        <v>2477000</v>
      </c>
      <c r="K30" s="75">
        <v>2725000</v>
      </c>
      <c r="L30" s="75">
        <v>2895000</v>
      </c>
      <c r="M30" s="75">
        <v>2505000</v>
      </c>
      <c r="N30" s="75">
        <v>3791000</v>
      </c>
      <c r="O30" s="75">
        <v>3737000</v>
      </c>
      <c r="P30" s="76">
        <v>3747000</v>
      </c>
      <c r="Q30" s="77">
        <v>2809000</v>
      </c>
      <c r="R30" s="78">
        <v>3059500</v>
      </c>
      <c r="S30" s="47">
        <f t="shared" si="10"/>
        <v>38208000</v>
      </c>
      <c r="T30" s="47">
        <f>3598250+2395050+3008949+2893240+1947592+1741825+2672250+1753500+2105500+3675000+3150000+3150000</f>
        <v>32091156</v>
      </c>
      <c r="U30" s="43">
        <f t="shared" si="12"/>
        <v>1.1906084031376121</v>
      </c>
      <c r="V30" s="48">
        <f t="shared" si="11"/>
        <v>3184000</v>
      </c>
    </row>
    <row r="31" spans="1:22" ht="15.75" thickBot="1" x14ac:dyDescent="0.3">
      <c r="A31" s="70"/>
      <c r="B31" s="71"/>
      <c r="C31" s="72"/>
      <c r="D31" s="71"/>
      <c r="E31" s="73" t="s">
        <v>57</v>
      </c>
      <c r="F31" s="74"/>
      <c r="G31" s="86">
        <v>500000</v>
      </c>
      <c r="H31" s="86">
        <v>800000</v>
      </c>
      <c r="I31" s="86">
        <v>330000</v>
      </c>
      <c r="J31" s="86">
        <v>110000</v>
      </c>
      <c r="K31" s="86">
        <v>0</v>
      </c>
      <c r="L31" s="86">
        <v>0</v>
      </c>
      <c r="M31" s="86">
        <v>220000</v>
      </c>
      <c r="N31" s="86">
        <v>825000</v>
      </c>
      <c r="O31" s="86">
        <v>565000</v>
      </c>
      <c r="P31" s="87">
        <v>420000</v>
      </c>
      <c r="Q31" s="88">
        <v>555000</v>
      </c>
      <c r="R31" s="89">
        <v>365000</v>
      </c>
      <c r="S31" s="47">
        <f t="shared" si="10"/>
        <v>4690000</v>
      </c>
      <c r="T31" s="47">
        <f>0+0+2610000+898590+657600+579000+0+0+0+1365000+1050000+945000</f>
        <v>8105190</v>
      </c>
      <c r="U31" s="43">
        <f t="shared" si="12"/>
        <v>0.57864158644029318</v>
      </c>
      <c r="V31" s="48">
        <f t="shared" si="11"/>
        <v>390833.33333333331</v>
      </c>
    </row>
    <row r="32" spans="1:22" s="64" customFormat="1" ht="15.75" thickBot="1" x14ac:dyDescent="0.3">
      <c r="A32" s="54"/>
      <c r="B32" s="55"/>
      <c r="C32" s="56"/>
      <c r="D32" s="55"/>
      <c r="E32" s="57"/>
      <c r="F32" s="58"/>
      <c r="G32" s="90">
        <f t="shared" ref="G32" si="13">SUM(G27:G31)</f>
        <v>38675500</v>
      </c>
      <c r="H32" s="90">
        <f t="shared" ref="H32:T32" si="14">SUM(H27:H31)</f>
        <v>32033800</v>
      </c>
      <c r="I32" s="90">
        <f t="shared" si="14"/>
        <v>41638500</v>
      </c>
      <c r="J32" s="90">
        <f t="shared" si="14"/>
        <v>29710500</v>
      </c>
      <c r="K32" s="90">
        <f t="shared" si="14"/>
        <v>23209000</v>
      </c>
      <c r="L32" s="90">
        <f t="shared" si="14"/>
        <v>27677018</v>
      </c>
      <c r="M32" s="90">
        <f t="shared" si="14"/>
        <v>25460000</v>
      </c>
      <c r="N32" s="90">
        <f t="shared" si="14"/>
        <v>27062500</v>
      </c>
      <c r="O32" s="90">
        <f t="shared" si="14"/>
        <v>29117400</v>
      </c>
      <c r="P32" s="90">
        <f t="shared" si="14"/>
        <v>35092000</v>
      </c>
      <c r="Q32" s="91">
        <f t="shared" si="14"/>
        <v>20402500</v>
      </c>
      <c r="R32" s="90">
        <f>SUM(R27:R31)</f>
        <v>26954500</v>
      </c>
      <c r="S32" s="61">
        <f t="shared" si="14"/>
        <v>357033218</v>
      </c>
      <c r="T32" s="61">
        <f t="shared" si="14"/>
        <v>351269387</v>
      </c>
      <c r="U32" s="62">
        <f>S32/T32</f>
        <v>1.0164085776139666</v>
      </c>
      <c r="V32" s="61">
        <f>SUM(V27:V31)</f>
        <v>29752768.166666664</v>
      </c>
    </row>
    <row r="33" spans="1:22" x14ac:dyDescent="0.25">
      <c r="A33" s="25"/>
      <c r="B33" s="26"/>
      <c r="C33" s="27"/>
      <c r="D33" s="26"/>
      <c r="E33" s="28"/>
      <c r="F33" s="29"/>
      <c r="G33" s="30"/>
      <c r="H33" s="30"/>
      <c r="I33" s="30"/>
      <c r="J33" s="30"/>
      <c r="K33" s="30"/>
      <c r="L33" s="30"/>
      <c r="M33" s="30"/>
      <c r="N33" s="30"/>
      <c r="O33" s="30"/>
      <c r="P33" s="28"/>
      <c r="Q33" s="29"/>
      <c r="R33" s="26"/>
      <c r="S33" s="33"/>
      <c r="T33" s="33"/>
      <c r="U33" s="34"/>
      <c r="V33" s="33"/>
    </row>
    <row r="34" spans="1:22" x14ac:dyDescent="0.25">
      <c r="A34" s="35">
        <v>4</v>
      </c>
      <c r="B34" s="36" t="s">
        <v>23</v>
      </c>
      <c r="C34" s="37" t="s">
        <v>58</v>
      </c>
      <c r="D34" s="38" t="s">
        <v>59</v>
      </c>
      <c r="E34" s="39"/>
      <c r="F34" s="40" t="s">
        <v>26</v>
      </c>
      <c r="G34" s="41"/>
      <c r="H34" s="41"/>
      <c r="I34" s="41"/>
      <c r="J34" s="41"/>
      <c r="K34" s="41"/>
      <c r="L34" s="41"/>
      <c r="M34" s="41"/>
      <c r="N34" s="41"/>
      <c r="O34" s="41"/>
      <c r="P34" s="39"/>
      <c r="Q34" s="40"/>
      <c r="R34" s="36"/>
      <c r="S34" s="42"/>
      <c r="T34" s="42"/>
      <c r="U34" s="43"/>
      <c r="V34" s="42"/>
    </row>
    <row r="35" spans="1:22" x14ac:dyDescent="0.25">
      <c r="A35" s="35"/>
      <c r="B35" s="36" t="s">
        <v>27</v>
      </c>
      <c r="C35" s="37" t="s">
        <v>60</v>
      </c>
      <c r="D35" s="36"/>
      <c r="E35" s="39" t="s">
        <v>61</v>
      </c>
      <c r="F35" s="40" t="s">
        <v>30</v>
      </c>
      <c r="G35" s="44">
        <v>21205000</v>
      </c>
      <c r="H35" s="44">
        <v>23612500</v>
      </c>
      <c r="I35" s="44">
        <v>24806000</v>
      </c>
      <c r="J35" s="44">
        <v>25935000</v>
      </c>
      <c r="K35" s="44">
        <v>24359666</v>
      </c>
      <c r="L35" s="44">
        <v>29412000</v>
      </c>
      <c r="M35" s="44">
        <v>32685000</v>
      </c>
      <c r="N35" s="44">
        <v>33475000</v>
      </c>
      <c r="O35" s="44">
        <v>25160000</v>
      </c>
      <c r="P35" s="69">
        <v>32240000</v>
      </c>
      <c r="Q35" s="45">
        <v>25396000</v>
      </c>
      <c r="R35" s="46">
        <v>25662000</v>
      </c>
      <c r="S35" s="47">
        <f t="shared" ref="S35:S42" si="15">SUM(G35:R35)</f>
        <v>323948166</v>
      </c>
      <c r="T35" s="47">
        <f>21285000+27625500+30779000+26029935+24341560+21625189+15566900+18643800+23625000+23100000+24150000+23100000</f>
        <v>279871884</v>
      </c>
      <c r="U35" s="43">
        <f t="shared" ref="U35:U42" si="16">S35/T35</f>
        <v>1.1574873523201066</v>
      </c>
      <c r="V35" s="48">
        <f t="shared" ref="V35:V42" si="17">S35/12</f>
        <v>26995680.5</v>
      </c>
    </row>
    <row r="36" spans="1:22" x14ac:dyDescent="0.25">
      <c r="A36" s="35"/>
      <c r="B36" s="36"/>
      <c r="C36" s="37" t="s">
        <v>62</v>
      </c>
      <c r="D36" s="36"/>
      <c r="E36" s="39" t="s">
        <v>63</v>
      </c>
      <c r="F36" s="40" t="s">
        <v>30</v>
      </c>
      <c r="G36" s="44">
        <v>29345000</v>
      </c>
      <c r="H36" s="44">
        <v>25390000</v>
      </c>
      <c r="I36" s="44">
        <v>20392500</v>
      </c>
      <c r="J36" s="44">
        <v>24105000</v>
      </c>
      <c r="K36" s="44">
        <v>25522500</v>
      </c>
      <c r="L36" s="44">
        <v>20767500</v>
      </c>
      <c r="M36" s="44">
        <v>25802500</v>
      </c>
      <c r="N36" s="44">
        <v>18594500</v>
      </c>
      <c r="O36" s="44">
        <v>23462500</v>
      </c>
      <c r="P36" s="69">
        <v>26249000</v>
      </c>
      <c r="Q36" s="45">
        <v>30725000</v>
      </c>
      <c r="R36" s="46">
        <v>16539000</v>
      </c>
      <c r="S36" s="47">
        <f t="shared" si="15"/>
        <v>286895000</v>
      </c>
      <c r="T36" s="47">
        <f>30565000+28334250+24617250+24638288+22766660+22417098+25672750+32200875+35852250+37300000+36250000+37300000</f>
        <v>357914421</v>
      </c>
      <c r="U36" s="43">
        <f t="shared" si="16"/>
        <v>0.8015742958845461</v>
      </c>
      <c r="V36" s="48">
        <f t="shared" si="17"/>
        <v>23907916.666666668</v>
      </c>
    </row>
    <row r="37" spans="1:22" x14ac:dyDescent="0.25">
      <c r="A37" s="35"/>
      <c r="B37" s="36"/>
      <c r="C37" s="37" t="s">
        <v>64</v>
      </c>
      <c r="D37" s="36"/>
      <c r="E37" s="39" t="s">
        <v>65</v>
      </c>
      <c r="F37" s="40" t="s">
        <v>30</v>
      </c>
      <c r="G37" s="44">
        <v>20631900</v>
      </c>
      <c r="H37" s="44">
        <v>10824166</v>
      </c>
      <c r="I37" s="44">
        <v>16310000</v>
      </c>
      <c r="J37" s="44">
        <v>13865000</v>
      </c>
      <c r="K37" s="44">
        <v>15470000</v>
      </c>
      <c r="L37" s="44">
        <v>13095000</v>
      </c>
      <c r="M37" s="44">
        <v>6065500</v>
      </c>
      <c r="N37" s="44">
        <v>9867000</v>
      </c>
      <c r="O37" s="44">
        <v>10880000</v>
      </c>
      <c r="P37" s="69">
        <v>18362047</v>
      </c>
      <c r="Q37" s="45">
        <v>19031023</v>
      </c>
      <c r="R37" s="46">
        <v>13673332</v>
      </c>
      <c r="S37" s="47">
        <f t="shared" si="15"/>
        <v>168074968</v>
      </c>
      <c r="T37" s="47">
        <f>10005000+8296999+8379498+12212374+9307216+12323967+8757999+9099998+10902497+24994200+19759750+19718500</f>
        <v>153757998</v>
      </c>
      <c r="U37" s="43">
        <f t="shared" si="16"/>
        <v>1.0931136603378511</v>
      </c>
      <c r="V37" s="48">
        <f t="shared" si="17"/>
        <v>14006247.333333334</v>
      </c>
    </row>
    <row r="38" spans="1:22" x14ac:dyDescent="0.25">
      <c r="A38" s="35"/>
      <c r="B38" s="36"/>
      <c r="C38" s="37"/>
      <c r="D38" s="36"/>
      <c r="E38" s="39" t="s">
        <v>66</v>
      </c>
      <c r="F38" s="40"/>
      <c r="G38" s="44">
        <v>620000</v>
      </c>
      <c r="H38" s="44">
        <v>0</v>
      </c>
      <c r="I38" s="44">
        <v>2260000</v>
      </c>
      <c r="J38" s="44">
        <v>0</v>
      </c>
      <c r="K38" s="44"/>
      <c r="L38" s="44">
        <v>1000000</v>
      </c>
      <c r="M38" s="44">
        <v>0</v>
      </c>
      <c r="N38" s="44">
        <v>1420000</v>
      </c>
      <c r="O38" s="44">
        <v>2100000</v>
      </c>
      <c r="P38" s="69">
        <v>1760000</v>
      </c>
      <c r="Q38" s="45">
        <v>0</v>
      </c>
      <c r="R38" s="46"/>
      <c r="S38" s="47">
        <f t="shared" si="15"/>
        <v>9160000</v>
      </c>
      <c r="T38" s="47">
        <f>0+0+0+0+0+0+0+0+0+0+0+0</f>
        <v>0</v>
      </c>
      <c r="U38" s="43" t="e">
        <f t="shared" si="16"/>
        <v>#DIV/0!</v>
      </c>
      <c r="V38" s="48">
        <f t="shared" si="17"/>
        <v>763333.33333333337</v>
      </c>
    </row>
    <row r="39" spans="1:22" x14ac:dyDescent="0.25">
      <c r="A39" s="35"/>
      <c r="B39" s="36"/>
      <c r="C39" s="37"/>
      <c r="D39" s="36"/>
      <c r="E39" s="39" t="s">
        <v>67</v>
      </c>
      <c r="F39" s="40"/>
      <c r="G39" s="44">
        <v>16106190</v>
      </c>
      <c r="H39" s="44">
        <v>13150000</v>
      </c>
      <c r="I39" s="44">
        <v>13365000</v>
      </c>
      <c r="J39" s="44">
        <v>20262000</v>
      </c>
      <c r="K39" s="44">
        <v>21016500</v>
      </c>
      <c r="L39" s="44">
        <v>21846500</v>
      </c>
      <c r="M39" s="44">
        <v>23246000</v>
      </c>
      <c r="N39" s="44">
        <v>25590000</v>
      </c>
      <c r="O39" s="44">
        <v>19490000</v>
      </c>
      <c r="P39" s="69">
        <v>21615000</v>
      </c>
      <c r="Q39" s="45">
        <v>24897500</v>
      </c>
      <c r="R39" s="46">
        <v>21683333</v>
      </c>
      <c r="S39" s="47">
        <f t="shared" si="15"/>
        <v>242268023</v>
      </c>
      <c r="T39" s="47">
        <f>18070000+10339875+25668550+16574595+14619596+12147282+11098500+21613850+22803474+23274300+23987250+23100000</f>
        <v>223297272</v>
      </c>
      <c r="U39" s="43">
        <f t="shared" si="16"/>
        <v>1.084957379147919</v>
      </c>
      <c r="V39" s="48">
        <f t="shared" si="17"/>
        <v>20189001.916666668</v>
      </c>
    </row>
    <row r="40" spans="1:22" x14ac:dyDescent="0.25">
      <c r="A40" s="35"/>
      <c r="B40" s="36"/>
      <c r="C40" s="37"/>
      <c r="D40" s="36"/>
      <c r="E40" s="39" t="s">
        <v>68</v>
      </c>
      <c r="F40" s="40"/>
      <c r="G40" s="44">
        <v>0</v>
      </c>
      <c r="H40" s="44">
        <v>0</v>
      </c>
      <c r="I40" s="44">
        <v>0</v>
      </c>
      <c r="J40" s="44">
        <v>0</v>
      </c>
      <c r="K40" s="44"/>
      <c r="L40" s="44">
        <v>0</v>
      </c>
      <c r="M40" s="44">
        <v>0</v>
      </c>
      <c r="N40" s="44">
        <v>0</v>
      </c>
      <c r="O40" s="44">
        <v>0</v>
      </c>
      <c r="P40" s="69">
        <v>0</v>
      </c>
      <c r="Q40" s="45">
        <v>0</v>
      </c>
      <c r="R40" s="46"/>
      <c r="S40" s="47">
        <f t="shared" si="15"/>
        <v>0</v>
      </c>
      <c r="T40" s="47">
        <f>0+0+0+0+0+0+0+0+0+0+0+0</f>
        <v>0</v>
      </c>
      <c r="U40" s="43" t="e">
        <f t="shared" si="16"/>
        <v>#DIV/0!</v>
      </c>
      <c r="V40" s="48">
        <f t="shared" si="17"/>
        <v>0</v>
      </c>
    </row>
    <row r="41" spans="1:22" x14ac:dyDescent="0.25">
      <c r="A41" s="35"/>
      <c r="B41" s="36"/>
      <c r="C41" s="37"/>
      <c r="D41" s="36"/>
      <c r="E41" s="39" t="s">
        <v>69</v>
      </c>
      <c r="F41" s="40"/>
      <c r="G41" s="44">
        <v>8072000</v>
      </c>
      <c r="H41" s="44">
        <v>4825000</v>
      </c>
      <c r="I41" s="44">
        <v>2450000</v>
      </c>
      <c r="J41" s="44">
        <v>3505000</v>
      </c>
      <c r="K41" s="44">
        <v>1795000</v>
      </c>
      <c r="L41" s="44">
        <v>2880000</v>
      </c>
      <c r="M41" s="44">
        <v>3795000</v>
      </c>
      <c r="N41" s="44">
        <v>1990000</v>
      </c>
      <c r="O41" s="44">
        <v>2435000</v>
      </c>
      <c r="P41" s="69">
        <v>2175000</v>
      </c>
      <c r="Q41" s="45">
        <v>3495000</v>
      </c>
      <c r="R41" s="46">
        <v>1560000</v>
      </c>
      <c r="S41" s="47">
        <f t="shared" si="15"/>
        <v>38977000</v>
      </c>
      <c r="T41" s="47">
        <f>5720000+3732750+3963750+4072830+5885520+4994412+3354750+2898000+4347000+5250000+5250000+5250000</f>
        <v>54719012</v>
      </c>
      <c r="U41" s="43">
        <f t="shared" si="16"/>
        <v>0.71231183779414731</v>
      </c>
      <c r="V41" s="48">
        <f t="shared" si="17"/>
        <v>3248083.3333333335</v>
      </c>
    </row>
    <row r="42" spans="1:22" ht="15.75" thickBot="1" x14ac:dyDescent="0.3">
      <c r="A42" s="70"/>
      <c r="B42" s="71"/>
      <c r="C42" s="72"/>
      <c r="D42" s="71"/>
      <c r="E42" s="73" t="s">
        <v>70</v>
      </c>
      <c r="F42" s="74"/>
      <c r="G42" s="75">
        <v>0</v>
      </c>
      <c r="H42" s="75">
        <v>0</v>
      </c>
      <c r="I42" s="75">
        <v>0</v>
      </c>
      <c r="J42" s="75">
        <v>0</v>
      </c>
      <c r="K42" s="75"/>
      <c r="L42" s="75">
        <v>0</v>
      </c>
      <c r="M42" s="75">
        <v>0</v>
      </c>
      <c r="N42" s="75">
        <v>0</v>
      </c>
      <c r="O42" s="75">
        <v>0</v>
      </c>
      <c r="P42" s="76">
        <v>0</v>
      </c>
      <c r="Q42" s="77">
        <v>0</v>
      </c>
      <c r="R42" s="78"/>
      <c r="S42" s="47">
        <f t="shared" si="15"/>
        <v>0</v>
      </c>
      <c r="T42" s="47">
        <f>0+0+0+0+0+0+0+0+0+0+0+0</f>
        <v>0</v>
      </c>
      <c r="U42" s="43" t="e">
        <f t="shared" si="16"/>
        <v>#DIV/0!</v>
      </c>
      <c r="V42" s="48">
        <f t="shared" si="17"/>
        <v>0</v>
      </c>
    </row>
    <row r="43" spans="1:22" s="64" customFormat="1" ht="15.75" thickBot="1" x14ac:dyDescent="0.3">
      <c r="A43" s="54"/>
      <c r="B43" s="55"/>
      <c r="C43" s="56"/>
      <c r="D43" s="55"/>
      <c r="E43" s="57"/>
      <c r="F43" s="58"/>
      <c r="G43" s="80">
        <f t="shared" ref="G43:T43" si="18">SUM(G35:G42)</f>
        <v>95980090</v>
      </c>
      <c r="H43" s="80">
        <f t="shared" si="18"/>
        <v>77801666</v>
      </c>
      <c r="I43" s="80">
        <f t="shared" si="18"/>
        <v>79583500</v>
      </c>
      <c r="J43" s="80">
        <f t="shared" si="18"/>
        <v>87672000</v>
      </c>
      <c r="K43" s="80">
        <f t="shared" si="18"/>
        <v>88163666</v>
      </c>
      <c r="L43" s="80">
        <f t="shared" si="18"/>
        <v>89001000</v>
      </c>
      <c r="M43" s="80">
        <f t="shared" si="18"/>
        <v>91594000</v>
      </c>
      <c r="N43" s="80">
        <f t="shared" si="18"/>
        <v>90936500</v>
      </c>
      <c r="O43" s="80">
        <f t="shared" si="18"/>
        <v>83527500</v>
      </c>
      <c r="P43" s="80">
        <f t="shared" si="18"/>
        <v>102401047</v>
      </c>
      <c r="Q43" s="81">
        <f t="shared" si="18"/>
        <v>103544523</v>
      </c>
      <c r="R43" s="80">
        <f t="shared" si="18"/>
        <v>79117665</v>
      </c>
      <c r="S43" s="92">
        <f t="shared" si="18"/>
        <v>1069323157</v>
      </c>
      <c r="T43" s="92">
        <f t="shared" si="18"/>
        <v>1069560587</v>
      </c>
      <c r="U43" s="62">
        <f>S43/T43</f>
        <v>0.99977801164058788</v>
      </c>
      <c r="V43" s="92">
        <f>SUM(V35:V42)</f>
        <v>89110263.083333343</v>
      </c>
    </row>
    <row r="44" spans="1:22" s="64" customFormat="1" ht="15.75" thickBot="1" x14ac:dyDescent="0.3">
      <c r="A44" s="93"/>
      <c r="B44" s="94"/>
      <c r="C44" s="95"/>
      <c r="D44" s="94"/>
      <c r="E44" s="96"/>
      <c r="F44" s="97"/>
      <c r="G44" s="98">
        <f t="shared" ref="G44:T44" si="19">G15+G24+G32+G43</f>
        <v>285066570</v>
      </c>
      <c r="H44" s="98">
        <f t="shared" si="19"/>
        <v>256654866</v>
      </c>
      <c r="I44" s="98">
        <f t="shared" si="19"/>
        <v>279518880</v>
      </c>
      <c r="J44" s="98">
        <f t="shared" si="19"/>
        <v>254156560</v>
      </c>
      <c r="K44" s="98">
        <f t="shared" si="19"/>
        <v>227959918</v>
      </c>
      <c r="L44" s="98">
        <f t="shared" si="19"/>
        <v>267850327</v>
      </c>
      <c r="M44" s="98">
        <f t="shared" si="19"/>
        <v>252496658</v>
      </c>
      <c r="N44" s="98">
        <f t="shared" si="19"/>
        <v>245019042</v>
      </c>
      <c r="O44" s="98">
        <f t="shared" si="19"/>
        <v>258910456</v>
      </c>
      <c r="P44" s="98">
        <f t="shared" si="19"/>
        <v>295994240</v>
      </c>
      <c r="Q44" s="99">
        <f t="shared" si="19"/>
        <v>251136723</v>
      </c>
      <c r="R44" s="98">
        <f t="shared" si="19"/>
        <v>239185165</v>
      </c>
      <c r="S44" s="100">
        <f t="shared" si="19"/>
        <v>3113949405</v>
      </c>
      <c r="T44" s="101">
        <f t="shared" si="19"/>
        <v>3012429069</v>
      </c>
      <c r="U44" s="102">
        <f>S44/T44</f>
        <v>1.0337004900944275</v>
      </c>
      <c r="V44" s="98">
        <f>V15+V24+V32+V43</f>
        <v>259495783.75</v>
      </c>
    </row>
    <row r="45" spans="1:22" x14ac:dyDescent="0.25">
      <c r="A45" s="25">
        <v>5</v>
      </c>
      <c r="B45" s="26" t="s">
        <v>23</v>
      </c>
      <c r="C45" s="27" t="s">
        <v>71</v>
      </c>
      <c r="D45" s="103" t="s">
        <v>72</v>
      </c>
      <c r="E45" s="28"/>
      <c r="F45" s="29" t="s">
        <v>30</v>
      </c>
      <c r="G45" s="30"/>
      <c r="H45" s="30"/>
      <c r="I45" s="30"/>
      <c r="J45" s="30"/>
      <c r="K45" s="30"/>
      <c r="L45" s="30"/>
      <c r="M45" s="30"/>
      <c r="N45" s="30"/>
      <c r="O45" s="30"/>
      <c r="P45" s="28"/>
      <c r="Q45" s="29"/>
      <c r="R45" s="26"/>
      <c r="S45" s="33"/>
      <c r="T45" s="33"/>
      <c r="U45" s="34"/>
      <c r="V45" s="33"/>
    </row>
    <row r="46" spans="1:22" x14ac:dyDescent="0.25">
      <c r="A46" s="35"/>
      <c r="B46" s="36"/>
      <c r="C46" s="37" t="s">
        <v>73</v>
      </c>
      <c r="D46" s="36"/>
      <c r="E46" s="39" t="s">
        <v>74</v>
      </c>
      <c r="F46" s="40"/>
      <c r="G46" s="44">
        <v>160000</v>
      </c>
      <c r="H46" s="44">
        <v>552500</v>
      </c>
      <c r="I46" s="44">
        <v>700000</v>
      </c>
      <c r="J46" s="44">
        <v>0</v>
      </c>
      <c r="K46" s="44">
        <v>397000</v>
      </c>
      <c r="L46" s="44">
        <v>100000</v>
      </c>
      <c r="M46" s="44">
        <v>210000</v>
      </c>
      <c r="N46" s="44">
        <v>122000</v>
      </c>
      <c r="O46" s="44">
        <v>410000</v>
      </c>
      <c r="P46" s="69">
        <v>210000</v>
      </c>
      <c r="Q46" s="45">
        <v>180000</v>
      </c>
      <c r="R46" s="46">
        <v>160000</v>
      </c>
      <c r="S46" s="47">
        <f t="shared" ref="S46:S49" si="20">SUM(G46:R46)</f>
        <v>3201500</v>
      </c>
      <c r="T46" s="47">
        <f>307000+231000+687750+393279+756240+685150+309750+477750+294000+1050000+392700+584850</f>
        <v>6169469</v>
      </c>
      <c r="U46" s="43">
        <f t="shared" ref="U46:U49" si="21">S46/T46</f>
        <v>0.51892634520085923</v>
      </c>
      <c r="V46" s="48">
        <f t="shared" ref="V46:V49" si="22">S46/12</f>
        <v>266791.66666666669</v>
      </c>
    </row>
    <row r="47" spans="1:22" x14ac:dyDescent="0.25">
      <c r="A47" s="35"/>
      <c r="B47" s="36"/>
      <c r="C47" s="37"/>
      <c r="D47" s="36"/>
      <c r="E47" s="39" t="s">
        <v>75</v>
      </c>
      <c r="F47" s="40"/>
      <c r="G47" s="44">
        <v>12002500</v>
      </c>
      <c r="H47" s="44">
        <v>14383000</v>
      </c>
      <c r="I47" s="44">
        <v>10365000</v>
      </c>
      <c r="J47" s="44">
        <v>12284090</v>
      </c>
      <c r="K47" s="44">
        <v>12318000</v>
      </c>
      <c r="L47" s="44">
        <v>13092000</v>
      </c>
      <c r="M47" s="44">
        <v>9912500</v>
      </c>
      <c r="N47" s="44">
        <v>11147000</v>
      </c>
      <c r="O47" s="44">
        <v>24222500</v>
      </c>
      <c r="P47" s="69">
        <v>18165000</v>
      </c>
      <c r="Q47" s="45">
        <v>12142000</v>
      </c>
      <c r="R47" s="46">
        <v>5335000</v>
      </c>
      <c r="S47" s="47">
        <f t="shared" si="20"/>
        <v>155368590</v>
      </c>
      <c r="T47" s="47">
        <f>21073216+20007000+21024587+20168428+16187976+13895560+9124185+11936972+24379524+26375000+21000000+21000000</f>
        <v>226172448</v>
      </c>
      <c r="U47" s="43">
        <f t="shared" si="21"/>
        <v>0.68694746585578803</v>
      </c>
      <c r="V47" s="48">
        <f t="shared" si="22"/>
        <v>12947382.5</v>
      </c>
    </row>
    <row r="48" spans="1:22" x14ac:dyDescent="0.25">
      <c r="A48" s="35"/>
      <c r="B48" s="36"/>
      <c r="C48" s="37"/>
      <c r="D48" s="36"/>
      <c r="E48" s="39" t="s">
        <v>76</v>
      </c>
      <c r="F48" s="40"/>
      <c r="G48" s="44">
        <v>8612000</v>
      </c>
      <c r="H48" s="44">
        <v>8826500</v>
      </c>
      <c r="I48" s="44">
        <v>8785000</v>
      </c>
      <c r="J48" s="44">
        <v>6656000</v>
      </c>
      <c r="K48" s="44">
        <v>8677000</v>
      </c>
      <c r="L48" s="44">
        <v>10353000</v>
      </c>
      <c r="M48" s="44">
        <v>10592500</v>
      </c>
      <c r="N48" s="44">
        <v>9087000</v>
      </c>
      <c r="O48" s="44">
        <v>15314000</v>
      </c>
      <c r="P48" s="69">
        <v>17887500</v>
      </c>
      <c r="Q48" s="45">
        <v>13236000</v>
      </c>
      <c r="R48" s="46">
        <v>6799000</v>
      </c>
      <c r="S48" s="47">
        <f t="shared" si="20"/>
        <v>124825500</v>
      </c>
      <c r="T48" s="47">
        <f>11870000+11208750+12321750+12070037+10123752+10309860+9450000+7965300+9642150+12600000+10500000+11550000</f>
        <v>129611599</v>
      </c>
      <c r="U48" s="43">
        <f t="shared" si="21"/>
        <v>0.96307352862763462</v>
      </c>
      <c r="V48" s="48">
        <f t="shared" si="22"/>
        <v>10402125</v>
      </c>
    </row>
    <row r="49" spans="1:22" ht="15.75" thickBot="1" x14ac:dyDescent="0.3">
      <c r="A49" s="70"/>
      <c r="B49" s="71"/>
      <c r="C49" s="72"/>
      <c r="D49" s="71"/>
      <c r="E49" s="73" t="s">
        <v>77</v>
      </c>
      <c r="F49" s="74"/>
      <c r="G49" s="75">
        <v>4549000</v>
      </c>
      <c r="H49" s="75">
        <v>9679404</v>
      </c>
      <c r="I49" s="75">
        <v>10363000</v>
      </c>
      <c r="J49" s="75">
        <v>9690000</v>
      </c>
      <c r="K49" s="75">
        <v>12701000</v>
      </c>
      <c r="L49" s="75">
        <v>13032500</v>
      </c>
      <c r="M49" s="75">
        <v>13756000</v>
      </c>
      <c r="N49" s="75">
        <v>13092500</v>
      </c>
      <c r="O49" s="75">
        <v>15892500</v>
      </c>
      <c r="P49" s="76">
        <v>12817000</v>
      </c>
      <c r="Q49" s="77">
        <v>6881000</v>
      </c>
      <c r="R49" s="78">
        <v>3149300</v>
      </c>
      <c r="S49" s="47">
        <f t="shared" si="20"/>
        <v>125603204</v>
      </c>
      <c r="T49" s="47">
        <f>8071000+8013100+9189350+8389270+6888060+6487255+6351725+7168875+7273600+8665000+8250000+8300000</f>
        <v>93047235</v>
      </c>
      <c r="U49" s="43">
        <f t="shared" si="21"/>
        <v>1.3498864743267223</v>
      </c>
      <c r="V49" s="48">
        <f t="shared" si="22"/>
        <v>10466933.666666666</v>
      </c>
    </row>
    <row r="50" spans="1:22" s="64" customFormat="1" ht="15.75" thickBot="1" x14ac:dyDescent="0.3">
      <c r="A50" s="54"/>
      <c r="B50" s="55"/>
      <c r="C50" s="56"/>
      <c r="D50" s="55"/>
      <c r="E50" s="57"/>
      <c r="F50" s="58"/>
      <c r="G50" s="80">
        <f t="shared" ref="G50:S50" si="23">SUM(G46:G49)</f>
        <v>25323500</v>
      </c>
      <c r="H50" s="80">
        <f t="shared" ref="H50:R50" si="24">SUM(H46:H49)</f>
        <v>33441404</v>
      </c>
      <c r="I50" s="80">
        <f t="shared" si="24"/>
        <v>30213000</v>
      </c>
      <c r="J50" s="80">
        <f t="shared" si="24"/>
        <v>28630090</v>
      </c>
      <c r="K50" s="80">
        <f t="shared" si="24"/>
        <v>34093000</v>
      </c>
      <c r="L50" s="80">
        <f t="shared" si="24"/>
        <v>36577500</v>
      </c>
      <c r="M50" s="80">
        <f t="shared" si="24"/>
        <v>34471000</v>
      </c>
      <c r="N50" s="80">
        <f t="shared" si="24"/>
        <v>33448500</v>
      </c>
      <c r="O50" s="80">
        <f t="shared" si="24"/>
        <v>55839000</v>
      </c>
      <c r="P50" s="80">
        <f t="shared" si="24"/>
        <v>49079500</v>
      </c>
      <c r="Q50" s="81">
        <f t="shared" si="24"/>
        <v>32439000</v>
      </c>
      <c r="R50" s="80">
        <f t="shared" si="24"/>
        <v>15443300</v>
      </c>
      <c r="S50" s="61">
        <f t="shared" si="23"/>
        <v>408998794</v>
      </c>
      <c r="T50" s="61">
        <f>SUM(T46:T49)</f>
        <v>455000751</v>
      </c>
      <c r="U50" s="62">
        <f>S50/T50</f>
        <v>0.89889696467775715</v>
      </c>
      <c r="V50" s="61">
        <f>SUM(V46:V49)</f>
        <v>34083232.833333328</v>
      </c>
    </row>
    <row r="51" spans="1:22" x14ac:dyDescent="0.25">
      <c r="A51" s="25"/>
      <c r="B51" s="26"/>
      <c r="C51" s="27"/>
      <c r="D51" s="26"/>
      <c r="E51" s="28"/>
      <c r="F51" s="29"/>
      <c r="G51" s="30"/>
      <c r="H51" s="30"/>
      <c r="I51" s="30"/>
      <c r="J51" s="30"/>
      <c r="K51" s="30"/>
      <c r="L51" s="30"/>
      <c r="M51" s="30"/>
      <c r="N51" s="30"/>
      <c r="O51" s="30"/>
      <c r="P51" s="28"/>
      <c r="Q51" s="29"/>
      <c r="R51" s="26"/>
      <c r="S51" s="33"/>
      <c r="T51" s="33"/>
      <c r="U51" s="34"/>
      <c r="V51" s="33"/>
    </row>
    <row r="52" spans="1:22" x14ac:dyDescent="0.25">
      <c r="A52" s="35">
        <v>6</v>
      </c>
      <c r="B52" s="36" t="s">
        <v>23</v>
      </c>
      <c r="C52" s="37" t="s">
        <v>78</v>
      </c>
      <c r="D52" s="38" t="s">
        <v>72</v>
      </c>
      <c r="E52" s="39"/>
      <c r="F52" s="40" t="s">
        <v>30</v>
      </c>
      <c r="G52" s="41"/>
      <c r="H52" s="41"/>
      <c r="I52" s="41"/>
      <c r="J52" s="41"/>
      <c r="K52" s="41"/>
      <c r="L52" s="41"/>
      <c r="M52" s="41"/>
      <c r="N52" s="41"/>
      <c r="O52" s="41"/>
      <c r="P52" s="39"/>
      <c r="Q52" s="40"/>
      <c r="R52" s="36"/>
      <c r="S52" s="42"/>
      <c r="T52" s="42"/>
      <c r="U52" s="43"/>
      <c r="V52" s="42"/>
    </row>
    <row r="53" spans="1:22" x14ac:dyDescent="0.25">
      <c r="A53" s="35"/>
      <c r="B53" s="36"/>
      <c r="C53" s="37" t="s">
        <v>79</v>
      </c>
      <c r="D53" s="36"/>
      <c r="E53" s="39" t="s">
        <v>80</v>
      </c>
      <c r="F53" s="40"/>
      <c r="G53" s="44">
        <v>24036000</v>
      </c>
      <c r="H53" s="44">
        <v>28369500</v>
      </c>
      <c r="I53" s="44">
        <v>25493000</v>
      </c>
      <c r="J53" s="44">
        <v>23470000</v>
      </c>
      <c r="K53" s="44">
        <v>11164904</v>
      </c>
      <c r="L53" s="44">
        <v>27092000</v>
      </c>
      <c r="M53" s="44">
        <v>21679000</v>
      </c>
      <c r="N53" s="44">
        <v>22741000</v>
      </c>
      <c r="O53" s="44">
        <v>21454000</v>
      </c>
      <c r="P53" s="69">
        <v>29475500</v>
      </c>
      <c r="Q53" s="45">
        <v>31254500</v>
      </c>
      <c r="R53" s="46">
        <v>31913500</v>
      </c>
      <c r="S53" s="47">
        <f t="shared" ref="S53:S56" si="25">SUM(G53:R53)</f>
        <v>298142904</v>
      </c>
      <c r="T53" s="47">
        <f>13798953+14609566+20714265+10855434+6214624+4898483+5520900+12005700+12329250+14800000+13500000+15750000</f>
        <v>144997175</v>
      </c>
      <c r="U53" s="43">
        <f t="shared" ref="U53:U56" si="26">S53/T53</f>
        <v>2.0561980190303708</v>
      </c>
      <c r="V53" s="48">
        <f t="shared" ref="V53:V56" si="27">S53/12</f>
        <v>24845242</v>
      </c>
    </row>
    <row r="54" spans="1:22" x14ac:dyDescent="0.25">
      <c r="A54" s="35"/>
      <c r="B54" s="36"/>
      <c r="C54" s="37"/>
      <c r="D54" s="36"/>
      <c r="E54" s="39" t="s">
        <v>81</v>
      </c>
      <c r="F54" s="40"/>
      <c r="G54" s="44">
        <v>33241761</v>
      </c>
      <c r="H54" s="44">
        <v>27704500</v>
      </c>
      <c r="I54" s="44">
        <v>36642500</v>
      </c>
      <c r="J54" s="44">
        <v>32472000</v>
      </c>
      <c r="K54" s="44">
        <v>22759000</v>
      </c>
      <c r="L54" s="44">
        <v>36732500</v>
      </c>
      <c r="M54" s="44">
        <v>36275500</v>
      </c>
      <c r="N54" s="44">
        <v>38295000</v>
      </c>
      <c r="O54" s="44">
        <v>41368000</v>
      </c>
      <c r="P54" s="69">
        <v>46271000</v>
      </c>
      <c r="Q54" s="45">
        <v>40005000</v>
      </c>
      <c r="R54" s="46">
        <v>38260000</v>
      </c>
      <c r="S54" s="47">
        <f t="shared" si="25"/>
        <v>430026761</v>
      </c>
      <c r="T54" s="47">
        <f>21558000+24958500+29070300+23629416+22434520+22365175+24500850+19168275+20751950+24150000+26250000+24150000</f>
        <v>282986986</v>
      </c>
      <c r="U54" s="43">
        <f t="shared" si="26"/>
        <v>1.5195990708915497</v>
      </c>
      <c r="V54" s="48">
        <f t="shared" si="27"/>
        <v>35835563.416666664</v>
      </c>
    </row>
    <row r="55" spans="1:22" x14ac:dyDescent="0.25">
      <c r="A55" s="35"/>
      <c r="B55" s="36"/>
      <c r="C55" s="37"/>
      <c r="D55" s="36"/>
      <c r="E55" s="39" t="s">
        <v>82</v>
      </c>
      <c r="F55" s="40"/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75000</v>
      </c>
      <c r="M55" s="44">
        <v>100000</v>
      </c>
      <c r="N55" s="44">
        <v>0</v>
      </c>
      <c r="O55" s="44">
        <v>0</v>
      </c>
      <c r="P55" s="69">
        <v>0</v>
      </c>
      <c r="Q55" s="45">
        <v>0</v>
      </c>
      <c r="R55" s="46"/>
      <c r="S55" s="47">
        <f t="shared" si="25"/>
        <v>175000</v>
      </c>
      <c r="T55" s="47">
        <f>210000+283500+845250+579999+531560+0+283500+0+267750+525000+420000+420000</f>
        <v>4366559</v>
      </c>
      <c r="U55" s="43">
        <f t="shared" si="26"/>
        <v>4.0077324043943985E-2</v>
      </c>
      <c r="V55" s="48">
        <f t="shared" si="27"/>
        <v>14583.333333333334</v>
      </c>
    </row>
    <row r="56" spans="1:22" ht="15.75" thickBot="1" x14ac:dyDescent="0.3">
      <c r="A56" s="35"/>
      <c r="B56" s="36"/>
      <c r="C56" s="37"/>
      <c r="D56" s="36"/>
      <c r="E56" s="73" t="s">
        <v>83</v>
      </c>
      <c r="F56" s="40"/>
      <c r="G56" s="44">
        <v>6790840</v>
      </c>
      <c r="H56" s="44">
        <v>1943000</v>
      </c>
      <c r="I56" s="44">
        <v>4090000</v>
      </c>
      <c r="J56" s="44">
        <v>1780000</v>
      </c>
      <c r="K56" s="44">
        <v>492000</v>
      </c>
      <c r="L56" s="44">
        <v>3530000</v>
      </c>
      <c r="M56" s="44">
        <v>3250000</v>
      </c>
      <c r="N56" s="44">
        <v>6910000</v>
      </c>
      <c r="O56" s="44">
        <v>2445000</v>
      </c>
      <c r="P56" s="69">
        <v>9055000</v>
      </c>
      <c r="Q56" s="45">
        <v>3777380</v>
      </c>
      <c r="R56" s="46">
        <v>2470000</v>
      </c>
      <c r="S56" s="47">
        <f t="shared" si="25"/>
        <v>46533220</v>
      </c>
      <c r="T56" s="47">
        <f>265000+0+157500+0+0+550050+840000+5554500+840000+315000+0+210000</f>
        <v>8732050</v>
      </c>
      <c r="U56" s="43">
        <f t="shared" si="26"/>
        <v>5.3290143780670061</v>
      </c>
      <c r="V56" s="48">
        <f t="shared" si="27"/>
        <v>3877768.3333333335</v>
      </c>
    </row>
    <row r="57" spans="1:22" s="64" customFormat="1" ht="15.75" thickBot="1" x14ac:dyDescent="0.3">
      <c r="A57" s="54"/>
      <c r="B57" s="55"/>
      <c r="C57" s="56"/>
      <c r="D57" s="55"/>
      <c r="E57" s="57"/>
      <c r="F57" s="58"/>
      <c r="G57" s="80">
        <f>SUM(G53:G56)</f>
        <v>64068601</v>
      </c>
      <c r="H57" s="80">
        <f t="shared" ref="H57:S57" si="28">SUM(H53:H56)</f>
        <v>58017000</v>
      </c>
      <c r="I57" s="80">
        <f t="shared" si="28"/>
        <v>66225500</v>
      </c>
      <c r="J57" s="80">
        <f t="shared" si="28"/>
        <v>57722000</v>
      </c>
      <c r="K57" s="80">
        <f t="shared" si="28"/>
        <v>34415904</v>
      </c>
      <c r="L57" s="80">
        <f t="shared" si="28"/>
        <v>67429500</v>
      </c>
      <c r="M57" s="80">
        <f t="shared" si="28"/>
        <v>61304500</v>
      </c>
      <c r="N57" s="80">
        <f t="shared" si="28"/>
        <v>67946000</v>
      </c>
      <c r="O57" s="80">
        <f t="shared" si="28"/>
        <v>65267000</v>
      </c>
      <c r="P57" s="80">
        <f t="shared" si="28"/>
        <v>84801500</v>
      </c>
      <c r="Q57" s="81">
        <f t="shared" si="28"/>
        <v>75036880</v>
      </c>
      <c r="R57" s="80">
        <f t="shared" si="28"/>
        <v>72643500</v>
      </c>
      <c r="S57" s="104">
        <f t="shared" si="28"/>
        <v>774877885</v>
      </c>
      <c r="T57" s="80">
        <f>SUM(T53:T56)</f>
        <v>441082770</v>
      </c>
      <c r="U57" s="62">
        <f>S57/T57</f>
        <v>1.7567629880441713</v>
      </c>
      <c r="V57" s="80">
        <f>SUM(V53:V56)</f>
        <v>64573157.083333336</v>
      </c>
    </row>
    <row r="58" spans="1:22" s="64" customFormat="1" ht="15.75" thickBot="1" x14ac:dyDescent="0.3">
      <c r="A58" s="93"/>
      <c r="B58" s="94"/>
      <c r="C58" s="95"/>
      <c r="D58" s="94"/>
      <c r="E58" s="96"/>
      <c r="F58" s="97"/>
      <c r="G58" s="98">
        <f t="shared" ref="G58:T58" si="29">G50+G57</f>
        <v>89392101</v>
      </c>
      <c r="H58" s="98">
        <f t="shared" si="29"/>
        <v>91458404</v>
      </c>
      <c r="I58" s="98">
        <f t="shared" si="29"/>
        <v>96438500</v>
      </c>
      <c r="J58" s="98">
        <f t="shared" si="29"/>
        <v>86352090</v>
      </c>
      <c r="K58" s="98">
        <f t="shared" si="29"/>
        <v>68508904</v>
      </c>
      <c r="L58" s="98">
        <f t="shared" si="29"/>
        <v>104007000</v>
      </c>
      <c r="M58" s="98">
        <f t="shared" si="29"/>
        <v>95775500</v>
      </c>
      <c r="N58" s="98">
        <f t="shared" si="29"/>
        <v>101394500</v>
      </c>
      <c r="O58" s="98">
        <f t="shared" si="29"/>
        <v>121106000</v>
      </c>
      <c r="P58" s="98">
        <f t="shared" si="29"/>
        <v>133881000</v>
      </c>
      <c r="Q58" s="99">
        <f t="shared" si="29"/>
        <v>107475880</v>
      </c>
      <c r="R58" s="98">
        <f t="shared" si="29"/>
        <v>88086800</v>
      </c>
      <c r="S58" s="98">
        <f t="shared" si="29"/>
        <v>1183876679</v>
      </c>
      <c r="T58" s="98">
        <f t="shared" si="29"/>
        <v>896083521</v>
      </c>
      <c r="U58" s="102">
        <f>S58/T58</f>
        <v>1.3211677831981914</v>
      </c>
      <c r="V58" s="98">
        <f>V50+V57</f>
        <v>98656389.916666657</v>
      </c>
    </row>
    <row r="59" spans="1:22" x14ac:dyDescent="0.25">
      <c r="A59" s="25"/>
      <c r="B59" s="26"/>
      <c r="C59" s="27"/>
      <c r="D59" s="26"/>
      <c r="E59" s="28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28"/>
      <c r="Q59" s="29"/>
      <c r="R59" s="26"/>
      <c r="S59" s="47"/>
      <c r="T59" s="47"/>
      <c r="U59" s="43"/>
      <c r="V59" s="47"/>
    </row>
    <row r="60" spans="1:22" x14ac:dyDescent="0.25">
      <c r="A60" s="25">
        <v>7</v>
      </c>
      <c r="B60" s="26"/>
      <c r="C60" s="27"/>
      <c r="D60" s="38" t="s">
        <v>84</v>
      </c>
      <c r="E60" s="28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28"/>
      <c r="Q60" s="29"/>
      <c r="R60" s="26"/>
      <c r="S60" s="47"/>
      <c r="T60" s="47"/>
      <c r="U60" s="43"/>
      <c r="V60" s="47"/>
    </row>
    <row r="61" spans="1:22" x14ac:dyDescent="0.25">
      <c r="A61" s="25"/>
      <c r="B61" s="26"/>
      <c r="C61" s="27"/>
      <c r="D61" s="105"/>
      <c r="E61" s="39" t="s">
        <v>85</v>
      </c>
      <c r="F61" s="30"/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55000</v>
      </c>
      <c r="O61" s="44">
        <v>0</v>
      </c>
      <c r="P61" s="69">
        <v>0</v>
      </c>
      <c r="Q61" s="45">
        <v>0</v>
      </c>
      <c r="R61" s="46"/>
      <c r="S61" s="47">
        <f t="shared" ref="S61:S70" si="30">SUM(G61:R61)</f>
        <v>55000</v>
      </c>
      <c r="T61" s="47">
        <f>5000000+5000000+0+0+0+5275000+5275000+0+0+0+1025000+1025000</f>
        <v>22600000</v>
      </c>
      <c r="U61" s="43">
        <f>S61/T61</f>
        <v>2.4336283185840708E-3</v>
      </c>
      <c r="V61" s="48">
        <f t="shared" ref="V61:V70" si="31">S61/12</f>
        <v>4583.333333333333</v>
      </c>
    </row>
    <row r="62" spans="1:22" x14ac:dyDescent="0.25">
      <c r="A62" s="70"/>
      <c r="B62" s="71"/>
      <c r="C62" s="72"/>
      <c r="D62" s="71"/>
      <c r="E62" s="39" t="s">
        <v>86</v>
      </c>
      <c r="F62" s="74"/>
      <c r="G62" s="75">
        <v>7660600</v>
      </c>
      <c r="H62" s="75">
        <v>0</v>
      </c>
      <c r="I62" s="75">
        <v>0</v>
      </c>
      <c r="J62" s="75">
        <v>11500000</v>
      </c>
      <c r="K62" s="75">
        <v>9100000</v>
      </c>
      <c r="L62" s="75">
        <v>8473750</v>
      </c>
      <c r="M62" s="75">
        <v>14568000</v>
      </c>
      <c r="N62" s="75">
        <v>3900000</v>
      </c>
      <c r="O62" s="75">
        <v>5650000</v>
      </c>
      <c r="P62" s="76">
        <v>7950000</v>
      </c>
      <c r="Q62" s="77">
        <v>10300000</v>
      </c>
      <c r="R62" s="78">
        <v>10668000</v>
      </c>
      <c r="S62" s="47">
        <f t="shared" si="30"/>
        <v>89770350</v>
      </c>
      <c r="T62" s="47">
        <f>14325000+14325000+0+0+0+18325000+18325000+0+0+0+10150000+10150000</f>
        <v>85600000</v>
      </c>
      <c r="U62" s="43">
        <f t="shared" ref="U62" si="32">S62/T62</f>
        <v>1.0487190420560748</v>
      </c>
      <c r="V62" s="48">
        <f t="shared" si="31"/>
        <v>7480862.5</v>
      </c>
    </row>
    <row r="63" spans="1:22" x14ac:dyDescent="0.25">
      <c r="A63" s="35"/>
      <c r="B63" s="36"/>
      <c r="C63" s="37"/>
      <c r="D63" s="36"/>
      <c r="E63" s="73" t="s">
        <v>87</v>
      </c>
      <c r="F63" s="40"/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250000</v>
      </c>
      <c r="M63" s="44">
        <v>130000</v>
      </c>
      <c r="N63" s="44">
        <v>0</v>
      </c>
      <c r="O63" s="44">
        <v>0</v>
      </c>
      <c r="P63" s="69">
        <v>0</v>
      </c>
      <c r="Q63" s="45">
        <v>420000</v>
      </c>
      <c r="R63" s="46"/>
      <c r="S63" s="47">
        <f t="shared" si="30"/>
        <v>800000</v>
      </c>
      <c r="T63" s="47">
        <f>0+0+0+0+0+0+0+0+0+0+0+0</f>
        <v>0</v>
      </c>
      <c r="U63" s="43" t="e">
        <f>S63/T63</f>
        <v>#DIV/0!</v>
      </c>
      <c r="V63" s="48">
        <f t="shared" si="31"/>
        <v>66666.666666666672</v>
      </c>
    </row>
    <row r="64" spans="1:22" x14ac:dyDescent="0.25">
      <c r="A64" s="25"/>
      <c r="B64" s="26"/>
      <c r="C64" s="27"/>
      <c r="D64" s="36"/>
      <c r="E64" s="73" t="s">
        <v>88</v>
      </c>
      <c r="F64" s="29"/>
      <c r="G64" s="44">
        <v>1850000</v>
      </c>
      <c r="H64" s="44">
        <v>0</v>
      </c>
      <c r="I64" s="44">
        <v>2160000</v>
      </c>
      <c r="J64" s="44">
        <v>1800000</v>
      </c>
      <c r="K64" s="44">
        <v>4320000</v>
      </c>
      <c r="L64" s="44">
        <v>0</v>
      </c>
      <c r="M64" s="68">
        <v>860000</v>
      </c>
      <c r="N64" s="44">
        <v>12190000</v>
      </c>
      <c r="O64" s="44">
        <v>0</v>
      </c>
      <c r="P64" s="69">
        <v>0</v>
      </c>
      <c r="Q64" s="45">
        <v>0</v>
      </c>
      <c r="R64" s="46"/>
      <c r="S64" s="47">
        <f t="shared" si="30"/>
        <v>23180000</v>
      </c>
      <c r="T64" s="47">
        <f>2150000+2000000+6160000+2400000+0+2150000+2000000+6160000+2400000+0+0+4160000</f>
        <v>29580000</v>
      </c>
      <c r="U64" s="43">
        <f t="shared" ref="U64:U88" si="33">S64/T64</f>
        <v>0.78363759296822177</v>
      </c>
      <c r="V64" s="48">
        <f t="shared" si="31"/>
        <v>1931666.6666666667</v>
      </c>
    </row>
    <row r="65" spans="1:23" x14ac:dyDescent="0.25">
      <c r="A65" s="25"/>
      <c r="B65" s="26"/>
      <c r="C65" s="27"/>
      <c r="D65" s="36"/>
      <c r="E65" s="73" t="s">
        <v>89</v>
      </c>
      <c r="F65" s="29"/>
      <c r="G65" s="44">
        <v>0</v>
      </c>
      <c r="H65" s="44">
        <v>2100000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69">
        <v>0</v>
      </c>
      <c r="Q65" s="45">
        <v>4400000</v>
      </c>
      <c r="R65" s="46">
        <v>2500000</v>
      </c>
      <c r="S65" s="47">
        <f t="shared" si="30"/>
        <v>9000000</v>
      </c>
      <c r="T65" s="47">
        <f>0+0+0+0+0+0+14000000+0+0+450000+2150000+14000000</f>
        <v>30600000</v>
      </c>
      <c r="U65" s="43">
        <f t="shared" si="33"/>
        <v>0.29411764705882354</v>
      </c>
      <c r="V65" s="48">
        <f t="shared" si="31"/>
        <v>750000</v>
      </c>
    </row>
    <row r="66" spans="1:23" x14ac:dyDescent="0.25">
      <c r="A66" s="25"/>
      <c r="B66" s="26"/>
      <c r="C66" s="27"/>
      <c r="D66" s="36"/>
      <c r="E66" s="73" t="s">
        <v>90</v>
      </c>
      <c r="F66" s="29"/>
      <c r="G66" s="44"/>
      <c r="H66" s="44">
        <v>0</v>
      </c>
      <c r="I66" s="44">
        <v>860000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69">
        <v>0</v>
      </c>
      <c r="Q66" s="45">
        <v>0</v>
      </c>
      <c r="R66" s="46"/>
      <c r="S66" s="47">
        <f t="shared" si="30"/>
        <v>860000</v>
      </c>
      <c r="T66" s="47">
        <f>0+1566800+0+0+0+0+1566800+0+0+0+0+0</f>
        <v>3133600</v>
      </c>
      <c r="U66" s="43">
        <f t="shared" si="33"/>
        <v>0.27444472810824611</v>
      </c>
      <c r="V66" s="48">
        <f t="shared" si="31"/>
        <v>71666.666666666672</v>
      </c>
    </row>
    <row r="67" spans="1:23" x14ac:dyDescent="0.25">
      <c r="A67" s="25"/>
      <c r="B67" s="26"/>
      <c r="C67" s="27"/>
      <c r="D67" s="36"/>
      <c r="E67" s="73" t="s">
        <v>91</v>
      </c>
      <c r="F67" s="29"/>
      <c r="G67" s="44">
        <v>0</v>
      </c>
      <c r="H67" s="44">
        <v>720000</v>
      </c>
      <c r="I67" s="44">
        <v>0</v>
      </c>
      <c r="J67" s="44">
        <v>2727270</v>
      </c>
      <c r="K67" s="44">
        <v>0</v>
      </c>
      <c r="L67" s="44">
        <v>0</v>
      </c>
      <c r="M67" s="44">
        <v>0</v>
      </c>
      <c r="N67" s="44">
        <v>1800000</v>
      </c>
      <c r="O67" s="44">
        <v>0</v>
      </c>
      <c r="P67" s="69">
        <v>0</v>
      </c>
      <c r="Q67" s="45">
        <v>0</v>
      </c>
      <c r="R67" s="46"/>
      <c r="S67" s="47">
        <f t="shared" si="30"/>
        <v>5247270</v>
      </c>
      <c r="T67" s="47">
        <f>0+0+0+1800000+0+0+0+0+1800000+0+1566800+0</f>
        <v>5166800</v>
      </c>
      <c r="U67" s="43">
        <f t="shared" si="33"/>
        <v>1.0155744367887281</v>
      </c>
      <c r="V67" s="48">
        <f t="shared" si="31"/>
        <v>437272.5</v>
      </c>
    </row>
    <row r="68" spans="1:23" x14ac:dyDescent="0.25">
      <c r="A68" s="25"/>
      <c r="B68" s="26"/>
      <c r="C68" s="27"/>
      <c r="D68" s="36"/>
      <c r="E68" s="73" t="s">
        <v>92</v>
      </c>
      <c r="F68" s="29"/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69">
        <v>0</v>
      </c>
      <c r="Q68" s="45">
        <v>0</v>
      </c>
      <c r="R68" s="46"/>
      <c r="S68" s="47">
        <f t="shared" si="30"/>
        <v>0</v>
      </c>
      <c r="T68" s="47">
        <f>450000+0+0+0+0+450000+0+0+0+0+0+0</f>
        <v>900000</v>
      </c>
      <c r="U68" s="43">
        <f t="shared" si="33"/>
        <v>0</v>
      </c>
      <c r="V68" s="48">
        <f t="shared" si="31"/>
        <v>0</v>
      </c>
    </row>
    <row r="69" spans="1:23" x14ac:dyDescent="0.25">
      <c r="A69" s="25"/>
      <c r="B69" s="26"/>
      <c r="C69" s="27"/>
      <c r="D69" s="36"/>
      <c r="E69" s="106" t="s">
        <v>93</v>
      </c>
      <c r="F69" s="29"/>
      <c r="G69" s="44">
        <v>6180700</v>
      </c>
      <c r="H69" s="44">
        <v>9610000</v>
      </c>
      <c r="I69" s="44">
        <v>215000</v>
      </c>
      <c r="J69" s="44">
        <v>663333</v>
      </c>
      <c r="K69" s="44">
        <v>305000</v>
      </c>
      <c r="L69" s="44">
        <v>1880000</v>
      </c>
      <c r="M69" s="44">
        <v>110000</v>
      </c>
      <c r="N69" s="44">
        <v>210000</v>
      </c>
      <c r="O69" s="44">
        <v>11367500</v>
      </c>
      <c r="P69" s="69">
        <v>6035000</v>
      </c>
      <c r="Q69" s="45">
        <v>857500</v>
      </c>
      <c r="R69" s="46">
        <v>670000</v>
      </c>
      <c r="S69" s="47">
        <f t="shared" si="30"/>
        <v>38104033</v>
      </c>
      <c r="T69" s="47">
        <f>2500000+2500000+0+0+0+2500000+2500000+0+0+0+2500000+2500000</f>
        <v>15000000</v>
      </c>
      <c r="U69" s="43">
        <f t="shared" si="33"/>
        <v>2.5402688666666666</v>
      </c>
      <c r="V69" s="48">
        <f t="shared" si="31"/>
        <v>3175336.0833333335</v>
      </c>
    </row>
    <row r="70" spans="1:23" ht="15.75" thickBot="1" x14ac:dyDescent="0.3">
      <c r="A70" s="25"/>
      <c r="B70" s="26"/>
      <c r="C70" s="27"/>
      <c r="E70" s="36" t="s">
        <v>94</v>
      </c>
      <c r="F70" s="30"/>
      <c r="G70" s="44">
        <v>0</v>
      </c>
      <c r="H70" s="44">
        <v>0</v>
      </c>
      <c r="I70" s="44"/>
      <c r="J70" s="44">
        <v>0</v>
      </c>
      <c r="K70" s="44">
        <v>0</v>
      </c>
      <c r="L70" s="44">
        <v>6000</v>
      </c>
      <c r="M70" s="44">
        <v>3000</v>
      </c>
      <c r="N70" s="44">
        <v>210000</v>
      </c>
      <c r="O70" s="44">
        <v>105000</v>
      </c>
      <c r="P70" s="69">
        <v>500000</v>
      </c>
      <c r="Q70" s="45">
        <v>0</v>
      </c>
      <c r="R70" s="46"/>
      <c r="S70" s="47">
        <f t="shared" si="30"/>
        <v>824000</v>
      </c>
      <c r="T70" s="47">
        <f>0+0+0+0+0+0+0+0+0+0+0</f>
        <v>0</v>
      </c>
      <c r="U70" s="43" t="e">
        <f t="shared" si="33"/>
        <v>#DIV/0!</v>
      </c>
      <c r="V70" s="48">
        <f t="shared" si="31"/>
        <v>68666.666666666672</v>
      </c>
    </row>
    <row r="71" spans="1:23" ht="15.75" thickBot="1" x14ac:dyDescent="0.3">
      <c r="A71" s="93"/>
      <c r="B71" s="94"/>
      <c r="C71" s="95"/>
      <c r="D71" s="94"/>
      <c r="E71" s="96"/>
      <c r="F71" s="97"/>
      <c r="G71" s="107">
        <f>SUM(G61:G70)</f>
        <v>15691300</v>
      </c>
      <c r="H71" s="107">
        <f t="shared" ref="H71:T71" si="34">SUM(H61:H70)</f>
        <v>12430000</v>
      </c>
      <c r="I71" s="107">
        <f t="shared" si="34"/>
        <v>3235000</v>
      </c>
      <c r="J71" s="107">
        <f t="shared" si="34"/>
        <v>16690603</v>
      </c>
      <c r="K71" s="107">
        <f t="shared" si="34"/>
        <v>13725000</v>
      </c>
      <c r="L71" s="107">
        <f t="shared" si="34"/>
        <v>10609750</v>
      </c>
      <c r="M71" s="107">
        <f t="shared" si="34"/>
        <v>15671000</v>
      </c>
      <c r="N71" s="107">
        <f t="shared" si="34"/>
        <v>18365000</v>
      </c>
      <c r="O71" s="107">
        <f t="shared" si="34"/>
        <v>17122500</v>
      </c>
      <c r="P71" s="107">
        <f t="shared" si="34"/>
        <v>14485000</v>
      </c>
      <c r="Q71" s="99">
        <f t="shared" si="34"/>
        <v>15977500</v>
      </c>
      <c r="R71" s="98">
        <f t="shared" si="34"/>
        <v>13838000</v>
      </c>
      <c r="S71" s="107">
        <f t="shared" si="34"/>
        <v>167840653</v>
      </c>
      <c r="T71" s="107">
        <f t="shared" si="34"/>
        <v>192580400</v>
      </c>
      <c r="U71" s="102">
        <f>S71/T71</f>
        <v>0.87153548855439078</v>
      </c>
      <c r="V71" s="107">
        <f>SUM(V61:V70)</f>
        <v>13986721.083333332</v>
      </c>
      <c r="W71" s="108" t="s">
        <v>34</v>
      </c>
    </row>
    <row r="72" spans="1:23" x14ac:dyDescent="0.25">
      <c r="A72" s="35"/>
      <c r="B72" s="36"/>
      <c r="C72" s="37"/>
      <c r="D72" s="109"/>
      <c r="E72" s="39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39"/>
      <c r="Q72" s="40"/>
      <c r="R72" s="36"/>
      <c r="S72" s="47"/>
      <c r="T72" s="47"/>
      <c r="U72" s="43"/>
      <c r="V72" s="48"/>
    </row>
    <row r="73" spans="1:23" x14ac:dyDescent="0.25">
      <c r="A73" s="35">
        <v>8</v>
      </c>
      <c r="B73" s="36"/>
      <c r="C73" s="37"/>
      <c r="D73" s="110" t="s">
        <v>95</v>
      </c>
      <c r="E73" s="39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39"/>
      <c r="Q73" s="40"/>
      <c r="R73" s="36"/>
      <c r="S73" s="47"/>
      <c r="T73" s="47"/>
      <c r="U73" s="43"/>
      <c r="V73" s="48"/>
    </row>
    <row r="74" spans="1:23" x14ac:dyDescent="0.25">
      <c r="A74" s="35"/>
      <c r="B74" s="36"/>
      <c r="C74" s="37"/>
      <c r="D74" s="36"/>
      <c r="E74" s="106" t="s">
        <v>96</v>
      </c>
      <c r="F74" s="41"/>
      <c r="G74" s="44">
        <v>16202000</v>
      </c>
      <c r="H74" s="44">
        <v>18295500</v>
      </c>
      <c r="I74" s="44">
        <v>14751500</v>
      </c>
      <c r="J74" s="44">
        <v>15415000</v>
      </c>
      <c r="K74" s="44">
        <v>12501000</v>
      </c>
      <c r="L74" s="44">
        <v>12973530</v>
      </c>
      <c r="M74" s="44">
        <v>16429500</v>
      </c>
      <c r="N74" s="44">
        <v>13224500</v>
      </c>
      <c r="O74" s="44">
        <v>21227500</v>
      </c>
      <c r="P74" s="69">
        <v>22662000</v>
      </c>
      <c r="Q74" s="45">
        <v>14731000</v>
      </c>
      <c r="R74" s="46">
        <v>16880750</v>
      </c>
      <c r="S74" s="47">
        <f t="shared" ref="S74:S88" si="35">SUM(G74:R74)</f>
        <v>195293780</v>
      </c>
      <c r="T74" s="47">
        <f>18415500+12854100+17755500+11442435+19212236+17758895+7770000+2336250+12912900+0+12600000+12600000</f>
        <v>145657816</v>
      </c>
      <c r="U74" s="43">
        <f>S74/T74</f>
        <v>1.3407710300970048</v>
      </c>
      <c r="V74" s="48">
        <f t="shared" ref="V74:V88" si="36">S74/12</f>
        <v>16274481.666666666</v>
      </c>
    </row>
    <row r="75" spans="1:23" x14ac:dyDescent="0.25">
      <c r="A75" s="35"/>
      <c r="B75" s="36"/>
      <c r="C75" s="37"/>
      <c r="D75" s="36"/>
      <c r="E75" s="106" t="s">
        <v>97</v>
      </c>
      <c r="F75" s="41"/>
      <c r="G75" s="44">
        <v>100000</v>
      </c>
      <c r="H75" s="44">
        <v>75000</v>
      </c>
      <c r="I75" s="44">
        <v>5000</v>
      </c>
      <c r="J75" s="44">
        <v>0</v>
      </c>
      <c r="K75" s="44">
        <v>800000</v>
      </c>
      <c r="L75" s="44">
        <v>0</v>
      </c>
      <c r="M75" s="44">
        <v>0</v>
      </c>
      <c r="N75" s="44">
        <v>0</v>
      </c>
      <c r="O75" s="44">
        <v>0</v>
      </c>
      <c r="P75" s="69">
        <v>0</v>
      </c>
      <c r="Q75" s="45">
        <v>0</v>
      </c>
      <c r="R75" s="46">
        <v>100000</v>
      </c>
      <c r="S75" s="47">
        <f t="shared" si="35"/>
        <v>1080000</v>
      </c>
      <c r="T75" s="47">
        <f>3150000+0+577500+0+0+0+0+525000+315000+12600000+1653750+0</f>
        <v>18821250</v>
      </c>
      <c r="U75" s="43">
        <f>S75/T75</f>
        <v>5.7381948595337719E-2</v>
      </c>
      <c r="V75" s="48">
        <f t="shared" si="36"/>
        <v>90000</v>
      </c>
    </row>
    <row r="76" spans="1:23" x14ac:dyDescent="0.25">
      <c r="A76" s="35"/>
      <c r="B76" s="36"/>
      <c r="C76" s="37"/>
      <c r="D76" s="36"/>
      <c r="E76" s="106" t="s">
        <v>98</v>
      </c>
      <c r="F76" s="41"/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69">
        <v>0</v>
      </c>
      <c r="Q76" s="45">
        <v>0</v>
      </c>
      <c r="R76" s="46"/>
      <c r="S76" s="47">
        <f t="shared" si="35"/>
        <v>0</v>
      </c>
      <c r="T76" s="47">
        <f>0+0+0+0+0+0+0+0+0+52500+0+0</f>
        <v>52500</v>
      </c>
      <c r="U76" s="43">
        <f t="shared" si="33"/>
        <v>0</v>
      </c>
      <c r="V76" s="48">
        <f t="shared" si="36"/>
        <v>0</v>
      </c>
    </row>
    <row r="77" spans="1:23" x14ac:dyDescent="0.25">
      <c r="A77" s="35"/>
      <c r="B77" s="36"/>
      <c r="C77" s="37"/>
      <c r="D77" s="36"/>
      <c r="E77" s="106" t="s">
        <v>99</v>
      </c>
      <c r="F77" s="41"/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69">
        <v>0</v>
      </c>
      <c r="Q77" s="45">
        <v>0</v>
      </c>
      <c r="R77" s="46"/>
      <c r="S77" s="47">
        <f t="shared" si="35"/>
        <v>0</v>
      </c>
      <c r="T77" s="47">
        <f>0+0+0+0+0+0+0+0+0+0+0+0</f>
        <v>0</v>
      </c>
      <c r="U77" s="43" t="e">
        <f t="shared" si="33"/>
        <v>#DIV/0!</v>
      </c>
      <c r="V77" s="48">
        <f t="shared" si="36"/>
        <v>0</v>
      </c>
    </row>
    <row r="78" spans="1:23" x14ac:dyDescent="0.25">
      <c r="A78" s="35"/>
      <c r="B78" s="36"/>
      <c r="C78" s="37"/>
      <c r="D78" s="36"/>
      <c r="E78" s="106" t="s">
        <v>100</v>
      </c>
      <c r="F78" s="41"/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69">
        <v>0</v>
      </c>
      <c r="Q78" s="45">
        <v>0</v>
      </c>
      <c r="R78" s="46"/>
      <c r="S78" s="47">
        <f t="shared" si="35"/>
        <v>0</v>
      </c>
      <c r="T78" s="47">
        <f>0+0+0+0+0+0+0+0+0+0+0+0</f>
        <v>0</v>
      </c>
      <c r="U78" s="43" t="e">
        <f t="shared" si="33"/>
        <v>#DIV/0!</v>
      </c>
      <c r="V78" s="48">
        <f t="shared" si="36"/>
        <v>0</v>
      </c>
    </row>
    <row r="79" spans="1:23" x14ac:dyDescent="0.25">
      <c r="A79" s="35"/>
      <c r="B79" s="36"/>
      <c r="C79" s="37"/>
      <c r="D79" s="36"/>
      <c r="E79" s="106" t="s">
        <v>101</v>
      </c>
      <c r="F79" s="41"/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69">
        <v>0</v>
      </c>
      <c r="Q79" s="45">
        <v>0</v>
      </c>
      <c r="R79" s="46"/>
      <c r="S79" s="47">
        <f t="shared" si="35"/>
        <v>0</v>
      </c>
      <c r="T79" s="47">
        <f>0+0+0+0+0+0+0+0+0+0+0+0</f>
        <v>0</v>
      </c>
      <c r="U79" s="43" t="e">
        <f t="shared" si="33"/>
        <v>#DIV/0!</v>
      </c>
      <c r="V79" s="48">
        <f t="shared" si="36"/>
        <v>0</v>
      </c>
    </row>
    <row r="80" spans="1:23" x14ac:dyDescent="0.25">
      <c r="A80" s="35"/>
      <c r="B80" s="36"/>
      <c r="C80" s="37"/>
      <c r="D80" s="36"/>
      <c r="E80" s="106" t="s">
        <v>102</v>
      </c>
      <c r="F80" s="41"/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69">
        <v>0</v>
      </c>
      <c r="Q80" s="45">
        <v>0</v>
      </c>
      <c r="R80" s="46"/>
      <c r="S80" s="47">
        <f t="shared" si="35"/>
        <v>0</v>
      </c>
      <c r="T80" s="47">
        <f>0+259662+0+0+0+0+0+0+0+0+0+0</f>
        <v>259662</v>
      </c>
      <c r="U80" s="43">
        <f t="shared" si="33"/>
        <v>0</v>
      </c>
      <c r="V80" s="48">
        <f t="shared" si="36"/>
        <v>0</v>
      </c>
    </row>
    <row r="81" spans="1:22" x14ac:dyDescent="0.25">
      <c r="A81" s="35"/>
      <c r="B81" s="36"/>
      <c r="C81" s="37"/>
      <c r="D81" s="36"/>
      <c r="E81" s="106" t="s">
        <v>103</v>
      </c>
      <c r="F81" s="41"/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69">
        <v>0</v>
      </c>
      <c r="Q81" s="45">
        <v>0</v>
      </c>
      <c r="R81" s="46"/>
      <c r="S81" s="47">
        <f t="shared" si="35"/>
        <v>0</v>
      </c>
      <c r="T81" s="47">
        <f>0+0+0+0+0+337750+6300000+0+0+0+0+0</f>
        <v>6637750</v>
      </c>
      <c r="U81" s="43">
        <f t="shared" si="33"/>
        <v>0</v>
      </c>
      <c r="V81" s="48">
        <f t="shared" si="36"/>
        <v>0</v>
      </c>
    </row>
    <row r="82" spans="1:22" x14ac:dyDescent="0.25">
      <c r="A82" s="35"/>
      <c r="B82" s="36"/>
      <c r="C82" s="37"/>
      <c r="D82" s="36"/>
      <c r="E82" s="106" t="s">
        <v>104</v>
      </c>
      <c r="F82" s="41"/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69">
        <v>2300</v>
      </c>
      <c r="Q82" s="45">
        <v>0</v>
      </c>
      <c r="R82" s="46"/>
      <c r="S82" s="47">
        <f t="shared" si="35"/>
        <v>2300</v>
      </c>
      <c r="T82" s="47">
        <f>0+0+0+0+0+386000+69300+0+0+0+308700+0</f>
        <v>764000</v>
      </c>
      <c r="U82" s="43">
        <f>S82/T82</f>
        <v>3.0104712041884815E-3</v>
      </c>
      <c r="V82" s="48">
        <f>S82/12</f>
        <v>191.66666666666666</v>
      </c>
    </row>
    <row r="83" spans="1:22" x14ac:dyDescent="0.25">
      <c r="A83" s="35"/>
      <c r="B83" s="36"/>
      <c r="C83" s="37"/>
      <c r="D83" s="36"/>
      <c r="E83" s="106" t="s">
        <v>105</v>
      </c>
      <c r="F83" s="41"/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69">
        <v>0</v>
      </c>
      <c r="Q83" s="45">
        <v>0</v>
      </c>
      <c r="R83" s="46"/>
      <c r="S83" s="47">
        <f t="shared" si="35"/>
        <v>0</v>
      </c>
      <c r="T83" s="47">
        <f>0+0+0+0+0+0+73500+0+0+210000+0+0</f>
        <v>283500</v>
      </c>
      <c r="U83" s="43">
        <f>S83/T83</f>
        <v>0</v>
      </c>
      <c r="V83" s="48">
        <f t="shared" si="36"/>
        <v>0</v>
      </c>
    </row>
    <row r="84" spans="1:22" x14ac:dyDescent="0.25">
      <c r="A84" s="35"/>
      <c r="B84" s="36"/>
      <c r="C84" s="37"/>
      <c r="D84" s="36"/>
      <c r="E84" s="106" t="s">
        <v>106</v>
      </c>
      <c r="F84" s="41"/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150000</v>
      </c>
      <c r="O84" s="44">
        <v>0</v>
      </c>
      <c r="P84" s="69">
        <v>0</v>
      </c>
      <c r="Q84" s="45">
        <v>0</v>
      </c>
      <c r="R84" s="46"/>
      <c r="S84" s="47">
        <f t="shared" si="35"/>
        <v>150000</v>
      </c>
      <c r="T84" s="47">
        <f>0+0+0+0+0+0+0+0+0+0+0+0</f>
        <v>0</v>
      </c>
      <c r="U84" s="43" t="e">
        <f t="shared" si="33"/>
        <v>#DIV/0!</v>
      </c>
      <c r="V84" s="48">
        <f t="shared" si="36"/>
        <v>12500</v>
      </c>
    </row>
    <row r="85" spans="1:22" x14ac:dyDescent="0.25">
      <c r="A85" s="35"/>
      <c r="B85" s="36"/>
      <c r="C85" s="37"/>
      <c r="D85" s="36"/>
      <c r="E85" s="106" t="s">
        <v>107</v>
      </c>
      <c r="F85" s="41"/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150000</v>
      </c>
      <c r="M85" s="44">
        <v>0</v>
      </c>
      <c r="N85" s="44">
        <v>0</v>
      </c>
      <c r="O85" s="44">
        <v>0</v>
      </c>
      <c r="P85" s="69">
        <v>10000</v>
      </c>
      <c r="Q85" s="45">
        <v>0</v>
      </c>
      <c r="R85" s="46"/>
      <c r="S85" s="47">
        <f t="shared" si="35"/>
        <v>160000</v>
      </c>
      <c r="T85" s="47">
        <f>0+0+0+0+54800+386000+682500+0+0+0+0+0</f>
        <v>1123300</v>
      </c>
      <c r="U85" s="43">
        <f t="shared" si="33"/>
        <v>0.14243746105225674</v>
      </c>
      <c r="V85" s="48">
        <f t="shared" si="36"/>
        <v>13333.333333333334</v>
      </c>
    </row>
    <row r="86" spans="1:22" x14ac:dyDescent="0.25">
      <c r="A86" s="35"/>
      <c r="B86" s="36"/>
      <c r="C86" s="37"/>
      <c r="D86" s="36"/>
      <c r="E86" s="106" t="s">
        <v>108</v>
      </c>
      <c r="F86" s="41"/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69">
        <v>0</v>
      </c>
      <c r="Q86" s="45">
        <v>0</v>
      </c>
      <c r="R86" s="46"/>
      <c r="S86" s="47">
        <f t="shared" si="35"/>
        <v>0</v>
      </c>
      <c r="T86" s="47">
        <f>0+0+0+0+0+0+0+0+0+0+0+0</f>
        <v>0</v>
      </c>
      <c r="U86" s="43" t="e">
        <f t="shared" si="33"/>
        <v>#DIV/0!</v>
      </c>
      <c r="V86" s="48">
        <f t="shared" si="36"/>
        <v>0</v>
      </c>
    </row>
    <row r="87" spans="1:22" x14ac:dyDescent="0.25">
      <c r="A87" s="35"/>
      <c r="B87" s="36"/>
      <c r="C87" s="37"/>
      <c r="D87" s="36"/>
      <c r="E87" s="106" t="s">
        <v>109</v>
      </c>
      <c r="F87" s="41"/>
      <c r="G87" s="44">
        <v>7880000</v>
      </c>
      <c r="H87" s="44">
        <v>3530000</v>
      </c>
      <c r="I87" s="44">
        <v>0</v>
      </c>
      <c r="J87" s="44">
        <v>3210000</v>
      </c>
      <c r="K87" s="44">
        <v>145000</v>
      </c>
      <c r="L87" s="44">
        <v>5436000</v>
      </c>
      <c r="M87" s="44">
        <v>4044000</v>
      </c>
      <c r="N87" s="44">
        <v>0</v>
      </c>
      <c r="O87" s="44">
        <v>7936975</v>
      </c>
      <c r="P87" s="69">
        <v>2634240</v>
      </c>
      <c r="Q87" s="45">
        <v>4762380</v>
      </c>
      <c r="R87" s="46">
        <v>2687500</v>
      </c>
      <c r="S87" s="47">
        <f t="shared" si="35"/>
        <v>42266095</v>
      </c>
      <c r="T87" s="47">
        <f>0+0+315000+0+0+0+0+0+0+0+315000+0</f>
        <v>630000</v>
      </c>
      <c r="U87" s="43">
        <f t="shared" si="33"/>
        <v>67.089039682539678</v>
      </c>
      <c r="V87" s="48">
        <f t="shared" si="36"/>
        <v>3522174.5833333335</v>
      </c>
    </row>
    <row r="88" spans="1:22" ht="15.75" thickBot="1" x14ac:dyDescent="0.3">
      <c r="A88" s="111"/>
      <c r="B88" s="112"/>
      <c r="C88" s="113"/>
      <c r="D88" s="112"/>
      <c r="E88" s="114" t="s">
        <v>110</v>
      </c>
      <c r="F88" s="115"/>
      <c r="G88" s="75">
        <v>50000</v>
      </c>
      <c r="H88" s="75">
        <v>0</v>
      </c>
      <c r="I88" s="75">
        <v>130000</v>
      </c>
      <c r="J88" s="75">
        <v>0</v>
      </c>
      <c r="K88" s="75">
        <v>0</v>
      </c>
      <c r="L88" s="75">
        <v>47500</v>
      </c>
      <c r="M88" s="75">
        <v>0</v>
      </c>
      <c r="N88" s="75">
        <v>0</v>
      </c>
      <c r="O88" s="75">
        <v>95000</v>
      </c>
      <c r="P88" s="116">
        <v>215000</v>
      </c>
      <c r="Q88" s="77">
        <v>75000</v>
      </c>
      <c r="R88" s="117"/>
      <c r="S88" s="47">
        <f t="shared" si="35"/>
        <v>612500</v>
      </c>
      <c r="T88" s="47">
        <f>0+0+0+0+0+0+0+0+0+0+0+0</f>
        <v>0</v>
      </c>
      <c r="U88" s="43" t="e">
        <f t="shared" si="33"/>
        <v>#DIV/0!</v>
      </c>
      <c r="V88" s="48">
        <f t="shared" si="36"/>
        <v>51041.666666666664</v>
      </c>
    </row>
    <row r="89" spans="1:22" s="64" customFormat="1" ht="15.75" thickBot="1" x14ac:dyDescent="0.3">
      <c r="A89" s="93"/>
      <c r="B89" s="97"/>
      <c r="C89" s="99"/>
      <c r="D89" s="97"/>
      <c r="E89" s="97"/>
      <c r="F89" s="97"/>
      <c r="G89" s="118">
        <f t="shared" ref="G89:T89" si="37">SUM(G74:G88)</f>
        <v>24232000</v>
      </c>
      <c r="H89" s="118">
        <f t="shared" si="37"/>
        <v>21900500</v>
      </c>
      <c r="I89" s="118">
        <f t="shared" si="37"/>
        <v>14886500</v>
      </c>
      <c r="J89" s="118">
        <f t="shared" si="37"/>
        <v>18625000</v>
      </c>
      <c r="K89" s="118">
        <f t="shared" si="37"/>
        <v>13446000</v>
      </c>
      <c r="L89" s="118">
        <f t="shared" si="37"/>
        <v>18607030</v>
      </c>
      <c r="M89" s="118">
        <f t="shared" si="37"/>
        <v>20473500</v>
      </c>
      <c r="N89" s="118">
        <f t="shared" si="37"/>
        <v>13374500</v>
      </c>
      <c r="O89" s="118">
        <f t="shared" si="37"/>
        <v>29259475</v>
      </c>
      <c r="P89" s="118">
        <f t="shared" si="37"/>
        <v>25523540</v>
      </c>
      <c r="Q89" s="118">
        <f>SUM(Q74:Q88)</f>
        <v>19568380</v>
      </c>
      <c r="R89" s="118">
        <f>SUM(R74:R88)</f>
        <v>19668250</v>
      </c>
      <c r="S89" s="119">
        <f t="shared" si="37"/>
        <v>239564675</v>
      </c>
      <c r="T89" s="120">
        <f t="shared" si="37"/>
        <v>174229778</v>
      </c>
      <c r="U89" s="102">
        <f>S89/T89</f>
        <v>1.3749927122101941</v>
      </c>
      <c r="V89" s="118">
        <f>SUM(V74:V88)</f>
        <v>19963722.916666668</v>
      </c>
    </row>
    <row r="90" spans="1:22" s="64" customFormat="1" ht="15.75" thickBot="1" x14ac:dyDescent="0.3">
      <c r="A90" s="54"/>
      <c r="B90" s="58"/>
      <c r="C90" s="121"/>
      <c r="D90" s="58"/>
      <c r="E90" s="58"/>
      <c r="F90" s="58"/>
      <c r="G90" s="122">
        <f>G44+G58+G71+G89</f>
        <v>414381971</v>
      </c>
      <c r="H90" s="122">
        <f t="shared" ref="H90:T90" si="38">H44+H58+H71+H89</f>
        <v>382443770</v>
      </c>
      <c r="I90" s="122">
        <f t="shared" si="38"/>
        <v>394078880</v>
      </c>
      <c r="J90" s="122">
        <f t="shared" si="38"/>
        <v>375824253</v>
      </c>
      <c r="K90" s="122">
        <f t="shared" si="38"/>
        <v>323639822</v>
      </c>
      <c r="L90" s="122">
        <f t="shared" si="38"/>
        <v>401074107</v>
      </c>
      <c r="M90" s="122">
        <f t="shared" si="38"/>
        <v>384416658</v>
      </c>
      <c r="N90" s="122">
        <f t="shared" si="38"/>
        <v>378153042</v>
      </c>
      <c r="O90" s="122">
        <f>O44+O58+O71+O89</f>
        <v>426398431</v>
      </c>
      <c r="P90" s="122">
        <f>P44+P58+P71+P89</f>
        <v>469883780</v>
      </c>
      <c r="Q90" s="122">
        <f>Q44+Q58+Q71+Q89</f>
        <v>394158483</v>
      </c>
      <c r="R90" s="122">
        <f>R44+R58+R71+R89</f>
        <v>360778215</v>
      </c>
      <c r="S90" s="122">
        <f t="shared" si="38"/>
        <v>4705231412</v>
      </c>
      <c r="T90" s="122">
        <f t="shared" si="38"/>
        <v>4275322768</v>
      </c>
      <c r="U90" s="123">
        <f>S90/T90</f>
        <v>1.100555833402284</v>
      </c>
      <c r="V90" s="122">
        <f>V44+V58+V71+V89</f>
        <v>392102617.66666663</v>
      </c>
    </row>
    <row r="91" spans="1:22" x14ac:dyDescent="0.25">
      <c r="A91" s="3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6"/>
      <c r="V91" s="4"/>
    </row>
    <row r="92" spans="1:22" x14ac:dyDescent="0.25"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 t="s">
        <v>111</v>
      </c>
      <c r="V92" s="127"/>
    </row>
    <row r="93" spans="1:22" x14ac:dyDescent="0.25">
      <c r="B93" s="128" t="s">
        <v>112</v>
      </c>
      <c r="C93" s="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9"/>
      <c r="V93" s="129"/>
    </row>
    <row r="94" spans="1:22" x14ac:dyDescent="0.25">
      <c r="B94" s="4" t="s">
        <v>113</v>
      </c>
      <c r="C94" s="5">
        <v>352931215</v>
      </c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9"/>
      <c r="V94" s="129"/>
    </row>
    <row r="95" spans="1:22" ht="15.75" thickBot="1" x14ac:dyDescent="0.3">
      <c r="B95" s="4" t="s">
        <v>114</v>
      </c>
      <c r="C95" s="130">
        <v>7847000</v>
      </c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9"/>
      <c r="V95" s="129"/>
    </row>
    <row r="96" spans="1:22" ht="15.75" thickTop="1" x14ac:dyDescent="0.25">
      <c r="B96" s="4"/>
      <c r="C96" s="131">
        <f>SUM(C94:C95)</f>
        <v>360778215</v>
      </c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9"/>
      <c r="V96" s="129"/>
    </row>
    <row r="97" spans="2:22" x14ac:dyDescent="0.25">
      <c r="B97" s="4"/>
      <c r="C97" s="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9"/>
      <c r="V97" s="129"/>
    </row>
    <row r="98" spans="2:22" x14ac:dyDescent="0.25">
      <c r="B98" s="4"/>
      <c r="C98" s="132">
        <f>C96-R90</f>
        <v>0</v>
      </c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9"/>
      <c r="V98" s="129"/>
    </row>
    <row r="99" spans="2:22" x14ac:dyDescent="0.25"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9"/>
      <c r="V99" s="129"/>
    </row>
    <row r="100" spans="2:22" x14ac:dyDescent="0.25">
      <c r="B100" s="128" t="s">
        <v>115</v>
      </c>
      <c r="C100" s="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9"/>
      <c r="V100" s="129"/>
    </row>
    <row r="101" spans="2:22" x14ac:dyDescent="0.25">
      <c r="B101" s="4" t="s">
        <v>113</v>
      </c>
      <c r="C101" s="5">
        <v>384094483</v>
      </c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9"/>
      <c r="V101" s="129"/>
    </row>
    <row r="102" spans="2:22" ht="15.75" thickBot="1" x14ac:dyDescent="0.3">
      <c r="B102" s="4" t="s">
        <v>114</v>
      </c>
      <c r="C102" s="130">
        <v>10064000</v>
      </c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9"/>
      <c r="V102" s="129"/>
    </row>
    <row r="103" spans="2:22" ht="15.75" thickTop="1" x14ac:dyDescent="0.25">
      <c r="B103" s="4"/>
      <c r="C103" s="131">
        <f>SUM(C101:C102)</f>
        <v>394158483</v>
      </c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9"/>
      <c r="V103" s="129"/>
    </row>
    <row r="104" spans="2:22" x14ac:dyDescent="0.25">
      <c r="B104" s="4"/>
      <c r="C104" s="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9"/>
      <c r="V104" s="129"/>
    </row>
    <row r="105" spans="2:22" x14ac:dyDescent="0.25">
      <c r="B105" s="4"/>
      <c r="C105" s="132">
        <f>C103-Q90</f>
        <v>0</v>
      </c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9"/>
      <c r="V105" s="129"/>
    </row>
    <row r="106" spans="2:22" x14ac:dyDescent="0.25"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9"/>
      <c r="V106" s="129"/>
    </row>
    <row r="107" spans="2:22" x14ac:dyDescent="0.25">
      <c r="B107" s="128" t="s">
        <v>116</v>
      </c>
      <c r="C107" s="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9"/>
      <c r="V107" s="129"/>
    </row>
    <row r="108" spans="2:22" x14ac:dyDescent="0.25">
      <c r="B108" s="4" t="s">
        <v>113</v>
      </c>
      <c r="C108" s="5">
        <v>453698780</v>
      </c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9"/>
      <c r="V108" s="129"/>
    </row>
    <row r="109" spans="2:22" ht="15.75" thickBot="1" x14ac:dyDescent="0.3">
      <c r="B109" s="4" t="s">
        <v>114</v>
      </c>
      <c r="C109" s="130">
        <v>16185000</v>
      </c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9"/>
      <c r="V109" s="129"/>
    </row>
    <row r="110" spans="2:22" ht="15.75" thickTop="1" x14ac:dyDescent="0.25">
      <c r="B110" s="4"/>
      <c r="C110" s="131">
        <f>SUM(C108:C109)</f>
        <v>469883780</v>
      </c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9"/>
      <c r="V110" s="129"/>
    </row>
    <row r="111" spans="2:22" x14ac:dyDescent="0.25">
      <c r="B111" s="4"/>
      <c r="C111" s="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9"/>
      <c r="V111" s="129"/>
    </row>
    <row r="112" spans="2:22" x14ac:dyDescent="0.25">
      <c r="B112" s="4"/>
      <c r="C112" s="132">
        <f>C110-P90</f>
        <v>0</v>
      </c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9"/>
      <c r="V112" s="129"/>
    </row>
    <row r="113" spans="2:22" x14ac:dyDescent="0.25"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9"/>
      <c r="V113" s="129"/>
    </row>
    <row r="114" spans="2:22" x14ac:dyDescent="0.25">
      <c r="B114" s="128" t="s">
        <v>117</v>
      </c>
      <c r="C114" s="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9"/>
      <c r="V114" s="129"/>
    </row>
    <row r="115" spans="2:22" x14ac:dyDescent="0.25">
      <c r="B115" s="4" t="s">
        <v>113</v>
      </c>
      <c r="C115" s="5">
        <v>411056931</v>
      </c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9"/>
      <c r="V115" s="129"/>
    </row>
    <row r="116" spans="2:22" ht="15.75" thickBot="1" x14ac:dyDescent="0.3">
      <c r="B116" s="4" t="s">
        <v>114</v>
      </c>
      <c r="C116" s="130">
        <v>15341500</v>
      </c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9"/>
      <c r="V116" s="129"/>
    </row>
    <row r="117" spans="2:22" ht="15.75" thickTop="1" x14ac:dyDescent="0.25">
      <c r="B117" s="4"/>
      <c r="C117" s="131">
        <f>SUM(C115:C116)</f>
        <v>426398431</v>
      </c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9"/>
      <c r="V117" s="129"/>
    </row>
    <row r="118" spans="2:22" x14ac:dyDescent="0.25">
      <c r="B118" s="4"/>
      <c r="C118" s="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9"/>
      <c r="V118" s="129"/>
    </row>
    <row r="119" spans="2:22" x14ac:dyDescent="0.25">
      <c r="B119" s="4"/>
      <c r="C119" s="132">
        <f>C117-O90</f>
        <v>0</v>
      </c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9"/>
      <c r="V119" s="129"/>
    </row>
    <row r="120" spans="2:22" x14ac:dyDescent="0.25"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9"/>
      <c r="V120" s="129"/>
    </row>
    <row r="121" spans="2:22" x14ac:dyDescent="0.25">
      <c r="B121" s="128" t="s">
        <v>118</v>
      </c>
      <c r="C121" s="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9"/>
      <c r="V121" s="129"/>
    </row>
    <row r="122" spans="2:22" x14ac:dyDescent="0.25">
      <c r="B122" s="4" t="s">
        <v>113</v>
      </c>
      <c r="C122" s="5">
        <v>371275042</v>
      </c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9"/>
      <c r="V122" s="129"/>
    </row>
    <row r="123" spans="2:22" ht="15.75" thickBot="1" x14ac:dyDescent="0.3">
      <c r="B123" s="4" t="s">
        <v>114</v>
      </c>
      <c r="C123" s="130">
        <v>6878000</v>
      </c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9"/>
      <c r="V123" s="129"/>
    </row>
    <row r="124" spans="2:22" ht="15.75" thickTop="1" x14ac:dyDescent="0.25">
      <c r="B124" s="4"/>
      <c r="C124" s="131">
        <f>SUM(C122:C123)</f>
        <v>378153042</v>
      </c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9"/>
      <c r="V124" s="129"/>
    </row>
    <row r="125" spans="2:22" x14ac:dyDescent="0.25">
      <c r="B125" s="4"/>
      <c r="C125" s="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9"/>
      <c r="V125" s="129"/>
    </row>
    <row r="126" spans="2:22" x14ac:dyDescent="0.25">
      <c r="B126" s="4"/>
      <c r="C126" s="132">
        <f>C124-N90</f>
        <v>0</v>
      </c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9"/>
      <c r="V126" s="129"/>
    </row>
    <row r="127" spans="2:22" x14ac:dyDescent="0.25"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9"/>
      <c r="V127" s="129"/>
    </row>
    <row r="128" spans="2:22" x14ac:dyDescent="0.25">
      <c r="B128" s="128" t="s">
        <v>119</v>
      </c>
      <c r="C128" s="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9"/>
      <c r="V128" s="129"/>
    </row>
    <row r="129" spans="2:22" x14ac:dyDescent="0.25">
      <c r="B129" s="4" t="s">
        <v>113</v>
      </c>
      <c r="C129" s="5">
        <v>371607658</v>
      </c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9"/>
      <c r="V129" s="129"/>
    </row>
    <row r="130" spans="2:22" ht="15.75" thickBot="1" x14ac:dyDescent="0.3">
      <c r="B130" s="4" t="s">
        <v>114</v>
      </c>
      <c r="C130" s="130">
        <v>9983000</v>
      </c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9"/>
      <c r="V130" s="129"/>
    </row>
    <row r="131" spans="2:22" ht="15.75" thickTop="1" x14ac:dyDescent="0.25">
      <c r="B131" s="4"/>
      <c r="C131" s="131">
        <f>SUM(C129:C130)</f>
        <v>381590658</v>
      </c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9"/>
      <c r="V131" s="129"/>
    </row>
    <row r="132" spans="2:22" x14ac:dyDescent="0.25">
      <c r="B132" s="4"/>
      <c r="C132" s="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9"/>
      <c r="V132" s="129"/>
    </row>
    <row r="133" spans="2:22" x14ac:dyDescent="0.25">
      <c r="B133" s="4"/>
      <c r="C133" s="132">
        <f>C131-M90</f>
        <v>-2826000</v>
      </c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9"/>
      <c r="V133" s="129"/>
    </row>
    <row r="134" spans="2:22" x14ac:dyDescent="0.25"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9"/>
      <c r="V134" s="129"/>
    </row>
    <row r="135" spans="2:22" x14ac:dyDescent="0.25">
      <c r="B135" s="128" t="s">
        <v>120</v>
      </c>
      <c r="C135" s="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9"/>
      <c r="V135" s="129"/>
    </row>
    <row r="136" spans="2:22" x14ac:dyDescent="0.25">
      <c r="B136" s="4" t="s">
        <v>113</v>
      </c>
      <c r="C136" s="5">
        <v>397066607</v>
      </c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9"/>
      <c r="V136" s="129"/>
    </row>
    <row r="137" spans="2:22" ht="15.75" thickBot="1" x14ac:dyDescent="0.3">
      <c r="B137" s="4" t="s">
        <v>114</v>
      </c>
      <c r="C137" s="130">
        <v>4007500</v>
      </c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9"/>
      <c r="V137" s="129"/>
    </row>
    <row r="138" spans="2:22" ht="15.75" thickTop="1" x14ac:dyDescent="0.25">
      <c r="B138" s="4"/>
      <c r="C138" s="131">
        <f>SUM(C136:C137)</f>
        <v>401074107</v>
      </c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9"/>
      <c r="V138" s="129"/>
    </row>
    <row r="139" spans="2:22" x14ac:dyDescent="0.25">
      <c r="B139" s="4"/>
      <c r="C139" s="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9"/>
      <c r="V139" s="129"/>
    </row>
    <row r="140" spans="2:22" x14ac:dyDescent="0.25">
      <c r="B140" s="4"/>
      <c r="C140" s="132">
        <f>C138-L90</f>
        <v>0</v>
      </c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9"/>
      <c r="V140" s="129"/>
    </row>
    <row r="141" spans="2:22" x14ac:dyDescent="0.25"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9"/>
      <c r="V141" s="129"/>
    </row>
    <row r="142" spans="2:22" x14ac:dyDescent="0.25">
      <c r="B142" s="128" t="s">
        <v>121</v>
      </c>
      <c r="C142" s="5"/>
      <c r="D142" s="4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9"/>
      <c r="V142" s="129"/>
    </row>
    <row r="143" spans="2:22" x14ac:dyDescent="0.25">
      <c r="B143" s="4" t="s">
        <v>113</v>
      </c>
      <c r="C143" s="5">
        <v>317661822</v>
      </c>
      <c r="D143" s="4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9"/>
      <c r="V143" s="129"/>
    </row>
    <row r="144" spans="2:22" ht="15.75" thickBot="1" x14ac:dyDescent="0.3">
      <c r="B144" s="4" t="s">
        <v>114</v>
      </c>
      <c r="C144" s="130">
        <v>5978000</v>
      </c>
      <c r="D144" s="4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9"/>
      <c r="V144" s="129"/>
    </row>
    <row r="145" spans="2:22" ht="15.75" thickTop="1" x14ac:dyDescent="0.25">
      <c r="B145" s="4"/>
      <c r="C145" s="131">
        <f>SUM(C143:C144)</f>
        <v>323639822</v>
      </c>
      <c r="D145" s="4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9"/>
      <c r="V145" s="129"/>
    </row>
    <row r="146" spans="2:22" x14ac:dyDescent="0.25">
      <c r="B146" s="4"/>
      <c r="C146" s="5"/>
      <c r="D146" s="4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9"/>
      <c r="V146" s="129"/>
    </row>
    <row r="147" spans="2:22" x14ac:dyDescent="0.25">
      <c r="B147" s="4"/>
      <c r="C147" s="132">
        <f>C145-K90</f>
        <v>0</v>
      </c>
      <c r="D147" s="4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9"/>
      <c r="V147" s="129"/>
    </row>
    <row r="148" spans="2:22" x14ac:dyDescent="0.25"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9"/>
      <c r="V148" s="129"/>
    </row>
    <row r="149" spans="2:22" x14ac:dyDescent="0.25">
      <c r="B149" s="128" t="s">
        <v>122</v>
      </c>
      <c r="C149" s="5"/>
      <c r="D149" s="4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9"/>
      <c r="V149" s="129"/>
    </row>
    <row r="150" spans="2:22" x14ac:dyDescent="0.25">
      <c r="B150" s="4" t="s">
        <v>113</v>
      </c>
      <c r="C150" s="5">
        <v>366881353</v>
      </c>
      <c r="D150" s="4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9"/>
      <c r="V150" s="129"/>
    </row>
    <row r="151" spans="2:22" ht="15.75" thickBot="1" x14ac:dyDescent="0.3">
      <c r="B151" s="4" t="s">
        <v>114</v>
      </c>
      <c r="C151" s="130">
        <v>8942900</v>
      </c>
      <c r="D151" s="4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9"/>
      <c r="V151" s="129"/>
    </row>
    <row r="152" spans="2:22" ht="15.75" thickTop="1" x14ac:dyDescent="0.25">
      <c r="B152" s="4"/>
      <c r="C152" s="131">
        <f>SUM(C150:C151)</f>
        <v>375824253</v>
      </c>
      <c r="D152" s="4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9"/>
      <c r="V152" s="129"/>
    </row>
    <row r="153" spans="2:22" x14ac:dyDescent="0.25">
      <c r="B153" s="4"/>
      <c r="C153" s="5"/>
      <c r="D153" s="4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9"/>
      <c r="V153" s="129"/>
    </row>
    <row r="154" spans="2:22" x14ac:dyDescent="0.25">
      <c r="B154" s="4"/>
      <c r="C154" s="132">
        <f>C152-J90</f>
        <v>0</v>
      </c>
      <c r="D154" s="4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9"/>
      <c r="V154" s="129"/>
    </row>
    <row r="155" spans="2:22" x14ac:dyDescent="0.25"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9"/>
      <c r="V155" s="129"/>
    </row>
    <row r="156" spans="2:22" x14ac:dyDescent="0.25">
      <c r="B156" s="128" t="s">
        <v>123</v>
      </c>
      <c r="C156" s="5"/>
      <c r="D156" s="4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9"/>
      <c r="V156" s="129"/>
    </row>
    <row r="157" spans="2:22" x14ac:dyDescent="0.25">
      <c r="B157" s="4" t="s">
        <v>113</v>
      </c>
      <c r="C157" s="5">
        <v>387236880</v>
      </c>
      <c r="D157" s="4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9"/>
      <c r="V157" s="129"/>
    </row>
    <row r="158" spans="2:22" ht="15.75" thickBot="1" x14ac:dyDescent="0.3">
      <c r="B158" s="4" t="s">
        <v>114</v>
      </c>
      <c r="C158" s="130">
        <v>6842000</v>
      </c>
      <c r="D158" s="4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9"/>
      <c r="V158" s="129"/>
    </row>
    <row r="159" spans="2:22" ht="15.75" thickTop="1" x14ac:dyDescent="0.25">
      <c r="B159" s="4"/>
      <c r="C159" s="131">
        <f>SUM(C157:C158)</f>
        <v>394078880</v>
      </c>
      <c r="D159" s="4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9"/>
      <c r="V159" s="129"/>
    </row>
    <row r="160" spans="2:22" x14ac:dyDescent="0.25">
      <c r="B160" s="4"/>
      <c r="C160" s="5"/>
      <c r="D160" s="4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9"/>
      <c r="V160" s="129"/>
    </row>
    <row r="161" spans="1:22" x14ac:dyDescent="0.25">
      <c r="B161" s="4"/>
      <c r="C161" s="132">
        <f>C159-I90</f>
        <v>0</v>
      </c>
      <c r="D161" s="4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9"/>
      <c r="V161" s="129"/>
    </row>
    <row r="162" spans="1:22" x14ac:dyDescent="0.25"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9"/>
      <c r="V162" s="129"/>
    </row>
    <row r="163" spans="1:22" x14ac:dyDescent="0.25">
      <c r="B163" s="128" t="s">
        <v>124</v>
      </c>
      <c r="C163" s="5"/>
      <c r="D163" s="4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9"/>
      <c r="V163" s="129"/>
    </row>
    <row r="164" spans="1:22" x14ac:dyDescent="0.25">
      <c r="B164" s="4" t="s">
        <v>113</v>
      </c>
      <c r="C164" s="5">
        <v>377425270</v>
      </c>
      <c r="D164" s="4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9"/>
      <c r="V164" s="129"/>
    </row>
    <row r="165" spans="1:22" ht="15.75" thickBot="1" x14ac:dyDescent="0.3">
      <c r="B165" s="4" t="s">
        <v>114</v>
      </c>
      <c r="C165" s="130">
        <v>5018500</v>
      </c>
      <c r="D165" s="4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9"/>
      <c r="V165" s="129"/>
    </row>
    <row r="166" spans="1:22" ht="15.75" thickTop="1" x14ac:dyDescent="0.25">
      <c r="B166" s="4"/>
      <c r="C166" s="131">
        <f>SUM(C164:C165)</f>
        <v>382443770</v>
      </c>
      <c r="D166" s="4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9"/>
      <c r="V166" s="129"/>
    </row>
    <row r="167" spans="1:22" x14ac:dyDescent="0.25">
      <c r="B167" s="4"/>
      <c r="C167" s="5"/>
      <c r="D167" s="4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9"/>
      <c r="V167" s="129"/>
    </row>
    <row r="168" spans="1:22" x14ac:dyDescent="0.25">
      <c r="B168" s="4"/>
      <c r="C168" s="132">
        <f>C166-H90</f>
        <v>0</v>
      </c>
      <c r="D168" s="4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9"/>
      <c r="V168" s="129"/>
    </row>
    <row r="169" spans="1:22" x14ac:dyDescent="0.25"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9"/>
      <c r="V169" s="129"/>
    </row>
    <row r="170" spans="1:22" x14ac:dyDescent="0.25">
      <c r="B170" s="128" t="s">
        <v>125</v>
      </c>
      <c r="C170" s="5"/>
      <c r="D170" s="4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9"/>
      <c r="V170" s="129"/>
    </row>
    <row r="171" spans="1:22" x14ac:dyDescent="0.25">
      <c r="B171" s="4" t="s">
        <v>113</v>
      </c>
      <c r="C171" s="5">
        <v>405624871</v>
      </c>
      <c r="D171" s="4"/>
      <c r="E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9"/>
      <c r="V171" s="129"/>
    </row>
    <row r="172" spans="1:22" ht="15.75" thickBot="1" x14ac:dyDescent="0.3">
      <c r="B172" s="4" t="s">
        <v>114</v>
      </c>
      <c r="C172" s="130">
        <v>8757100</v>
      </c>
      <c r="D172" s="4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9"/>
      <c r="V172" s="129"/>
    </row>
    <row r="173" spans="1:22" ht="15.75" thickTop="1" x14ac:dyDescent="0.25">
      <c r="B173" s="4"/>
      <c r="C173" s="131">
        <f>SUM(C171:C172)</f>
        <v>414381971</v>
      </c>
      <c r="D173" s="4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9"/>
      <c r="V173" s="129"/>
    </row>
    <row r="174" spans="1:22" x14ac:dyDescent="0.25">
      <c r="B174" s="4"/>
      <c r="C174" s="5"/>
      <c r="D174" s="4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9"/>
      <c r="V174" s="129"/>
    </row>
    <row r="175" spans="1:22" x14ac:dyDescent="0.25">
      <c r="B175" s="4"/>
      <c r="C175" s="132">
        <f>C173-G90</f>
        <v>0</v>
      </c>
      <c r="D175" s="4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9"/>
      <c r="V175" s="129"/>
    </row>
    <row r="176" spans="1:22" s="4" customFormat="1" ht="14.25" x14ac:dyDescent="0.2">
      <c r="A176" s="3"/>
      <c r="C176" s="5"/>
      <c r="U176" s="6"/>
    </row>
    <row r="177" spans="1:21" s="4" customFormat="1" ht="14.25" x14ac:dyDescent="0.2">
      <c r="A177" s="3"/>
      <c r="C177" s="5"/>
      <c r="U177" s="6"/>
    </row>
    <row r="178" spans="1:21" s="4" customFormat="1" ht="14.25" x14ac:dyDescent="0.2">
      <c r="A178" s="3"/>
      <c r="C178" s="5"/>
      <c r="U178" s="6"/>
    </row>
  </sheetData>
  <mergeCells count="12">
    <mergeCell ref="V4:V5"/>
    <mergeCell ref="U92:V92"/>
    <mergeCell ref="A1:V1"/>
    <mergeCell ref="A2:V2"/>
    <mergeCell ref="A4:A5"/>
    <mergeCell ref="B4:C5"/>
    <mergeCell ref="D4:E5"/>
    <mergeCell ref="F4:F5"/>
    <mergeCell ref="G4:R4"/>
    <mergeCell ref="S4:S5"/>
    <mergeCell ref="T4:T5"/>
    <mergeCell ref="U4:U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157B-CA54-4843-BA66-ACEF403237B6}">
  <dimension ref="A1:W170"/>
  <sheetViews>
    <sheetView topLeftCell="G100" zoomScale="60" zoomScaleNormal="67" workbookViewId="0">
      <selection activeCell="T113" sqref="T113"/>
    </sheetView>
  </sheetViews>
  <sheetFormatPr defaultRowHeight="15" x14ac:dyDescent="0.25"/>
  <cols>
    <col min="1" max="1" width="5" style="124" customWidth="1"/>
    <col min="2" max="2" width="13.140625" customWidth="1"/>
    <col min="3" max="3" width="20.7109375" style="125" customWidth="1"/>
    <col min="4" max="4" width="3.7109375" customWidth="1"/>
    <col min="5" max="5" width="27.7109375" customWidth="1"/>
    <col min="6" max="6" width="16.28515625" hidden="1" customWidth="1"/>
    <col min="7" max="7" width="15.28515625" customWidth="1"/>
    <col min="8" max="8" width="15.140625" customWidth="1"/>
    <col min="9" max="11" width="15" bestFit="1" customWidth="1"/>
    <col min="12" max="12" width="15" customWidth="1"/>
    <col min="13" max="13" width="15.5703125" customWidth="1"/>
    <col min="14" max="14" width="15.7109375" customWidth="1"/>
    <col min="15" max="19" width="15.5703125" customWidth="1"/>
    <col min="20" max="20" width="17.42578125" customWidth="1"/>
    <col min="21" max="21" width="13.5703125" style="133" customWidth="1"/>
    <col min="22" max="22" width="15" bestFit="1" customWidth="1"/>
  </cols>
  <sheetData>
    <row r="1" spans="1:22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thickBot="1" x14ac:dyDescent="0.3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7.5" customHeight="1" thickTop="1" thickBot="1" x14ac:dyDescent="0.3">
      <c r="A3" s="3"/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/>
      <c r="V3" s="4"/>
    </row>
    <row r="4" spans="1:22" s="16" customFormat="1" ht="15.75" thickBot="1" x14ac:dyDescent="0.3">
      <c r="A4" s="7" t="s">
        <v>2</v>
      </c>
      <c r="B4" s="7" t="s">
        <v>3</v>
      </c>
      <c r="C4" s="8"/>
      <c r="D4" s="7" t="s">
        <v>4</v>
      </c>
      <c r="E4" s="8"/>
      <c r="F4" s="9" t="s">
        <v>5</v>
      </c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3" t="s">
        <v>7</v>
      </c>
      <c r="T4" s="13" t="s">
        <v>8</v>
      </c>
      <c r="U4" s="14" t="s">
        <v>9</v>
      </c>
      <c r="V4" s="15" t="s">
        <v>10</v>
      </c>
    </row>
    <row r="5" spans="1:22" s="16" customFormat="1" ht="15.75" thickBot="1" x14ac:dyDescent="0.3">
      <c r="A5" s="17"/>
      <c r="B5" s="17"/>
      <c r="C5" s="18"/>
      <c r="D5" s="17"/>
      <c r="E5" s="18"/>
      <c r="F5" s="19"/>
      <c r="G5" s="20" t="s">
        <v>11</v>
      </c>
      <c r="H5" s="20" t="s">
        <v>12</v>
      </c>
      <c r="I5" s="20" t="s">
        <v>13</v>
      </c>
      <c r="J5" s="20" t="s">
        <v>14</v>
      </c>
      <c r="K5" s="20" t="s">
        <v>15</v>
      </c>
      <c r="L5" s="20" t="s">
        <v>16</v>
      </c>
      <c r="M5" s="20" t="s">
        <v>17</v>
      </c>
      <c r="N5" s="20" t="s">
        <v>18</v>
      </c>
      <c r="O5" s="20" t="s">
        <v>19</v>
      </c>
      <c r="P5" s="21" t="s">
        <v>20</v>
      </c>
      <c r="Q5" s="21" t="s">
        <v>21</v>
      </c>
      <c r="R5" s="21" t="s">
        <v>22</v>
      </c>
      <c r="S5" s="22"/>
      <c r="T5" s="22"/>
      <c r="U5" s="23"/>
      <c r="V5" s="24"/>
    </row>
    <row r="6" spans="1:22" x14ac:dyDescent="0.25">
      <c r="A6" s="25"/>
      <c r="B6" s="26"/>
      <c r="C6" s="27"/>
      <c r="D6" s="26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1"/>
      <c r="Q6" s="29"/>
      <c r="R6" s="32"/>
      <c r="S6" s="33"/>
      <c r="T6" s="33"/>
      <c r="U6" s="34"/>
      <c r="V6" s="33"/>
    </row>
    <row r="7" spans="1:22" x14ac:dyDescent="0.25">
      <c r="A7" s="35">
        <v>1</v>
      </c>
      <c r="B7" s="36" t="s">
        <v>23</v>
      </c>
      <c r="C7" s="37" t="s">
        <v>50</v>
      </c>
      <c r="D7" s="38" t="s">
        <v>25</v>
      </c>
      <c r="E7" s="39"/>
      <c r="F7" s="40" t="s">
        <v>26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0"/>
      <c r="R7" s="36"/>
      <c r="S7" s="42"/>
      <c r="T7" s="42"/>
      <c r="U7" s="43"/>
      <c r="V7" s="42"/>
    </row>
    <row r="8" spans="1:22" x14ac:dyDescent="0.25">
      <c r="A8" s="35"/>
      <c r="B8" s="36" t="s">
        <v>27</v>
      </c>
      <c r="C8" s="37" t="s">
        <v>28</v>
      </c>
      <c r="D8" s="36"/>
      <c r="E8" s="39" t="s">
        <v>29</v>
      </c>
      <c r="F8" s="40" t="s">
        <v>30</v>
      </c>
      <c r="G8" s="44">
        <v>2160000</v>
      </c>
      <c r="H8" s="44">
        <v>1195000</v>
      </c>
      <c r="I8" s="44">
        <v>4260000</v>
      </c>
      <c r="J8" s="44">
        <v>1405000</v>
      </c>
      <c r="K8" s="44">
        <v>3197000</v>
      </c>
      <c r="L8" s="44">
        <v>2996500</v>
      </c>
      <c r="M8" s="44">
        <v>3750000</v>
      </c>
      <c r="N8" s="44">
        <v>5330000</v>
      </c>
      <c r="O8" s="44">
        <v>4710000</v>
      </c>
      <c r="P8" s="44">
        <v>1700000</v>
      </c>
      <c r="Q8" s="45">
        <v>5310000</v>
      </c>
      <c r="R8" s="46">
        <v>4135000</v>
      </c>
      <c r="S8" s="47">
        <f>SUM(G8:R8)</f>
        <v>40148500</v>
      </c>
      <c r="T8" s="134">
        <f>((((2164800+2271500+1540000+1782000+2909500+2579500+1292500+5582500)+2821500)+4345000)+363825)+1212750</f>
        <v>28865375</v>
      </c>
      <c r="U8" s="43">
        <f>S8/T8</f>
        <v>1.3908878717148141</v>
      </c>
      <c r="V8" s="48">
        <f>S8/12</f>
        <v>3345708.3333333335</v>
      </c>
    </row>
    <row r="9" spans="1:22" x14ac:dyDescent="0.25">
      <c r="A9" s="35"/>
      <c r="B9" s="36"/>
      <c r="C9" s="37" t="s">
        <v>31</v>
      </c>
      <c r="D9" s="36"/>
      <c r="E9" s="39" t="s">
        <v>32</v>
      </c>
      <c r="F9" s="40"/>
      <c r="G9" s="44">
        <v>9194500</v>
      </c>
      <c r="H9" s="44">
        <v>9684500</v>
      </c>
      <c r="I9" s="44">
        <v>7818000</v>
      </c>
      <c r="J9" s="44">
        <v>9035500</v>
      </c>
      <c r="K9" s="44">
        <v>7314000</v>
      </c>
      <c r="L9" s="44">
        <v>5621500</v>
      </c>
      <c r="M9" s="44">
        <v>6099500</v>
      </c>
      <c r="N9" s="44">
        <v>6068500</v>
      </c>
      <c r="O9" s="44">
        <v>7783500</v>
      </c>
      <c r="P9" s="44">
        <v>4496000</v>
      </c>
      <c r="Q9" s="45">
        <v>10679000</v>
      </c>
      <c r="R9" s="46">
        <v>5854000</v>
      </c>
      <c r="S9" s="47">
        <f>SUM(G9:R9)</f>
        <v>89648500</v>
      </c>
      <c r="T9" s="135">
        <f>((((13620750+12606900+14687200+10990200+13439900+12511400+13816000+10063156)+10086000)+13261600)+21444885)+23100000</f>
        <v>169627991</v>
      </c>
      <c r="U9" s="43">
        <f>S9/T9</f>
        <v>0.52850062935662545</v>
      </c>
      <c r="V9" s="48">
        <f t="shared" ref="V9:V14" si="0">S9/12</f>
        <v>7470708.333333333</v>
      </c>
    </row>
    <row r="10" spans="1:22" x14ac:dyDescent="0.25">
      <c r="A10" s="35"/>
      <c r="B10" s="36"/>
      <c r="C10" s="37" t="s">
        <v>33</v>
      </c>
      <c r="D10" s="36" t="s">
        <v>34</v>
      </c>
      <c r="E10" s="39" t="s">
        <v>35</v>
      </c>
      <c r="F10" s="40"/>
      <c r="G10" s="44">
        <v>9430000</v>
      </c>
      <c r="H10" s="44">
        <v>9646000</v>
      </c>
      <c r="I10" s="44">
        <v>9709000</v>
      </c>
      <c r="J10" s="44">
        <v>10325000</v>
      </c>
      <c r="K10" s="44">
        <v>7480000</v>
      </c>
      <c r="L10" s="44">
        <v>9029500</v>
      </c>
      <c r="M10" s="44">
        <v>7138000</v>
      </c>
      <c r="N10" s="44">
        <v>7025000</v>
      </c>
      <c r="O10" s="44">
        <v>8670000</v>
      </c>
      <c r="P10" s="44">
        <v>9581900</v>
      </c>
      <c r="Q10" s="45">
        <v>9217000</v>
      </c>
      <c r="R10" s="46">
        <v>7098000</v>
      </c>
      <c r="S10" s="47">
        <f t="shared" ref="S10:S14" si="1">SUM(G10:R10)</f>
        <v>104349400</v>
      </c>
      <c r="T10" s="136">
        <f>((((10075900+10009500+12303500+14931500+10826500+13406800+10964250+9352750)+10514900)+12590600)+13629000)+13860000</f>
        <v>142465200</v>
      </c>
      <c r="U10" s="43">
        <f t="shared" ref="U10:U14" si="2">S10/T10</f>
        <v>0.73245536453814686</v>
      </c>
      <c r="V10" s="48">
        <f t="shared" si="0"/>
        <v>8695783.333333334</v>
      </c>
    </row>
    <row r="11" spans="1:22" x14ac:dyDescent="0.25">
      <c r="A11" s="35"/>
      <c r="B11" s="36"/>
      <c r="C11" s="37"/>
      <c r="D11" s="36"/>
      <c r="E11" s="39" t="s">
        <v>36</v>
      </c>
      <c r="F11" s="40"/>
      <c r="G11" s="44">
        <v>11520000</v>
      </c>
      <c r="H11" s="44">
        <v>7580000</v>
      </c>
      <c r="I11" s="44">
        <v>7628000</v>
      </c>
      <c r="J11" s="44">
        <v>6470000</v>
      </c>
      <c r="K11" s="44">
        <v>5753000</v>
      </c>
      <c r="L11" s="44">
        <v>5700000</v>
      </c>
      <c r="M11" s="44">
        <v>5345000</v>
      </c>
      <c r="N11" s="44">
        <v>6361000</v>
      </c>
      <c r="O11" s="44">
        <v>5451500</v>
      </c>
      <c r="P11" s="44">
        <v>3611000</v>
      </c>
      <c r="Q11" s="45">
        <v>5662000</v>
      </c>
      <c r="R11" s="46">
        <v>6750000</v>
      </c>
      <c r="S11" s="47">
        <f t="shared" si="1"/>
        <v>77831500</v>
      </c>
      <c r="T11" s="137">
        <f>((((10071950+10858000+11748000+9560100+10601800+9666000+9762500+9403900)+7989300)+11432850)+8820735)+8662500</f>
        <v>118577635</v>
      </c>
      <c r="U11" s="43">
        <f>S11/T11</f>
        <v>0.65637588403580494</v>
      </c>
      <c r="V11" s="48">
        <f t="shared" si="0"/>
        <v>6485958.333333333</v>
      </c>
    </row>
    <row r="12" spans="1:22" x14ac:dyDescent="0.25">
      <c r="A12" s="35"/>
      <c r="B12" s="36"/>
      <c r="C12" s="37"/>
      <c r="D12" s="36"/>
      <c r="E12" s="39" t="s">
        <v>37</v>
      </c>
      <c r="F12" s="40"/>
      <c r="G12" s="44">
        <v>18131500</v>
      </c>
      <c r="H12" s="44">
        <v>10652500</v>
      </c>
      <c r="I12" s="44">
        <v>13282000</v>
      </c>
      <c r="J12" s="44">
        <v>8880000</v>
      </c>
      <c r="K12" s="44">
        <v>8755000</v>
      </c>
      <c r="L12" s="44">
        <v>6426500</v>
      </c>
      <c r="M12" s="44">
        <v>7709000</v>
      </c>
      <c r="N12" s="44">
        <v>7615500</v>
      </c>
      <c r="O12" s="44">
        <v>6208000</v>
      </c>
      <c r="P12" s="44">
        <v>7743900</v>
      </c>
      <c r="Q12" s="45">
        <v>7179000</v>
      </c>
      <c r="R12" s="46">
        <v>8448000</v>
      </c>
      <c r="S12" s="47">
        <f t="shared" si="1"/>
        <v>111030900</v>
      </c>
      <c r="T12" s="135">
        <f>((((10620739+10432650+12877700+11565321+10948929+12184450+13169200+7535000)+12810050)+13678750)+11425535)+11533390</f>
        <v>138781714</v>
      </c>
      <c r="U12" s="43">
        <f t="shared" si="2"/>
        <v>0.80003983810143753</v>
      </c>
      <c r="V12" s="48">
        <f t="shared" si="0"/>
        <v>9252575</v>
      </c>
    </row>
    <row r="13" spans="1:22" x14ac:dyDescent="0.25">
      <c r="A13" s="35"/>
      <c r="B13" s="36"/>
      <c r="C13" s="37"/>
      <c r="D13" s="36"/>
      <c r="E13" s="39" t="s">
        <v>38</v>
      </c>
      <c r="F13" s="40"/>
      <c r="G13" s="49">
        <v>13035000</v>
      </c>
      <c r="H13" s="44">
        <v>10451690</v>
      </c>
      <c r="I13" s="44">
        <v>14905500</v>
      </c>
      <c r="J13" s="44">
        <v>7752500</v>
      </c>
      <c r="K13" s="44">
        <v>10532000</v>
      </c>
      <c r="L13" s="44">
        <v>11671000</v>
      </c>
      <c r="M13" s="44">
        <v>7272100</v>
      </c>
      <c r="N13" s="44">
        <v>10228500</v>
      </c>
      <c r="O13" s="44">
        <v>11308500</v>
      </c>
      <c r="P13" s="44">
        <v>8669000</v>
      </c>
      <c r="Q13" s="45">
        <v>9991000</v>
      </c>
      <c r="R13" s="46">
        <v>5911944</v>
      </c>
      <c r="S13" s="47">
        <f t="shared" si="1"/>
        <v>121728734</v>
      </c>
      <c r="T13" s="135">
        <f>((((12181750+10822300+13285118+10351475+11649518+11875900+10146400+9620600)+15865937)+15098650)+13744774)+13394260</f>
        <v>148036682</v>
      </c>
      <c r="U13" s="34">
        <f>S13/T13</f>
        <v>0.82228764084296346</v>
      </c>
      <c r="V13" s="48">
        <f t="shared" si="0"/>
        <v>10144061.166666666</v>
      </c>
    </row>
    <row r="14" spans="1:22" ht="15.75" thickBot="1" x14ac:dyDescent="0.3">
      <c r="A14" s="35"/>
      <c r="B14" s="36"/>
      <c r="C14" s="37"/>
      <c r="D14" s="36"/>
      <c r="E14" s="39" t="s">
        <v>39</v>
      </c>
      <c r="F14" s="40"/>
      <c r="G14" s="51">
        <v>1080000</v>
      </c>
      <c r="H14" s="51">
        <v>505000</v>
      </c>
      <c r="I14" s="51">
        <v>983000</v>
      </c>
      <c r="J14" s="51">
        <v>646000</v>
      </c>
      <c r="K14" s="51">
        <v>862000</v>
      </c>
      <c r="L14" s="51">
        <v>0</v>
      </c>
      <c r="M14" s="51">
        <v>1650000</v>
      </c>
      <c r="N14" s="51">
        <v>360000</v>
      </c>
      <c r="O14" s="51">
        <v>731000</v>
      </c>
      <c r="P14" s="51">
        <v>555000</v>
      </c>
      <c r="Q14" s="52">
        <v>3240000</v>
      </c>
      <c r="R14" s="53">
        <v>235000</v>
      </c>
      <c r="S14" s="47">
        <f t="shared" si="1"/>
        <v>10847000</v>
      </c>
      <c r="T14" s="138">
        <f>((((1210000+726000+674300+924000+566500+1749000+1430000+1490500)+1897500)+1941500)+1001385)+1155000</f>
        <v>14765685</v>
      </c>
      <c r="U14" s="43">
        <f t="shared" si="2"/>
        <v>0.73460865513520035</v>
      </c>
      <c r="V14" s="48">
        <f t="shared" si="0"/>
        <v>903916.66666666663</v>
      </c>
    </row>
    <row r="15" spans="1:22" s="64" customFormat="1" ht="15.75" thickBot="1" x14ac:dyDescent="0.3">
      <c r="A15" s="54"/>
      <c r="B15" s="55"/>
      <c r="C15" s="56"/>
      <c r="D15" s="55"/>
      <c r="E15" s="57"/>
      <c r="F15" s="58"/>
      <c r="G15" s="59">
        <f t="shared" ref="G15:I15" si="3">SUM(G8:G14)</f>
        <v>64551000</v>
      </c>
      <c r="H15" s="59">
        <f t="shared" si="3"/>
        <v>49714690</v>
      </c>
      <c r="I15" s="59">
        <f t="shared" si="3"/>
        <v>58585500</v>
      </c>
      <c r="J15" s="59">
        <f t="shared" ref="J15:T15" si="4">SUM(J8:J14)</f>
        <v>44514000</v>
      </c>
      <c r="K15" s="59">
        <f t="shared" si="4"/>
        <v>43893000</v>
      </c>
      <c r="L15" s="59">
        <f t="shared" si="4"/>
        <v>41445000</v>
      </c>
      <c r="M15" s="59">
        <f t="shared" si="4"/>
        <v>38963600</v>
      </c>
      <c r="N15" s="59">
        <f t="shared" si="4"/>
        <v>42988500</v>
      </c>
      <c r="O15" s="59">
        <f t="shared" si="4"/>
        <v>44862500</v>
      </c>
      <c r="P15" s="59">
        <f t="shared" si="4"/>
        <v>36356800</v>
      </c>
      <c r="Q15" s="60">
        <f t="shared" si="4"/>
        <v>51278000</v>
      </c>
      <c r="R15" s="59">
        <f>SUM(R8:R14)</f>
        <v>38431944</v>
      </c>
      <c r="S15" s="61">
        <f t="shared" si="4"/>
        <v>555584534</v>
      </c>
      <c r="T15" s="61">
        <f t="shared" si="4"/>
        <v>761120282</v>
      </c>
      <c r="U15" s="62">
        <f>S15/T15</f>
        <v>0.72995628567417414</v>
      </c>
      <c r="V15" s="63">
        <f>SUM(V8:V14)</f>
        <v>46298711.166666657</v>
      </c>
    </row>
    <row r="16" spans="1:22" x14ac:dyDescent="0.25">
      <c r="A16" s="25"/>
      <c r="B16" s="26"/>
      <c r="C16" s="27"/>
      <c r="D16" s="26"/>
      <c r="E16" s="28"/>
      <c r="F16" s="29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6"/>
      <c r="R16" s="67"/>
      <c r="S16" s="33"/>
      <c r="T16" s="33"/>
      <c r="U16" s="34"/>
      <c r="V16" s="33"/>
    </row>
    <row r="17" spans="1:22" x14ac:dyDescent="0.25">
      <c r="A17" s="35">
        <v>2</v>
      </c>
      <c r="B17" s="36" t="s">
        <v>23</v>
      </c>
      <c r="C17" s="37" t="s">
        <v>40</v>
      </c>
      <c r="D17" s="38" t="s">
        <v>41</v>
      </c>
      <c r="E17" s="39"/>
      <c r="F17" s="40" t="s">
        <v>26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0"/>
      <c r="R17" s="36"/>
      <c r="S17" s="42"/>
      <c r="T17" s="139"/>
      <c r="U17" s="43"/>
      <c r="V17" s="42"/>
    </row>
    <row r="18" spans="1:22" x14ac:dyDescent="0.25">
      <c r="A18" s="35"/>
      <c r="B18" s="36" t="s">
        <v>27</v>
      </c>
      <c r="C18" s="37" t="s">
        <v>42</v>
      </c>
      <c r="D18" s="36"/>
      <c r="E18" s="39" t="s">
        <v>43</v>
      </c>
      <c r="F18" s="40" t="s">
        <v>30</v>
      </c>
      <c r="G18" s="44">
        <v>16214000</v>
      </c>
      <c r="H18" s="44">
        <v>20915000</v>
      </c>
      <c r="I18" s="44">
        <v>15312500</v>
      </c>
      <c r="J18" s="44">
        <v>19524500</v>
      </c>
      <c r="K18" s="44">
        <v>16430000</v>
      </c>
      <c r="L18" s="44">
        <v>15185000</v>
      </c>
      <c r="M18" s="140">
        <v>7800000</v>
      </c>
      <c r="N18" s="44">
        <v>13403000</v>
      </c>
      <c r="O18" s="44">
        <v>12858000</v>
      </c>
      <c r="P18" s="69">
        <v>7285000</v>
      </c>
      <c r="Q18" s="45">
        <v>17235000</v>
      </c>
      <c r="R18" s="46">
        <v>16390000</v>
      </c>
      <c r="S18" s="47">
        <f>SUM(G18:R18)</f>
        <v>178552000</v>
      </c>
      <c r="T18" s="141">
        <f>((((20581900+19843450+17311124+17141300+13964500+13981090+13806224+15821300)+17563225)+19166112)+17867160)+16998830</f>
        <v>204046215</v>
      </c>
      <c r="U18" s="43">
        <f>S18/T18</f>
        <v>0.87505666302116902</v>
      </c>
      <c r="V18" s="48">
        <f t="shared" ref="V18:V25" si="5">S18/12</f>
        <v>14879333.333333334</v>
      </c>
    </row>
    <row r="19" spans="1:22" x14ac:dyDescent="0.25">
      <c r="A19" s="35"/>
      <c r="B19" s="36"/>
      <c r="C19" s="37" t="s">
        <v>44</v>
      </c>
      <c r="D19" s="36"/>
      <c r="E19" s="39" t="s">
        <v>45</v>
      </c>
      <c r="F19" s="40"/>
      <c r="G19" s="44">
        <v>14475000</v>
      </c>
      <c r="H19" s="44">
        <v>34685000</v>
      </c>
      <c r="I19" s="44">
        <v>28685000</v>
      </c>
      <c r="J19" s="44">
        <v>41265000</v>
      </c>
      <c r="K19" s="44">
        <v>34540000</v>
      </c>
      <c r="L19" s="44">
        <v>24650000</v>
      </c>
      <c r="M19" s="44">
        <v>23602000</v>
      </c>
      <c r="N19" s="44">
        <v>24040000</v>
      </c>
      <c r="O19" s="44">
        <v>39075000</v>
      </c>
      <c r="P19" s="69">
        <v>38330000</v>
      </c>
      <c r="Q19" s="45">
        <v>33115000</v>
      </c>
      <c r="R19" s="46">
        <v>25072500</v>
      </c>
      <c r="S19" s="47">
        <f t="shared" ref="S19:S25" si="6">SUM(G19:R19)</f>
        <v>361534500</v>
      </c>
      <c r="T19" s="141">
        <f>((((37652655+37130500+42407750+37746500+40947500+36873000+30271000+38951000)+38719450)+37038500)+39270000)+38270000</f>
        <v>455277855</v>
      </c>
      <c r="U19" s="43">
        <f>S19/T19</f>
        <v>0.79409638757852608</v>
      </c>
      <c r="V19" s="48">
        <f t="shared" si="5"/>
        <v>30127875</v>
      </c>
    </row>
    <row r="20" spans="1:22" x14ac:dyDescent="0.25">
      <c r="A20" s="35"/>
      <c r="B20" s="36"/>
      <c r="C20" s="37"/>
      <c r="D20" s="36"/>
      <c r="E20" s="39" t="s">
        <v>46</v>
      </c>
      <c r="F20" s="40" t="s">
        <v>30</v>
      </c>
      <c r="G20" s="44">
        <v>0</v>
      </c>
      <c r="H20" s="44">
        <v>0</v>
      </c>
      <c r="I20" s="44">
        <v>0</v>
      </c>
      <c r="J20" s="44">
        <v>195000</v>
      </c>
      <c r="K20" s="44">
        <v>550000</v>
      </c>
      <c r="L20" s="44">
        <v>100000</v>
      </c>
      <c r="M20" s="44">
        <v>1849000</v>
      </c>
      <c r="N20" s="44">
        <v>1250000</v>
      </c>
      <c r="O20" s="44">
        <v>0</v>
      </c>
      <c r="P20" s="69">
        <v>0</v>
      </c>
      <c r="Q20" s="45">
        <v>1140000</v>
      </c>
      <c r="R20" s="46">
        <v>480000</v>
      </c>
      <c r="S20" s="47">
        <f>SUM(G20:R20)</f>
        <v>5564000</v>
      </c>
      <c r="T20" s="141">
        <f>((((0+0+374000+0+0+0+0+0)+253000)+0)+0)+1155000</f>
        <v>1782000</v>
      </c>
      <c r="U20" s="43">
        <f>S20/T20</f>
        <v>3.1223344556677892</v>
      </c>
      <c r="V20" s="48">
        <f t="shared" si="5"/>
        <v>463666.66666666669</v>
      </c>
    </row>
    <row r="21" spans="1:22" x14ac:dyDescent="0.25">
      <c r="A21" s="35"/>
      <c r="B21" s="36"/>
      <c r="C21" s="37"/>
      <c r="D21" s="36"/>
      <c r="E21" s="39" t="s">
        <v>127</v>
      </c>
      <c r="F21" s="40"/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450000</v>
      </c>
      <c r="O21" s="44">
        <v>0</v>
      </c>
      <c r="P21" s="69">
        <v>0</v>
      </c>
      <c r="Q21" s="45">
        <v>0</v>
      </c>
      <c r="R21" s="46">
        <v>0</v>
      </c>
      <c r="S21" s="47">
        <f>SUM(G21:R21)</f>
        <v>450000</v>
      </c>
      <c r="T21" s="141">
        <f>((((0+0+0+0+0+0+0+0)+0)+0)+0)+0</f>
        <v>0</v>
      </c>
      <c r="U21" s="43" t="e">
        <f>S21/T21</f>
        <v>#DIV/0!</v>
      </c>
      <c r="V21" s="48">
        <f t="shared" si="5"/>
        <v>37500</v>
      </c>
    </row>
    <row r="22" spans="1:22" x14ac:dyDescent="0.25">
      <c r="A22" s="35"/>
      <c r="B22" s="36"/>
      <c r="C22" s="37"/>
      <c r="D22" s="36"/>
      <c r="E22" s="39" t="s">
        <v>47</v>
      </c>
      <c r="F22" s="40"/>
      <c r="G22" s="44">
        <v>43535000</v>
      </c>
      <c r="H22" s="44">
        <v>25805000</v>
      </c>
      <c r="I22" s="44">
        <v>43437500</v>
      </c>
      <c r="J22" s="44">
        <v>33245000</v>
      </c>
      <c r="K22" s="44">
        <v>34755000</v>
      </c>
      <c r="L22" s="44">
        <v>35852500</v>
      </c>
      <c r="M22" s="44">
        <v>40051190</v>
      </c>
      <c r="N22" s="44">
        <v>35845119</v>
      </c>
      <c r="O22" s="44">
        <v>37532999</v>
      </c>
      <c r="P22" s="69">
        <v>26503000</v>
      </c>
      <c r="Q22" s="45">
        <v>23252500</v>
      </c>
      <c r="R22" s="46">
        <v>32068000</v>
      </c>
      <c r="S22" s="47">
        <f t="shared" si="6"/>
        <v>411882808</v>
      </c>
      <c r="T22" s="141">
        <f>((((35486250+36082200+37857600+33979000+31839500+30508250+29900750+29633340)+38249750)+35525250)+30030000)+30030000</f>
        <v>399121890</v>
      </c>
      <c r="U22" s="43">
        <f>S22/T22</f>
        <v>1.0319724833934816</v>
      </c>
      <c r="V22" s="48">
        <f t="shared" si="5"/>
        <v>34323567.333333336</v>
      </c>
    </row>
    <row r="23" spans="1:22" x14ac:dyDescent="0.25">
      <c r="A23" s="35"/>
      <c r="B23" s="36"/>
      <c r="C23" s="37"/>
      <c r="D23" s="36"/>
      <c r="E23" s="39" t="s">
        <v>48</v>
      </c>
      <c r="F23" s="40"/>
      <c r="G23" s="44">
        <v>2660000</v>
      </c>
      <c r="H23" s="44">
        <v>2875000</v>
      </c>
      <c r="I23" s="44">
        <v>3110000</v>
      </c>
      <c r="J23" s="44">
        <v>2647500</v>
      </c>
      <c r="K23" s="44">
        <v>1805000</v>
      </c>
      <c r="L23" s="44">
        <v>1250000</v>
      </c>
      <c r="M23" s="44">
        <v>1320000</v>
      </c>
      <c r="N23" s="44">
        <v>1130000</v>
      </c>
      <c r="O23" s="44">
        <v>1640000</v>
      </c>
      <c r="P23" s="69">
        <v>410000</v>
      </c>
      <c r="Q23" s="45">
        <v>1400000</v>
      </c>
      <c r="R23" s="46">
        <v>960000</v>
      </c>
      <c r="S23" s="47">
        <f t="shared" si="6"/>
        <v>21207500</v>
      </c>
      <c r="T23" s="142">
        <f>((((429000+363000+110000+150000+440000+220000+159500+990000)+1809500)+605000)+250000)+250000</f>
        <v>5776000</v>
      </c>
      <c r="U23" s="43">
        <f t="shared" ref="U23:U25" si="7">S23/T23</f>
        <v>3.6716585872576175</v>
      </c>
      <c r="V23" s="48">
        <f t="shared" si="5"/>
        <v>1767291.6666666667</v>
      </c>
    </row>
    <row r="24" spans="1:22" x14ac:dyDescent="0.25">
      <c r="A24" s="70"/>
      <c r="B24" s="71"/>
      <c r="C24" s="72"/>
      <c r="D24" s="71"/>
      <c r="E24" s="73" t="s">
        <v>49</v>
      </c>
      <c r="F24" s="74"/>
      <c r="G24" s="75">
        <v>3420000</v>
      </c>
      <c r="H24" s="75">
        <v>5397500</v>
      </c>
      <c r="I24" s="75">
        <v>3705000</v>
      </c>
      <c r="J24" s="75">
        <v>2335000</v>
      </c>
      <c r="K24" s="75">
        <v>3520000</v>
      </c>
      <c r="L24" s="75">
        <v>4235000</v>
      </c>
      <c r="M24" s="75">
        <v>4210000</v>
      </c>
      <c r="N24" s="75">
        <v>4220000</v>
      </c>
      <c r="O24" s="75">
        <v>2300000</v>
      </c>
      <c r="P24" s="76">
        <v>7640000</v>
      </c>
      <c r="Q24" s="77">
        <v>1995000</v>
      </c>
      <c r="R24" s="78">
        <v>4190000</v>
      </c>
      <c r="S24" s="47">
        <f t="shared" ref="S24" si="8">SUM(G24:R24)</f>
        <v>47167500</v>
      </c>
      <c r="T24" s="143">
        <f>((((3600000+3924500+3679500+3480070+2666400+3737580+2706000+3278000)+4312000)+2667500)+2334255)+3083850</f>
        <v>39469655</v>
      </c>
      <c r="U24" s="43">
        <f t="shared" si="7"/>
        <v>1.1950319808977301</v>
      </c>
      <c r="V24" s="48">
        <f t="shared" si="5"/>
        <v>3930625</v>
      </c>
    </row>
    <row r="25" spans="1:22" ht="15.75" thickBot="1" x14ac:dyDescent="0.3">
      <c r="A25" s="70"/>
      <c r="B25" s="71"/>
      <c r="C25" s="72"/>
      <c r="D25" s="71"/>
      <c r="E25" s="73" t="s">
        <v>93</v>
      </c>
      <c r="F25" s="74"/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6">
        <v>0</v>
      </c>
      <c r="Q25" s="77">
        <v>370000</v>
      </c>
      <c r="R25" s="78">
        <v>0</v>
      </c>
      <c r="S25" s="47">
        <f t="shared" si="6"/>
        <v>370000</v>
      </c>
      <c r="T25" s="144">
        <f>((0+0+0+0+0)+0)+0</f>
        <v>0</v>
      </c>
      <c r="U25" s="43" t="e">
        <f t="shared" si="7"/>
        <v>#DIV/0!</v>
      </c>
      <c r="V25" s="48">
        <f t="shared" si="5"/>
        <v>30833.333333333332</v>
      </c>
    </row>
    <row r="26" spans="1:22" s="64" customFormat="1" ht="15.75" thickBot="1" x14ac:dyDescent="0.3">
      <c r="A26" s="54"/>
      <c r="B26" s="55"/>
      <c r="C26" s="56"/>
      <c r="D26" s="55"/>
      <c r="E26" s="57"/>
      <c r="F26" s="58"/>
      <c r="G26" s="79">
        <f t="shared" ref="G26:T26" si="9">SUM(G18:G25)</f>
        <v>80304000</v>
      </c>
      <c r="H26" s="79">
        <f t="shared" si="9"/>
        <v>89677500</v>
      </c>
      <c r="I26" s="79">
        <f t="shared" si="9"/>
        <v>94250000</v>
      </c>
      <c r="J26" s="79">
        <f t="shared" si="9"/>
        <v>99212000</v>
      </c>
      <c r="K26" s="79">
        <f t="shared" si="9"/>
        <v>91600000</v>
      </c>
      <c r="L26" s="79">
        <f t="shared" si="9"/>
        <v>81272500</v>
      </c>
      <c r="M26" s="79">
        <f t="shared" si="9"/>
        <v>78832190</v>
      </c>
      <c r="N26" s="79">
        <f t="shared" si="9"/>
        <v>80338119</v>
      </c>
      <c r="O26" s="79">
        <f t="shared" si="9"/>
        <v>93405999</v>
      </c>
      <c r="P26" s="80">
        <f t="shared" si="9"/>
        <v>80168000</v>
      </c>
      <c r="Q26" s="81">
        <f t="shared" si="9"/>
        <v>78507500</v>
      </c>
      <c r="R26" s="79">
        <f t="shared" si="9"/>
        <v>79160500</v>
      </c>
      <c r="S26" s="61">
        <f t="shared" si="9"/>
        <v>1026728308</v>
      </c>
      <c r="T26" s="145">
        <f t="shared" si="9"/>
        <v>1105473615</v>
      </c>
      <c r="U26" s="62">
        <f>S26/T26</f>
        <v>0.92876780962338934</v>
      </c>
      <c r="V26" s="61">
        <f>SUM(V18:V25)</f>
        <v>85560692.333333343</v>
      </c>
    </row>
    <row r="27" spans="1:22" x14ac:dyDescent="0.25">
      <c r="A27" s="25"/>
      <c r="B27" s="26"/>
      <c r="C27" s="27"/>
      <c r="D27" s="26"/>
      <c r="E27" s="28"/>
      <c r="F27" s="29"/>
      <c r="G27" s="30"/>
      <c r="H27" s="30"/>
      <c r="I27" s="30"/>
      <c r="J27" s="30"/>
      <c r="K27" s="30"/>
      <c r="L27" s="30"/>
      <c r="M27" s="30"/>
      <c r="N27" s="30"/>
      <c r="O27" s="30"/>
      <c r="P27" s="28"/>
      <c r="Q27" s="29"/>
      <c r="R27" s="26"/>
      <c r="S27" s="33"/>
      <c r="T27" s="33"/>
      <c r="U27" s="34"/>
      <c r="V27" s="33"/>
    </row>
    <row r="28" spans="1:22" x14ac:dyDescent="0.25">
      <c r="A28" s="35">
        <v>3</v>
      </c>
      <c r="B28" s="36" t="s">
        <v>23</v>
      </c>
      <c r="C28" s="37" t="s">
        <v>58</v>
      </c>
      <c r="D28" s="38" t="s">
        <v>59</v>
      </c>
      <c r="E28" s="39"/>
      <c r="F28" s="40" t="s">
        <v>26</v>
      </c>
      <c r="G28" s="41"/>
      <c r="H28" s="41"/>
      <c r="I28" s="41"/>
      <c r="J28" s="41"/>
      <c r="K28" s="41"/>
      <c r="L28" s="41"/>
      <c r="M28" s="41"/>
      <c r="N28" s="41"/>
      <c r="O28" s="41"/>
      <c r="P28" s="39"/>
      <c r="Q28" s="40"/>
      <c r="R28" s="36"/>
      <c r="S28" s="42"/>
      <c r="T28" s="139"/>
      <c r="U28" s="43"/>
      <c r="V28" s="42"/>
    </row>
    <row r="29" spans="1:22" x14ac:dyDescent="0.25">
      <c r="A29" s="35"/>
      <c r="B29" s="36" t="s">
        <v>27</v>
      </c>
      <c r="C29" s="37" t="s">
        <v>60</v>
      </c>
      <c r="D29" s="36"/>
      <c r="E29" s="39" t="s">
        <v>61</v>
      </c>
      <c r="F29" s="40" t="s">
        <v>30</v>
      </c>
      <c r="G29" s="44">
        <v>29274000</v>
      </c>
      <c r="H29" s="44">
        <v>22130000</v>
      </c>
      <c r="I29" s="44">
        <v>30557500</v>
      </c>
      <c r="J29" s="44">
        <v>25837142</v>
      </c>
      <c r="K29" s="44">
        <v>25260000</v>
      </c>
      <c r="L29" s="44">
        <v>30140000</v>
      </c>
      <c r="M29" s="44">
        <v>16985000</v>
      </c>
      <c r="N29" s="44">
        <v>20584500</v>
      </c>
      <c r="O29" s="44">
        <v>21697000</v>
      </c>
      <c r="P29" s="69">
        <v>23649000</v>
      </c>
      <c r="Q29" s="45">
        <v>21119000</v>
      </c>
      <c r="R29" s="46">
        <v>17954809</v>
      </c>
      <c r="S29" s="47">
        <f>SUM(G29:R29)</f>
        <v>285187951</v>
      </c>
      <c r="T29" s="141">
        <f>((((22689350+20265375+26542420+27750450+26064843+33882600+35319250+33148750)+26921200)+34496800)+25840500)+24717000</f>
        <v>337638538</v>
      </c>
      <c r="U29" s="43">
        <f t="shared" ref="U29:U36" si="10">S29/T29</f>
        <v>0.84465461996521263</v>
      </c>
      <c r="V29" s="48">
        <f t="shared" ref="V29:V36" si="11">S29/12</f>
        <v>23765662.583333332</v>
      </c>
    </row>
    <row r="30" spans="1:22" x14ac:dyDescent="0.25">
      <c r="A30" s="35"/>
      <c r="B30" s="36"/>
      <c r="C30" s="37" t="s">
        <v>62</v>
      </c>
      <c r="D30" s="36"/>
      <c r="E30" s="39" t="s">
        <v>63</v>
      </c>
      <c r="F30" s="40" t="s">
        <v>30</v>
      </c>
      <c r="G30" s="44">
        <v>25812000</v>
      </c>
      <c r="H30" s="44">
        <v>16775000</v>
      </c>
      <c r="I30" s="44">
        <v>18884000</v>
      </c>
      <c r="J30" s="44">
        <v>21717500</v>
      </c>
      <c r="K30" s="44">
        <v>17287500</v>
      </c>
      <c r="L30" s="44">
        <v>18786000</v>
      </c>
      <c r="M30" s="44">
        <v>14350000</v>
      </c>
      <c r="N30" s="44">
        <v>12450000</v>
      </c>
      <c r="O30" s="44">
        <v>12083500</v>
      </c>
      <c r="P30" s="69">
        <v>13662500</v>
      </c>
      <c r="Q30" s="45">
        <v>7632500</v>
      </c>
      <c r="R30" s="46">
        <v>10620642</v>
      </c>
      <c r="S30" s="47">
        <f>SUM(G30:R30)</f>
        <v>190061142</v>
      </c>
      <c r="T30" s="141">
        <f>((((24399150+21167300+21819975+22792350+31309075+24805875+27092625+25524225)+25104875)+28086430)+35787500)+34911000</f>
        <v>322800380</v>
      </c>
      <c r="U30" s="43">
        <f t="shared" si="10"/>
        <v>0.58878847044727767</v>
      </c>
      <c r="V30" s="48">
        <f t="shared" si="11"/>
        <v>15838428.5</v>
      </c>
    </row>
    <row r="31" spans="1:22" x14ac:dyDescent="0.25">
      <c r="A31" s="35"/>
      <c r="B31" s="36"/>
      <c r="C31" s="37" t="s">
        <v>64</v>
      </c>
      <c r="D31" s="36"/>
      <c r="E31" s="39" t="s">
        <v>65</v>
      </c>
      <c r="F31" s="40" t="s">
        <v>30</v>
      </c>
      <c r="G31" s="44">
        <v>15785833</v>
      </c>
      <c r="H31" s="44">
        <v>11803261</v>
      </c>
      <c r="I31" s="44">
        <v>10890569</v>
      </c>
      <c r="J31" s="44">
        <v>10339000</v>
      </c>
      <c r="K31" s="44">
        <v>7728785</v>
      </c>
      <c r="L31" s="44">
        <v>9871142</v>
      </c>
      <c r="M31" s="44">
        <v>9605000</v>
      </c>
      <c r="N31" s="44">
        <v>7669808</v>
      </c>
      <c r="O31" s="44">
        <v>7697551</v>
      </c>
      <c r="P31" s="69">
        <v>8797475</v>
      </c>
      <c r="Q31" s="45">
        <v>5123071</v>
      </c>
      <c r="R31" s="46">
        <v>3952379</v>
      </c>
      <c r="S31" s="47">
        <f t="shared" ref="S31:S36" si="12">SUM(G31:R31)</f>
        <v>109263874</v>
      </c>
      <c r="T31" s="141">
        <f>((((19076133+11581858+17451700+14835550+16552900+13749750+9368775+10360350)+11641600)+19647390)+21142933)+21098795</f>
        <v>186507734</v>
      </c>
      <c r="U31" s="43">
        <f t="shared" si="10"/>
        <v>0.58584098180078692</v>
      </c>
      <c r="V31" s="48">
        <f t="shared" si="11"/>
        <v>9105322.833333334</v>
      </c>
    </row>
    <row r="32" spans="1:22" x14ac:dyDescent="0.25">
      <c r="A32" s="35"/>
      <c r="B32" s="36"/>
      <c r="C32" s="37"/>
      <c r="D32" s="36"/>
      <c r="E32" s="39" t="s">
        <v>66</v>
      </c>
      <c r="F32" s="40"/>
      <c r="G32" s="44">
        <v>0</v>
      </c>
      <c r="H32" s="44">
        <v>3480000</v>
      </c>
      <c r="I32" s="44">
        <v>0</v>
      </c>
      <c r="J32" s="44">
        <v>0</v>
      </c>
      <c r="K32" s="44">
        <v>0</v>
      </c>
      <c r="L32" s="44">
        <v>0</v>
      </c>
      <c r="M32" s="44">
        <v>2700000</v>
      </c>
      <c r="N32" s="44">
        <v>0</v>
      </c>
      <c r="O32" s="44">
        <v>0</v>
      </c>
      <c r="P32" s="69">
        <v>0</v>
      </c>
      <c r="Q32" s="45">
        <v>200000</v>
      </c>
      <c r="R32" s="46">
        <v>0</v>
      </c>
      <c r="S32" s="47">
        <f t="shared" si="12"/>
        <v>6380000</v>
      </c>
      <c r="T32" s="141">
        <f>((((663400+0+2418200+0+0+1050000+0+1491000)+2247000)+1883200)+0)+0</f>
        <v>9752800</v>
      </c>
      <c r="U32" s="43">
        <f t="shared" si="10"/>
        <v>0.65417110983512428</v>
      </c>
      <c r="V32" s="48">
        <f t="shared" si="11"/>
        <v>531666.66666666663</v>
      </c>
    </row>
    <row r="33" spans="1:22" x14ac:dyDescent="0.25">
      <c r="A33" s="35"/>
      <c r="B33" s="36"/>
      <c r="C33" s="37"/>
      <c r="D33" s="36"/>
      <c r="E33" s="39" t="s">
        <v>67</v>
      </c>
      <c r="F33" s="40"/>
      <c r="G33" s="44">
        <v>22319000</v>
      </c>
      <c r="H33" s="44">
        <v>22897500</v>
      </c>
      <c r="I33" s="44">
        <v>15963595</v>
      </c>
      <c r="J33" s="44">
        <v>21179523</v>
      </c>
      <c r="K33" s="44">
        <v>22680570</v>
      </c>
      <c r="L33" s="44">
        <v>24533904</v>
      </c>
      <c r="M33" s="44">
        <v>23204142</v>
      </c>
      <c r="N33" s="44">
        <v>13175000</v>
      </c>
      <c r="O33" s="44">
        <v>14214785</v>
      </c>
      <c r="P33" s="69">
        <v>28009927</v>
      </c>
      <c r="Q33" s="45">
        <v>22165356</v>
      </c>
      <c r="R33" s="46">
        <v>20382139</v>
      </c>
      <c r="S33" s="47">
        <f t="shared" si="12"/>
        <v>250725441</v>
      </c>
      <c r="T33" s="143">
        <f>((((17233623+14070500+14300550+21680340+22487655+22938825+24408300+23869500)+20854300)+23128050)+22666358)+22717000</f>
        <v>250355001</v>
      </c>
      <c r="U33" s="43">
        <f t="shared" si="10"/>
        <v>1.001479658878474</v>
      </c>
      <c r="V33" s="48">
        <f t="shared" si="11"/>
        <v>20893786.75</v>
      </c>
    </row>
    <row r="34" spans="1:22" x14ac:dyDescent="0.25">
      <c r="A34" s="35"/>
      <c r="B34" s="36"/>
      <c r="C34" s="37"/>
      <c r="D34" s="36"/>
      <c r="E34" s="39" t="s">
        <v>68</v>
      </c>
      <c r="F34" s="40"/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250000</v>
      </c>
      <c r="M34" s="44">
        <v>0</v>
      </c>
      <c r="N34" s="44">
        <v>0</v>
      </c>
      <c r="O34" s="44">
        <v>0</v>
      </c>
      <c r="P34" s="69">
        <v>0</v>
      </c>
      <c r="Q34" s="45">
        <v>380000</v>
      </c>
      <c r="R34" s="46">
        <v>835000</v>
      </c>
      <c r="S34" s="47">
        <f t="shared" si="12"/>
        <v>1465000</v>
      </c>
      <c r="T34" s="141">
        <f>((((0+0+0+0+0+0+0)+0)+0)+0)+0</f>
        <v>0</v>
      </c>
      <c r="U34" s="43" t="e">
        <f t="shared" si="10"/>
        <v>#DIV/0!</v>
      </c>
      <c r="V34" s="48">
        <f t="shared" si="11"/>
        <v>122083.33333333333</v>
      </c>
    </row>
    <row r="35" spans="1:22" x14ac:dyDescent="0.25">
      <c r="A35" s="35"/>
      <c r="B35" s="36"/>
      <c r="C35" s="37"/>
      <c r="D35" s="36"/>
      <c r="E35" s="39" t="s">
        <v>69</v>
      </c>
      <c r="F35" s="40"/>
      <c r="G35" s="44">
        <v>1400000</v>
      </c>
      <c r="H35" s="44">
        <v>2478571</v>
      </c>
      <c r="I35" s="44">
        <v>0</v>
      </c>
      <c r="J35" s="44">
        <v>0</v>
      </c>
      <c r="K35" s="44">
        <v>1470000</v>
      </c>
      <c r="L35" s="44">
        <v>700000</v>
      </c>
      <c r="M35" s="44">
        <v>0</v>
      </c>
      <c r="N35" s="44">
        <v>1170000</v>
      </c>
      <c r="O35" s="44">
        <v>3475000</v>
      </c>
      <c r="P35" s="69">
        <v>3700000</v>
      </c>
      <c r="Q35" s="45">
        <v>5450000</v>
      </c>
      <c r="R35" s="46">
        <v>4000000</v>
      </c>
      <c r="S35" s="47">
        <f t="shared" si="12"/>
        <v>23843571</v>
      </c>
      <c r="T35" s="142">
        <f>((((8637040+5162750+2621500+3750350+1920650+3024000+3984750+2089500)+2605450)+2327250)+5617500)+5617500</f>
        <v>47358240</v>
      </c>
      <c r="U35" s="43">
        <f t="shared" si="10"/>
        <v>0.50347248968711678</v>
      </c>
      <c r="V35" s="48">
        <f t="shared" si="11"/>
        <v>1986964.25</v>
      </c>
    </row>
    <row r="36" spans="1:22" ht="15.75" thickBot="1" x14ac:dyDescent="0.3">
      <c r="A36" s="70"/>
      <c r="B36" s="71"/>
      <c r="C36" s="72"/>
      <c r="D36" s="71"/>
      <c r="E36" s="73" t="s">
        <v>70</v>
      </c>
      <c r="F36" s="74"/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6">
        <v>0</v>
      </c>
      <c r="Q36" s="77">
        <v>0</v>
      </c>
      <c r="R36" s="78">
        <v>0</v>
      </c>
      <c r="S36" s="47">
        <f t="shared" si="12"/>
        <v>0</v>
      </c>
      <c r="T36" s="146">
        <f>((((0+0+0+0+0+0+0+0)+0)+0)+0)+0</f>
        <v>0</v>
      </c>
      <c r="U36" s="43" t="e">
        <f t="shared" si="10"/>
        <v>#DIV/0!</v>
      </c>
      <c r="V36" s="48">
        <f t="shared" si="11"/>
        <v>0</v>
      </c>
    </row>
    <row r="37" spans="1:22" s="64" customFormat="1" ht="15.75" thickBot="1" x14ac:dyDescent="0.3">
      <c r="A37" s="54"/>
      <c r="B37" s="55"/>
      <c r="C37" s="56"/>
      <c r="D37" s="55"/>
      <c r="E37" s="57"/>
      <c r="F37" s="58"/>
      <c r="G37" s="80">
        <f t="shared" ref="G37:T37" si="13">SUM(G29:G36)</f>
        <v>94590833</v>
      </c>
      <c r="H37" s="80">
        <f t="shared" si="13"/>
        <v>79564332</v>
      </c>
      <c r="I37" s="80">
        <f t="shared" si="13"/>
        <v>76295664</v>
      </c>
      <c r="J37" s="80">
        <f t="shared" si="13"/>
        <v>79073165</v>
      </c>
      <c r="K37" s="80">
        <f t="shared" si="13"/>
        <v>74426855</v>
      </c>
      <c r="L37" s="80">
        <f t="shared" si="13"/>
        <v>84281046</v>
      </c>
      <c r="M37" s="80">
        <f t="shared" si="13"/>
        <v>66844142</v>
      </c>
      <c r="N37" s="80">
        <f t="shared" si="13"/>
        <v>55049308</v>
      </c>
      <c r="O37" s="80">
        <f t="shared" si="13"/>
        <v>59167836</v>
      </c>
      <c r="P37" s="80">
        <f t="shared" si="13"/>
        <v>77818902</v>
      </c>
      <c r="Q37" s="81">
        <f t="shared" si="13"/>
        <v>62069927</v>
      </c>
      <c r="R37" s="80">
        <f t="shared" si="13"/>
        <v>57744969</v>
      </c>
      <c r="S37" s="92">
        <f t="shared" si="13"/>
        <v>866926979</v>
      </c>
      <c r="T37" s="92">
        <f t="shared" si="13"/>
        <v>1154412693</v>
      </c>
      <c r="U37" s="62">
        <f>S37/T37</f>
        <v>0.75096798939995713</v>
      </c>
      <c r="V37" s="92">
        <f>SUM(V29:V36)</f>
        <v>72243914.916666657</v>
      </c>
    </row>
    <row r="38" spans="1:22" s="64" customFormat="1" ht="15.75" thickBot="1" x14ac:dyDescent="0.3">
      <c r="A38" s="93"/>
      <c r="B38" s="94"/>
      <c r="C38" s="95"/>
      <c r="D38" s="94"/>
      <c r="E38" s="96"/>
      <c r="F38" s="97"/>
      <c r="G38" s="98">
        <f t="shared" ref="G38:T38" si="14">G15+G26+G37</f>
        <v>239445833</v>
      </c>
      <c r="H38" s="98">
        <f t="shared" si="14"/>
        <v>218956522</v>
      </c>
      <c r="I38" s="98">
        <f t="shared" si="14"/>
        <v>229131164</v>
      </c>
      <c r="J38" s="98">
        <f t="shared" si="14"/>
        <v>222799165</v>
      </c>
      <c r="K38" s="98">
        <f t="shared" si="14"/>
        <v>209919855</v>
      </c>
      <c r="L38" s="98">
        <f t="shared" si="14"/>
        <v>206998546</v>
      </c>
      <c r="M38" s="98">
        <f t="shared" si="14"/>
        <v>184639932</v>
      </c>
      <c r="N38" s="98">
        <f t="shared" si="14"/>
        <v>178375927</v>
      </c>
      <c r="O38" s="98">
        <f t="shared" si="14"/>
        <v>197436335</v>
      </c>
      <c r="P38" s="98">
        <f t="shared" si="14"/>
        <v>194343702</v>
      </c>
      <c r="Q38" s="98">
        <f t="shared" si="14"/>
        <v>191855427</v>
      </c>
      <c r="R38" s="98">
        <f t="shared" si="14"/>
        <v>175337413</v>
      </c>
      <c r="S38" s="100">
        <f t="shared" si="14"/>
        <v>2449239821</v>
      </c>
      <c r="T38" s="100">
        <f t="shared" si="14"/>
        <v>3021006590</v>
      </c>
      <c r="U38" s="102">
        <f>S38/T38</f>
        <v>0.81073633838051307</v>
      </c>
      <c r="V38" s="98">
        <f>V15+V26+V37</f>
        <v>204103318.41666666</v>
      </c>
    </row>
    <row r="39" spans="1:22" x14ac:dyDescent="0.25">
      <c r="A39" s="25">
        <v>4</v>
      </c>
      <c r="B39" s="26" t="s">
        <v>23</v>
      </c>
      <c r="C39" s="27" t="s">
        <v>71</v>
      </c>
      <c r="D39" s="103" t="s">
        <v>72</v>
      </c>
      <c r="E39" s="28"/>
      <c r="F39" s="29" t="s">
        <v>30</v>
      </c>
      <c r="G39" s="30"/>
      <c r="H39" s="30"/>
      <c r="I39" s="30"/>
      <c r="J39" s="30"/>
      <c r="K39" s="30"/>
      <c r="L39" s="30"/>
      <c r="M39" s="30"/>
      <c r="N39" s="30"/>
      <c r="O39" s="30"/>
      <c r="P39" s="28"/>
      <c r="Q39" s="29"/>
      <c r="R39" s="26"/>
      <c r="S39" s="33"/>
      <c r="T39" s="147"/>
      <c r="U39" s="34"/>
      <c r="V39" s="33"/>
    </row>
    <row r="40" spans="1:22" x14ac:dyDescent="0.25">
      <c r="A40" s="35"/>
      <c r="B40" s="36"/>
      <c r="C40" s="37" t="s">
        <v>73</v>
      </c>
      <c r="D40" s="36"/>
      <c r="E40" s="39" t="s">
        <v>74</v>
      </c>
      <c r="F40" s="40"/>
      <c r="G40" s="44">
        <v>140000</v>
      </c>
      <c r="H40" s="44">
        <v>130000</v>
      </c>
      <c r="I40" s="44">
        <v>150000</v>
      </c>
      <c r="J40" s="44">
        <v>270000</v>
      </c>
      <c r="K40" s="44">
        <v>135000</v>
      </c>
      <c r="L40" s="44">
        <v>230000</v>
      </c>
      <c r="M40" s="44">
        <v>50000</v>
      </c>
      <c r="N40" s="44">
        <v>15000</v>
      </c>
      <c r="O40" s="44">
        <v>255000</v>
      </c>
      <c r="P40" s="69">
        <v>590000</v>
      </c>
      <c r="Q40" s="45">
        <v>85000</v>
      </c>
      <c r="R40" s="46">
        <v>260000</v>
      </c>
      <c r="S40" s="47">
        <f t="shared" ref="S40:S43" si="15">SUM(G40:R40)</f>
        <v>2310000</v>
      </c>
      <c r="T40" s="142">
        <f>((((176000+607750+770000+0+436700+110000+231000+134200)+451000)+231000)+231000)+231000</f>
        <v>3609650</v>
      </c>
      <c r="U40" s="43">
        <f t="shared" ref="U40:U43" si="16">S40/T40</f>
        <v>0.63995124181014784</v>
      </c>
      <c r="V40" s="48">
        <f t="shared" ref="V40:V43" si="17">S40/12</f>
        <v>192500</v>
      </c>
    </row>
    <row r="41" spans="1:22" x14ac:dyDescent="0.25">
      <c r="A41" s="35"/>
      <c r="B41" s="36"/>
      <c r="C41" s="37"/>
      <c r="D41" s="36"/>
      <c r="E41" s="39" t="s">
        <v>75</v>
      </c>
      <c r="F41" s="40"/>
      <c r="G41" s="44">
        <v>8515500</v>
      </c>
      <c r="H41" s="44">
        <v>7392000</v>
      </c>
      <c r="I41" s="44">
        <v>12093000</v>
      </c>
      <c r="J41" s="44">
        <v>7674000</v>
      </c>
      <c r="K41" s="44">
        <v>6800000</v>
      </c>
      <c r="L41" s="44">
        <v>7807500</v>
      </c>
      <c r="M41" s="44">
        <v>7931000</v>
      </c>
      <c r="N41" s="44">
        <v>9842000</v>
      </c>
      <c r="O41" s="44">
        <v>11936000</v>
      </c>
      <c r="P41" s="69">
        <v>10092500</v>
      </c>
      <c r="Q41" s="45">
        <v>3559000</v>
      </c>
      <c r="R41" s="46">
        <v>3969500</v>
      </c>
      <c r="S41" s="47">
        <f>SUM(G41:R41)</f>
        <v>97612000</v>
      </c>
      <c r="T41" s="142">
        <f>((((13202750+15821300+11401500+13512499+13549800+14401200+10903750+12261700)+26644750)+19981500)+19981500)+19981500</f>
        <v>191643749</v>
      </c>
      <c r="U41" s="43">
        <f t="shared" si="16"/>
        <v>0.50934090211311822</v>
      </c>
      <c r="V41" s="48">
        <f t="shared" si="17"/>
        <v>8134333.333333333</v>
      </c>
    </row>
    <row r="42" spans="1:22" x14ac:dyDescent="0.25">
      <c r="A42" s="35"/>
      <c r="B42" s="36"/>
      <c r="C42" s="37"/>
      <c r="D42" s="36"/>
      <c r="E42" s="39" t="s">
        <v>76</v>
      </c>
      <c r="F42" s="40"/>
      <c r="G42" s="44">
        <v>7691500</v>
      </c>
      <c r="H42" s="44">
        <v>7839000</v>
      </c>
      <c r="I42" s="44">
        <v>8395000</v>
      </c>
      <c r="J42" s="44">
        <v>5822500</v>
      </c>
      <c r="K42" s="44">
        <v>7777000</v>
      </c>
      <c r="L42" s="44">
        <v>5571000</v>
      </c>
      <c r="M42" s="44">
        <v>5870000</v>
      </c>
      <c r="N42" s="44">
        <v>9128500</v>
      </c>
      <c r="O42" s="44">
        <v>11333000</v>
      </c>
      <c r="P42" s="69">
        <v>12895000</v>
      </c>
      <c r="Q42" s="45">
        <v>6994000</v>
      </c>
      <c r="R42" s="46">
        <v>3903000</v>
      </c>
      <c r="S42" s="47">
        <f>SUM(G42:R42)</f>
        <v>93219500</v>
      </c>
      <c r="T42" s="143">
        <f>((((10235702+10425593+10359735+7969240+10182928+12037591+12317262+10652694)+17563586)+20487208)+20487208)+20487207.7608699</f>
        <v>163205954.76086989</v>
      </c>
      <c r="U42" s="43">
        <f t="shared" si="16"/>
        <v>0.57117707584006749</v>
      </c>
      <c r="V42" s="48">
        <f t="shared" si="17"/>
        <v>7768291.666666667</v>
      </c>
    </row>
    <row r="43" spans="1:22" ht="15.75" thickBot="1" x14ac:dyDescent="0.3">
      <c r="A43" s="70"/>
      <c r="B43" s="71"/>
      <c r="C43" s="72"/>
      <c r="D43" s="71"/>
      <c r="E43" s="73" t="s">
        <v>77</v>
      </c>
      <c r="F43" s="74"/>
      <c r="G43" s="75">
        <v>4929000</v>
      </c>
      <c r="H43" s="75">
        <v>6326000</v>
      </c>
      <c r="I43" s="75">
        <v>11059000</v>
      </c>
      <c r="J43" s="75">
        <v>10638000</v>
      </c>
      <c r="K43" s="75">
        <v>8140500</v>
      </c>
      <c r="L43" s="75">
        <v>9073500</v>
      </c>
      <c r="M43" s="75">
        <v>10412900</v>
      </c>
      <c r="N43" s="75">
        <v>11715000</v>
      </c>
      <c r="O43" s="75">
        <v>9551000</v>
      </c>
      <c r="P43" s="76">
        <v>5821000</v>
      </c>
      <c r="Q43" s="77">
        <v>5041000</v>
      </c>
      <c r="R43" s="78">
        <v>3741000</v>
      </c>
      <c r="S43" s="47">
        <f t="shared" si="15"/>
        <v>96447900</v>
      </c>
      <c r="T43" s="144">
        <f>((((5766402+11363787+12095535+11306640+14609328+14985041+15797113+15058744)+18199936)+14909658)+14909658)+14909657.7608699</f>
        <v>163911499.76086989</v>
      </c>
      <c r="U43" s="43">
        <f t="shared" si="16"/>
        <v>0.58841448062343171</v>
      </c>
      <c r="V43" s="48">
        <f t="shared" si="17"/>
        <v>8037325</v>
      </c>
    </row>
    <row r="44" spans="1:22" s="64" customFormat="1" ht="15.75" thickBot="1" x14ac:dyDescent="0.3">
      <c r="A44" s="54"/>
      <c r="B44" s="55"/>
      <c r="C44" s="56"/>
      <c r="D44" s="55"/>
      <c r="E44" s="57"/>
      <c r="F44" s="58"/>
      <c r="G44" s="80">
        <f t="shared" ref="G44:S44" si="18">SUM(G40:G43)</f>
        <v>21276000</v>
      </c>
      <c r="H44" s="80">
        <f t="shared" ref="H44:R44" si="19">SUM(H40:H43)</f>
        <v>21687000</v>
      </c>
      <c r="I44" s="80">
        <f t="shared" si="19"/>
        <v>31697000</v>
      </c>
      <c r="J44" s="80">
        <f t="shared" si="19"/>
        <v>24404500</v>
      </c>
      <c r="K44" s="80">
        <f t="shared" si="19"/>
        <v>22852500</v>
      </c>
      <c r="L44" s="80">
        <f t="shared" si="19"/>
        <v>22682000</v>
      </c>
      <c r="M44" s="80">
        <f t="shared" si="19"/>
        <v>24263900</v>
      </c>
      <c r="N44" s="80">
        <f t="shared" si="19"/>
        <v>30700500</v>
      </c>
      <c r="O44" s="80">
        <f t="shared" si="19"/>
        <v>33075000</v>
      </c>
      <c r="P44" s="80">
        <f t="shared" si="19"/>
        <v>29398500</v>
      </c>
      <c r="Q44" s="81">
        <f t="shared" si="19"/>
        <v>15679000</v>
      </c>
      <c r="R44" s="80">
        <f t="shared" si="19"/>
        <v>11873500</v>
      </c>
      <c r="S44" s="61">
        <f t="shared" si="18"/>
        <v>289589400</v>
      </c>
      <c r="T44" s="61">
        <f>SUM(T40:T43)</f>
        <v>522370853.52173972</v>
      </c>
      <c r="U44" s="62">
        <f>S44/T44</f>
        <v>0.55437511118324301</v>
      </c>
      <c r="V44" s="61">
        <f>SUM(V40:V43)</f>
        <v>24132450</v>
      </c>
    </row>
    <row r="45" spans="1:22" x14ac:dyDescent="0.25">
      <c r="A45" s="25"/>
      <c r="B45" s="26"/>
      <c r="C45" s="27"/>
      <c r="D45" s="26"/>
      <c r="E45" s="28"/>
      <c r="F45" s="29"/>
      <c r="G45" s="30"/>
      <c r="H45" s="30"/>
      <c r="I45" s="30"/>
      <c r="J45" s="30"/>
      <c r="K45" s="30"/>
      <c r="L45" s="30"/>
      <c r="M45" s="30"/>
      <c r="N45" s="30"/>
      <c r="O45" s="30"/>
      <c r="P45" s="28"/>
      <c r="Q45" s="29"/>
      <c r="R45" s="26"/>
      <c r="S45" s="33"/>
      <c r="T45" s="33"/>
      <c r="U45" s="34"/>
      <c r="V45" s="33"/>
    </row>
    <row r="46" spans="1:22" x14ac:dyDescent="0.25">
      <c r="A46" s="35">
        <v>5</v>
      </c>
      <c r="B46" s="36" t="s">
        <v>23</v>
      </c>
      <c r="C46" s="37" t="s">
        <v>78</v>
      </c>
      <c r="D46" s="38" t="s">
        <v>72</v>
      </c>
      <c r="E46" s="39"/>
      <c r="F46" s="40" t="s">
        <v>30</v>
      </c>
      <c r="G46" s="41"/>
      <c r="H46" s="41"/>
      <c r="I46" s="41"/>
      <c r="J46" s="41"/>
      <c r="K46" s="41"/>
      <c r="L46" s="41"/>
      <c r="M46" s="41"/>
      <c r="N46" s="41"/>
      <c r="O46" s="41"/>
      <c r="P46" s="39"/>
      <c r="Q46" s="40"/>
      <c r="R46" s="36"/>
      <c r="S46" s="42"/>
      <c r="T46" s="139"/>
      <c r="U46" s="43"/>
      <c r="V46" s="42"/>
    </row>
    <row r="47" spans="1:22" x14ac:dyDescent="0.25">
      <c r="A47" s="35"/>
      <c r="B47" s="36"/>
      <c r="C47" s="37" t="s">
        <v>79</v>
      </c>
      <c r="D47" s="36"/>
      <c r="E47" s="39" t="s">
        <v>80</v>
      </c>
      <c r="F47" s="40"/>
      <c r="G47" s="44">
        <v>25824500</v>
      </c>
      <c r="H47" s="44">
        <v>25152000</v>
      </c>
      <c r="I47" s="44">
        <v>31261000</v>
      </c>
      <c r="J47" s="44">
        <v>24864475</v>
      </c>
      <c r="K47" s="44">
        <v>17395000</v>
      </c>
      <c r="L47" s="44">
        <v>15879000</v>
      </c>
      <c r="M47" s="44">
        <v>17907000</v>
      </c>
      <c r="N47" s="44">
        <v>23326000</v>
      </c>
      <c r="O47" s="44">
        <v>34090000</v>
      </c>
      <c r="P47" s="69">
        <v>28494000</v>
      </c>
      <c r="Q47" s="45">
        <v>22622000</v>
      </c>
      <c r="R47" s="46">
        <v>24016000</v>
      </c>
      <c r="S47" s="47">
        <f t="shared" ref="S47:S50" si="20">SUM(G47:R47)</f>
        <v>290830975</v>
      </c>
      <c r="T47" s="141">
        <f>((((30796754+35300409+32020784+29517800+15928414+33511437+27649830+28769351)+27703319)+37057094)+37057094)+37057094.347828</f>
        <v>372369380.34782803</v>
      </c>
      <c r="U47" s="43">
        <f t="shared" ref="U47:U50" si="21">S47/T47</f>
        <v>0.78102816812793929</v>
      </c>
      <c r="V47" s="48">
        <f t="shared" ref="V47:V50" si="22">S47/12</f>
        <v>24235914.583333332</v>
      </c>
    </row>
    <row r="48" spans="1:22" x14ac:dyDescent="0.25">
      <c r="A48" s="35"/>
      <c r="B48" s="36"/>
      <c r="C48" s="37"/>
      <c r="D48" s="36"/>
      <c r="E48" s="39" t="s">
        <v>81</v>
      </c>
      <c r="F48" s="40"/>
      <c r="G48" s="44">
        <v>43357000</v>
      </c>
      <c r="H48" s="44">
        <v>40166000</v>
      </c>
      <c r="I48" s="44">
        <v>44169000</v>
      </c>
      <c r="J48" s="44">
        <v>41274000</v>
      </c>
      <c r="K48" s="44">
        <v>31670500</v>
      </c>
      <c r="L48" s="44">
        <v>32041000</v>
      </c>
      <c r="M48" s="44">
        <v>29684000</v>
      </c>
      <c r="N48" s="44">
        <v>40554500</v>
      </c>
      <c r="O48" s="44">
        <v>42788500</v>
      </c>
      <c r="P48" s="69">
        <v>42166000</v>
      </c>
      <c r="Q48" s="45">
        <v>33284000</v>
      </c>
      <c r="R48" s="46">
        <v>33434000</v>
      </c>
      <c r="S48" s="47">
        <f>SUM(G48:R48)</f>
        <v>454588500</v>
      </c>
      <c r="T48" s="141">
        <f>((((40923091+34568909+44285234+39420000+28681920+44115987+43705980+45878751)+49608719)+55532144)+55532144)+55532144.347828</f>
        <v>537785023.34782803</v>
      </c>
      <c r="U48" s="43">
        <f t="shared" si="21"/>
        <v>0.84529780537600008</v>
      </c>
      <c r="V48" s="48">
        <f t="shared" si="22"/>
        <v>37882375</v>
      </c>
    </row>
    <row r="49" spans="1:22" x14ac:dyDescent="0.25">
      <c r="A49" s="35"/>
      <c r="B49" s="36"/>
      <c r="C49" s="37"/>
      <c r="D49" s="36"/>
      <c r="E49" s="39" t="s">
        <v>82</v>
      </c>
      <c r="F49" s="40"/>
      <c r="G49" s="44">
        <v>87000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69">
        <v>0</v>
      </c>
      <c r="Q49" s="45">
        <v>0</v>
      </c>
      <c r="R49" s="46">
        <v>0</v>
      </c>
      <c r="S49" s="47">
        <f t="shared" si="20"/>
        <v>87000</v>
      </c>
      <c r="T49" s="143">
        <f>((((0+0+0+0+0+82500+110000+0)+0)+0)+0)+0</f>
        <v>192500</v>
      </c>
      <c r="U49" s="43">
        <f t="shared" si="21"/>
        <v>0.45194805194805193</v>
      </c>
      <c r="V49" s="48">
        <f t="shared" si="22"/>
        <v>7250</v>
      </c>
    </row>
    <row r="50" spans="1:22" ht="15.75" thickBot="1" x14ac:dyDescent="0.3">
      <c r="A50" s="35"/>
      <c r="B50" s="36"/>
      <c r="C50" s="37"/>
      <c r="D50" s="36"/>
      <c r="E50" s="73" t="s">
        <v>83</v>
      </c>
      <c r="F50" s="40"/>
      <c r="G50" s="44">
        <v>3800000</v>
      </c>
      <c r="H50" s="44">
        <v>3143000</v>
      </c>
      <c r="I50" s="44">
        <v>2930000</v>
      </c>
      <c r="J50" s="44">
        <v>765000</v>
      </c>
      <c r="K50" s="44">
        <v>3200000</v>
      </c>
      <c r="L50" s="44">
        <v>1220000</v>
      </c>
      <c r="M50" s="44">
        <v>2815000</v>
      </c>
      <c r="N50" s="44">
        <v>4655000</v>
      </c>
      <c r="O50" s="44">
        <v>6300000</v>
      </c>
      <c r="P50" s="69">
        <v>5270000</v>
      </c>
      <c r="Q50" s="45">
        <v>2520000</v>
      </c>
      <c r="R50" s="46">
        <v>2390000</v>
      </c>
      <c r="S50" s="47">
        <f t="shared" si="20"/>
        <v>39008000</v>
      </c>
      <c r="T50" s="144">
        <f>((((8123497+2751394+5095773+2513120+1088253+4439536+4145439+8164138)+3305088)+10655607)+10655607)+10655606.6521742</f>
        <v>71593058.652174205</v>
      </c>
      <c r="U50" s="43">
        <f t="shared" si="21"/>
        <v>0.54485729111694226</v>
      </c>
      <c r="V50" s="48">
        <f t="shared" si="22"/>
        <v>3250666.6666666665</v>
      </c>
    </row>
    <row r="51" spans="1:22" s="64" customFormat="1" ht="15.75" thickBot="1" x14ac:dyDescent="0.3">
      <c r="A51" s="54"/>
      <c r="B51" s="55"/>
      <c r="C51" s="56"/>
      <c r="D51" s="55"/>
      <c r="E51" s="57"/>
      <c r="F51" s="58"/>
      <c r="G51" s="80">
        <f>SUM(G47:G50)</f>
        <v>73068500</v>
      </c>
      <c r="H51" s="80">
        <f t="shared" ref="H51:S51" si="23">SUM(H47:H50)</f>
        <v>68461000</v>
      </c>
      <c r="I51" s="80">
        <f t="shared" si="23"/>
        <v>78360000</v>
      </c>
      <c r="J51" s="80">
        <f t="shared" si="23"/>
        <v>66903475</v>
      </c>
      <c r="K51" s="80">
        <f t="shared" si="23"/>
        <v>52265500</v>
      </c>
      <c r="L51" s="80">
        <f t="shared" si="23"/>
        <v>49140000</v>
      </c>
      <c r="M51" s="80">
        <f t="shared" si="23"/>
        <v>50406000</v>
      </c>
      <c r="N51" s="80">
        <f t="shared" si="23"/>
        <v>68535500</v>
      </c>
      <c r="O51" s="80">
        <f t="shared" si="23"/>
        <v>83178500</v>
      </c>
      <c r="P51" s="80">
        <f t="shared" si="23"/>
        <v>75930000</v>
      </c>
      <c r="Q51" s="81">
        <f t="shared" si="23"/>
        <v>58426000</v>
      </c>
      <c r="R51" s="80">
        <f t="shared" si="23"/>
        <v>59840000</v>
      </c>
      <c r="S51" s="104">
        <f t="shared" si="23"/>
        <v>784514475</v>
      </c>
      <c r="T51" s="80">
        <f>SUM(T47:T50)</f>
        <v>981939962.3478303</v>
      </c>
      <c r="U51" s="62">
        <f>S51/T51</f>
        <v>0.79894342330687551</v>
      </c>
      <c r="V51" s="80">
        <f>SUM(V47:V50)</f>
        <v>65376206.249999993</v>
      </c>
    </row>
    <row r="52" spans="1:22" x14ac:dyDescent="0.25">
      <c r="A52" s="25"/>
      <c r="B52" s="26"/>
      <c r="C52" s="27"/>
      <c r="D52" s="26"/>
      <c r="E52" s="28"/>
      <c r="F52" s="29"/>
      <c r="G52" s="49"/>
      <c r="H52" s="49"/>
      <c r="I52" s="49"/>
      <c r="J52" s="49"/>
      <c r="K52" s="49"/>
      <c r="L52" s="49"/>
      <c r="M52" s="49"/>
      <c r="N52" s="49"/>
      <c r="O52" s="49"/>
      <c r="P52" s="82"/>
      <c r="Q52" s="83"/>
      <c r="R52" s="84"/>
      <c r="S52" s="33"/>
      <c r="T52" s="33"/>
      <c r="U52" s="34"/>
      <c r="V52" s="33"/>
    </row>
    <row r="53" spans="1:22" x14ac:dyDescent="0.25">
      <c r="A53" s="35">
        <v>6</v>
      </c>
      <c r="B53" s="36" t="s">
        <v>23</v>
      </c>
      <c r="C53" s="37" t="s">
        <v>78</v>
      </c>
      <c r="D53" s="38" t="s">
        <v>51</v>
      </c>
      <c r="E53" s="39"/>
      <c r="F53" s="85" t="s">
        <v>26</v>
      </c>
      <c r="G53" s="41"/>
      <c r="H53" s="41"/>
      <c r="I53" s="41"/>
      <c r="J53" s="41"/>
      <c r="K53" s="41"/>
      <c r="L53" s="41"/>
      <c r="M53" s="41"/>
      <c r="N53" s="41"/>
      <c r="O53" s="41"/>
      <c r="P53" s="39"/>
      <c r="Q53" s="40"/>
      <c r="R53" s="36"/>
      <c r="S53" s="42"/>
      <c r="T53" s="139"/>
      <c r="U53" s="43"/>
      <c r="V53" s="42"/>
    </row>
    <row r="54" spans="1:22" x14ac:dyDescent="0.25">
      <c r="A54" s="35"/>
      <c r="B54" s="36" t="s">
        <v>27</v>
      </c>
      <c r="C54" s="37" t="s">
        <v>52</v>
      </c>
      <c r="D54" s="36"/>
      <c r="E54" s="39" t="s">
        <v>53</v>
      </c>
      <c r="F54" s="40" t="s">
        <v>30</v>
      </c>
      <c r="G54" s="44">
        <v>8355500</v>
      </c>
      <c r="H54" s="44">
        <v>7370000</v>
      </c>
      <c r="I54" s="44">
        <v>6901000</v>
      </c>
      <c r="J54" s="44">
        <v>6121000</v>
      </c>
      <c r="K54" s="44">
        <v>5023000</v>
      </c>
      <c r="L54" s="44">
        <v>3703000</v>
      </c>
      <c r="M54" s="44">
        <v>3838000</v>
      </c>
      <c r="N54" s="44">
        <v>5721000</v>
      </c>
      <c r="O54" s="44">
        <v>5382000</v>
      </c>
      <c r="P54" s="69">
        <v>6883500</v>
      </c>
      <c r="Q54" s="45">
        <v>6142000</v>
      </c>
      <c r="R54" s="46">
        <v>6523000</v>
      </c>
      <c r="S54" s="47">
        <f t="shared" ref="S54:S58" si="24">SUM(G54:R54)</f>
        <v>71963000</v>
      </c>
      <c r="T54" s="141">
        <f>((((9413800+10582000+11874500+10195900+8582200+9407220+9661300+8206000)+6058250)+12139600)+10550000)+10550000</f>
        <v>117220770</v>
      </c>
      <c r="U54" s="43">
        <f>S54/T54</f>
        <v>0.61390997516907631</v>
      </c>
      <c r="V54" s="48">
        <f t="shared" ref="V54:V58" si="25">S54/12</f>
        <v>5996916.666666667</v>
      </c>
    </row>
    <row r="55" spans="1:22" x14ac:dyDescent="0.25">
      <c r="A55" s="35"/>
      <c r="B55" s="36"/>
      <c r="C55" s="37" t="s">
        <v>79</v>
      </c>
      <c r="D55" s="36"/>
      <c r="E55" s="39" t="s">
        <v>54</v>
      </c>
      <c r="F55" s="40"/>
      <c r="G55" s="44">
        <v>17856000</v>
      </c>
      <c r="H55" s="44">
        <v>15130800</v>
      </c>
      <c r="I55" s="44">
        <v>19582000</v>
      </c>
      <c r="J55" s="44">
        <v>5823500</v>
      </c>
      <c r="K55" s="44">
        <v>8517500</v>
      </c>
      <c r="L55" s="44">
        <v>5963000</v>
      </c>
      <c r="M55" s="44">
        <v>5647000</v>
      </c>
      <c r="N55" s="44">
        <v>12973000</v>
      </c>
      <c r="O55" s="44">
        <v>14042500</v>
      </c>
      <c r="P55" s="69">
        <v>16244000</v>
      </c>
      <c r="Q55" s="45">
        <v>10916000</v>
      </c>
      <c r="R55" s="46">
        <v>9386400</v>
      </c>
      <c r="S55" s="47">
        <f t="shared" si="24"/>
        <v>142081700</v>
      </c>
      <c r="T55" s="141">
        <f>((((20640900+18937600+24816000+17487800+17822800+15188800+13316600+13163150)+16843090)+15748500)+15565000)+13255000</f>
        <v>202785240</v>
      </c>
      <c r="U55" s="43">
        <f t="shared" ref="U55:U58" si="26">S55/T55</f>
        <v>0.70065109275211546</v>
      </c>
      <c r="V55" s="48">
        <f t="shared" si="25"/>
        <v>11840141.666666666</v>
      </c>
    </row>
    <row r="56" spans="1:22" x14ac:dyDescent="0.25">
      <c r="A56" s="35"/>
      <c r="B56" s="36"/>
      <c r="C56" s="37"/>
      <c r="D56" s="36"/>
      <c r="E56" s="39" t="s">
        <v>55</v>
      </c>
      <c r="F56" s="40"/>
      <c r="G56" s="44">
        <v>3798000</v>
      </c>
      <c r="H56" s="44">
        <v>5232000</v>
      </c>
      <c r="I56" s="44">
        <v>3885000</v>
      </c>
      <c r="J56" s="44">
        <v>4076000</v>
      </c>
      <c r="K56" s="44">
        <v>2462000</v>
      </c>
      <c r="L56" s="44">
        <v>3170000</v>
      </c>
      <c r="M56" s="44">
        <v>3080000</v>
      </c>
      <c r="N56" s="44">
        <v>3667000</v>
      </c>
      <c r="O56" s="44">
        <v>2396000</v>
      </c>
      <c r="P56" s="69">
        <v>3839000</v>
      </c>
      <c r="Q56" s="45">
        <v>4337000</v>
      </c>
      <c r="R56" s="46">
        <v>2690500</v>
      </c>
      <c r="S56" s="47">
        <f>SUM(G56:R56)</f>
        <v>42632500</v>
      </c>
      <c r="T56" s="142">
        <f>((((3038750+1682780+3294500+2152150+2127400+2664200+2030600+3322000)+4395600)+4129400)+2310000)+2656500</f>
        <v>33803880</v>
      </c>
      <c r="U56" s="43">
        <f t="shared" si="26"/>
        <v>1.2611717944803968</v>
      </c>
      <c r="V56" s="48">
        <f t="shared" si="25"/>
        <v>3552708.3333333335</v>
      </c>
    </row>
    <row r="57" spans="1:22" x14ac:dyDescent="0.25">
      <c r="A57" s="70"/>
      <c r="B57" s="71"/>
      <c r="C57" s="72"/>
      <c r="D57" s="71"/>
      <c r="E57" s="73" t="s">
        <v>56</v>
      </c>
      <c r="F57" s="74"/>
      <c r="G57" s="75">
        <v>4264000</v>
      </c>
      <c r="H57" s="75">
        <v>4573000</v>
      </c>
      <c r="I57" s="75">
        <v>4472000</v>
      </c>
      <c r="J57" s="75">
        <v>2447500</v>
      </c>
      <c r="K57" s="75">
        <v>3497000</v>
      </c>
      <c r="L57" s="75">
        <v>1761000</v>
      </c>
      <c r="M57" s="75">
        <v>2994000</v>
      </c>
      <c r="N57" s="75">
        <v>3530000</v>
      </c>
      <c r="O57" s="75">
        <v>4687500</v>
      </c>
      <c r="P57" s="76">
        <v>4634000</v>
      </c>
      <c r="Q57" s="77">
        <v>3623500</v>
      </c>
      <c r="R57" s="78">
        <v>3476000</v>
      </c>
      <c r="S57" s="47">
        <f t="shared" si="24"/>
        <v>43959500</v>
      </c>
      <c r="T57" s="142">
        <f>((((2899600+3154800+5454350+2724700+2997500+3184500+2755500+4170100)+4110700)+4121700)+3465000)+3465000</f>
        <v>42503450</v>
      </c>
      <c r="U57" s="43">
        <f t="shared" si="26"/>
        <v>1.0342572191198596</v>
      </c>
      <c r="V57" s="48">
        <f t="shared" si="25"/>
        <v>3663291.6666666665</v>
      </c>
    </row>
    <row r="58" spans="1:22" ht="15.75" thickBot="1" x14ac:dyDescent="0.3">
      <c r="A58" s="70"/>
      <c r="B58" s="71"/>
      <c r="C58" s="72"/>
      <c r="D58" s="71"/>
      <c r="E58" s="73" t="s">
        <v>57</v>
      </c>
      <c r="F58" s="74"/>
      <c r="G58" s="86">
        <v>1110000</v>
      </c>
      <c r="H58" s="86">
        <v>1262500</v>
      </c>
      <c r="I58" s="86">
        <v>390000</v>
      </c>
      <c r="J58" s="86">
        <v>50000</v>
      </c>
      <c r="K58" s="86">
        <v>1365000</v>
      </c>
      <c r="L58" s="86">
        <v>1161000</v>
      </c>
      <c r="M58" s="86">
        <v>1370000</v>
      </c>
      <c r="N58" s="86">
        <v>730000</v>
      </c>
      <c r="O58" s="86">
        <v>1090000</v>
      </c>
      <c r="P58" s="87">
        <v>4460000</v>
      </c>
      <c r="Q58" s="88">
        <v>4480000</v>
      </c>
      <c r="R58" s="89">
        <v>3385000</v>
      </c>
      <c r="S58" s="47">
        <f t="shared" si="24"/>
        <v>20853500</v>
      </c>
      <c r="T58" s="146">
        <f>((((550000+880000+363000+121000+0+0+242000+907500)+621500)+462000)+1155000)+1039500</f>
        <v>6341500</v>
      </c>
      <c r="U58" s="43">
        <f t="shared" si="26"/>
        <v>3.2884175668217299</v>
      </c>
      <c r="V58" s="48">
        <f t="shared" si="25"/>
        <v>1737791.6666666667</v>
      </c>
    </row>
    <row r="59" spans="1:22" s="64" customFormat="1" ht="15.75" thickBot="1" x14ac:dyDescent="0.3">
      <c r="A59" s="54"/>
      <c r="B59" s="55"/>
      <c r="C59" s="56"/>
      <c r="D59" s="55"/>
      <c r="E59" s="57"/>
      <c r="F59" s="58"/>
      <c r="G59" s="90">
        <f t="shared" ref="G59" si="27">SUM(G54:G58)</f>
        <v>35383500</v>
      </c>
      <c r="H59" s="90">
        <f t="shared" ref="H59:Q59" si="28">SUM(H54:H58)</f>
        <v>33568300</v>
      </c>
      <c r="I59" s="90">
        <f t="shared" si="28"/>
        <v>35230000</v>
      </c>
      <c r="J59" s="90">
        <f t="shared" si="28"/>
        <v>18518000</v>
      </c>
      <c r="K59" s="90">
        <f t="shared" si="28"/>
        <v>20864500</v>
      </c>
      <c r="L59" s="90">
        <f t="shared" si="28"/>
        <v>15758000</v>
      </c>
      <c r="M59" s="90">
        <f t="shared" si="28"/>
        <v>16929000</v>
      </c>
      <c r="N59" s="90">
        <f t="shared" si="28"/>
        <v>26621000</v>
      </c>
      <c r="O59" s="90">
        <f t="shared" si="28"/>
        <v>27598000</v>
      </c>
      <c r="P59" s="90">
        <f t="shared" si="28"/>
        <v>36060500</v>
      </c>
      <c r="Q59" s="91">
        <f t="shared" si="28"/>
        <v>29498500</v>
      </c>
      <c r="R59" s="90">
        <f>SUM(R54:R58)</f>
        <v>25460900</v>
      </c>
      <c r="S59" s="61">
        <f t="shared" ref="S59:T59" si="29">SUM(S54:S58)</f>
        <v>321490200</v>
      </c>
      <c r="T59" s="61">
        <f t="shared" si="29"/>
        <v>402654840</v>
      </c>
      <c r="U59" s="62">
        <f>S59/T59</f>
        <v>0.79842626503632741</v>
      </c>
      <c r="V59" s="61">
        <f>SUM(V54:V58)</f>
        <v>26790850</v>
      </c>
    </row>
    <row r="60" spans="1:22" s="64" customFormat="1" ht="15.75" thickBot="1" x14ac:dyDescent="0.3">
      <c r="A60" s="93"/>
      <c r="B60" s="94"/>
      <c r="C60" s="95"/>
      <c r="D60" s="94"/>
      <c r="E60" s="96"/>
      <c r="F60" s="97"/>
      <c r="G60" s="98">
        <f>G44+G51+G59</f>
        <v>129728000</v>
      </c>
      <c r="H60" s="98">
        <f t="shared" ref="H60:P60" si="30">H44+H51+H59</f>
        <v>123716300</v>
      </c>
      <c r="I60" s="98">
        <f t="shared" si="30"/>
        <v>145287000</v>
      </c>
      <c r="J60" s="98">
        <f t="shared" si="30"/>
        <v>109825975</v>
      </c>
      <c r="K60" s="98">
        <f t="shared" si="30"/>
        <v>95982500</v>
      </c>
      <c r="L60" s="98">
        <f t="shared" si="30"/>
        <v>87580000</v>
      </c>
      <c r="M60" s="98">
        <f t="shared" si="30"/>
        <v>91598900</v>
      </c>
      <c r="N60" s="98">
        <f t="shared" si="30"/>
        <v>125857000</v>
      </c>
      <c r="O60" s="98">
        <f t="shared" si="30"/>
        <v>143851500</v>
      </c>
      <c r="P60" s="98">
        <f t="shared" si="30"/>
        <v>141389000</v>
      </c>
      <c r="Q60" s="98">
        <f>Q44+Q51+Q59</f>
        <v>103603500</v>
      </c>
      <c r="R60" s="98">
        <f>R44+R51+R59</f>
        <v>97174400</v>
      </c>
      <c r="S60" s="98">
        <f>S44+S51+S59</f>
        <v>1395594075</v>
      </c>
      <c r="T60" s="98">
        <f>T44+T51+T59</f>
        <v>1906965655.86957</v>
      </c>
      <c r="U60" s="102">
        <f>S60/T60</f>
        <v>0.73184017273956292</v>
      </c>
      <c r="V60" s="98">
        <f>V44+V51+V59</f>
        <v>116299506.25</v>
      </c>
    </row>
    <row r="61" spans="1:22" x14ac:dyDescent="0.25">
      <c r="A61" s="25"/>
      <c r="B61" s="26"/>
      <c r="C61" s="27"/>
      <c r="D61" s="26"/>
      <c r="E61" s="28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28"/>
      <c r="Q61" s="29"/>
      <c r="R61" s="26"/>
      <c r="S61" s="47"/>
      <c r="T61" s="47"/>
      <c r="U61" s="43"/>
      <c r="V61" s="47"/>
    </row>
    <row r="62" spans="1:22" x14ac:dyDescent="0.25">
      <c r="A62" s="25">
        <v>7</v>
      </c>
      <c r="B62" s="26"/>
      <c r="C62" s="27"/>
      <c r="D62" s="38" t="s">
        <v>84</v>
      </c>
      <c r="E62" s="28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28"/>
      <c r="Q62" s="29"/>
      <c r="R62" s="26"/>
      <c r="S62" s="47"/>
      <c r="T62" s="148"/>
      <c r="U62" s="43"/>
      <c r="V62" s="47"/>
    </row>
    <row r="63" spans="1:22" x14ac:dyDescent="0.25">
      <c r="A63" s="25"/>
      <c r="B63" s="26"/>
      <c r="C63" s="27"/>
      <c r="D63" s="105"/>
      <c r="E63" s="39" t="s">
        <v>85</v>
      </c>
      <c r="F63" s="30"/>
      <c r="G63" s="44">
        <v>0</v>
      </c>
      <c r="H63" s="44">
        <v>0</v>
      </c>
      <c r="I63" s="44">
        <v>2650000</v>
      </c>
      <c r="J63" s="44">
        <v>150000</v>
      </c>
      <c r="K63" s="44">
        <v>0</v>
      </c>
      <c r="L63" s="44">
        <v>2100000</v>
      </c>
      <c r="M63" s="44">
        <v>750000</v>
      </c>
      <c r="N63" s="44">
        <v>0</v>
      </c>
      <c r="O63" s="44">
        <v>0</v>
      </c>
      <c r="P63" s="69">
        <v>1000000</v>
      </c>
      <c r="Q63" s="45">
        <v>750000</v>
      </c>
      <c r="R63" s="46">
        <v>250000</v>
      </c>
      <c r="S63" s="47">
        <f t="shared" ref="S63:S73" si="31">SUM(G63:R63)</f>
        <v>7650000</v>
      </c>
      <c r="T63" s="141">
        <f>((((0+6000000+1000000+0+0+0+6000000+1000000)+0)+0)+0)+0</f>
        <v>14000000</v>
      </c>
      <c r="U63" s="43">
        <f>S63/T63</f>
        <v>0.54642857142857137</v>
      </c>
      <c r="V63" s="48">
        <f t="shared" ref="V63:V73" si="32">S63/12</f>
        <v>637500</v>
      </c>
    </row>
    <row r="64" spans="1:22" x14ac:dyDescent="0.25">
      <c r="A64" s="70"/>
      <c r="B64" s="71"/>
      <c r="C64" s="72"/>
      <c r="D64" s="71"/>
      <c r="E64" s="39" t="s">
        <v>86</v>
      </c>
      <c r="F64" s="74"/>
      <c r="G64" s="75">
        <v>9300000</v>
      </c>
      <c r="H64" s="75">
        <v>1309000</v>
      </c>
      <c r="I64" s="75">
        <v>0</v>
      </c>
      <c r="J64" s="75">
        <v>4450000</v>
      </c>
      <c r="K64" s="75">
        <v>1200000</v>
      </c>
      <c r="L64" s="75">
        <v>0</v>
      </c>
      <c r="M64" s="75">
        <v>17600000</v>
      </c>
      <c r="N64" s="75">
        <v>6400000</v>
      </c>
      <c r="O64" s="75">
        <v>18600000</v>
      </c>
      <c r="P64" s="76">
        <v>800000</v>
      </c>
      <c r="Q64" s="77">
        <v>6000000</v>
      </c>
      <c r="R64" s="78">
        <v>0</v>
      </c>
      <c r="S64" s="47">
        <f t="shared" si="31"/>
        <v>65659000</v>
      </c>
      <c r="T64" s="141">
        <f>((((21050000+17200000+0+0+0+21050000+17200000+0)+0)+0)+11100000)+10700000</f>
        <v>98300000</v>
      </c>
      <c r="U64" s="43">
        <f t="shared" ref="U64" si="33">S64/T64</f>
        <v>0.66794506612410987</v>
      </c>
      <c r="V64" s="48">
        <f t="shared" si="32"/>
        <v>5471583.333333333</v>
      </c>
    </row>
    <row r="65" spans="1:23" x14ac:dyDescent="0.25">
      <c r="A65" s="35"/>
      <c r="B65" s="36"/>
      <c r="C65" s="37"/>
      <c r="D65" s="36"/>
      <c r="E65" s="73" t="s">
        <v>87</v>
      </c>
      <c r="F65" s="40"/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69">
        <v>0</v>
      </c>
      <c r="Q65" s="45">
        <v>0</v>
      </c>
      <c r="R65" s="46">
        <v>0</v>
      </c>
      <c r="S65" s="47">
        <f t="shared" si="31"/>
        <v>0</v>
      </c>
      <c r="T65" s="143">
        <f>((((0+1500000+0+0+0+0+1500000+0)+0)+0)+0)+1500000</f>
        <v>4500000</v>
      </c>
      <c r="U65" s="43">
        <f>S65/T65</f>
        <v>0</v>
      </c>
      <c r="V65" s="48">
        <f t="shared" si="32"/>
        <v>0</v>
      </c>
    </row>
    <row r="66" spans="1:23" x14ac:dyDescent="0.25">
      <c r="A66" s="25"/>
      <c r="B66" s="26"/>
      <c r="C66" s="27"/>
      <c r="D66" s="36"/>
      <c r="E66" s="73" t="s">
        <v>88</v>
      </c>
      <c r="F66" s="29"/>
      <c r="G66" s="44">
        <v>10565000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140">
        <v>0</v>
      </c>
      <c r="N66" s="44">
        <v>8752000</v>
      </c>
      <c r="O66" s="44">
        <v>0</v>
      </c>
      <c r="P66" s="69">
        <v>0</v>
      </c>
      <c r="Q66" s="45">
        <v>0</v>
      </c>
      <c r="R66" s="46">
        <v>0</v>
      </c>
      <c r="S66" s="47">
        <f t="shared" si="31"/>
        <v>19317000</v>
      </c>
      <c r="T66" s="141">
        <f>((((14298750+0+0+0+9412650+6648750+0+0)+0)+16061400)+0)+0</f>
        <v>46421550</v>
      </c>
      <c r="U66" s="43">
        <f t="shared" ref="U66:U91" si="34">S66/T66</f>
        <v>0.41612139189665143</v>
      </c>
      <c r="V66" s="48">
        <f t="shared" si="32"/>
        <v>1609750</v>
      </c>
    </row>
    <row r="67" spans="1:23" x14ac:dyDescent="0.25">
      <c r="A67" s="25"/>
      <c r="B67" s="26"/>
      <c r="C67" s="27"/>
      <c r="D67" s="36"/>
      <c r="E67" s="73" t="s">
        <v>89</v>
      </c>
      <c r="F67" s="29"/>
      <c r="G67" s="44">
        <v>4325000</v>
      </c>
      <c r="H67" s="44">
        <v>0</v>
      </c>
      <c r="I67" s="44">
        <v>3500000</v>
      </c>
      <c r="J67" s="44">
        <v>0</v>
      </c>
      <c r="K67" s="44">
        <v>0</v>
      </c>
      <c r="L67" s="44">
        <v>0</v>
      </c>
      <c r="M67" s="44">
        <v>0</v>
      </c>
      <c r="N67" s="44">
        <v>5500000</v>
      </c>
      <c r="O67" s="44">
        <v>8250000</v>
      </c>
      <c r="P67" s="69">
        <v>0</v>
      </c>
      <c r="Q67" s="45">
        <v>0</v>
      </c>
      <c r="R67" s="46">
        <v>0</v>
      </c>
      <c r="S67" s="47">
        <f t="shared" si="31"/>
        <v>21575000</v>
      </c>
      <c r="T67" s="149">
        <f>((((0+0+0+7875000+7875000+0+0+0)+7875000)+7875000)+0)+0</f>
        <v>31500000</v>
      </c>
      <c r="U67" s="43">
        <f>S67/T67</f>
        <v>0.68492063492063493</v>
      </c>
      <c r="V67" s="48">
        <f t="shared" si="32"/>
        <v>1797916.6666666667</v>
      </c>
    </row>
    <row r="68" spans="1:23" x14ac:dyDescent="0.25">
      <c r="A68" s="25"/>
      <c r="B68" s="26"/>
      <c r="C68" s="27"/>
      <c r="D68" s="36"/>
      <c r="E68" s="73" t="s">
        <v>128</v>
      </c>
      <c r="F68" s="29"/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8262500</v>
      </c>
      <c r="O68" s="44">
        <v>4895000</v>
      </c>
      <c r="P68" s="69">
        <v>1500000</v>
      </c>
      <c r="Q68" s="45">
        <v>1750000</v>
      </c>
      <c r="R68" s="46">
        <v>0</v>
      </c>
      <c r="S68" s="47">
        <f>SUM(G68:R68)</f>
        <v>16407500</v>
      </c>
      <c r="T68" s="141">
        <f>((((0+0+0+0+0+0+0+0)+0)+0)+0)+0</f>
        <v>0</v>
      </c>
      <c r="U68" s="43" t="e">
        <f>S68/T68</f>
        <v>#DIV/0!</v>
      </c>
      <c r="V68" s="48">
        <f t="shared" si="32"/>
        <v>1367291.6666666667</v>
      </c>
    </row>
    <row r="69" spans="1:23" x14ac:dyDescent="0.25">
      <c r="A69" s="25"/>
      <c r="B69" s="26"/>
      <c r="C69" s="27"/>
      <c r="D69" s="36"/>
      <c r="E69" s="73" t="s">
        <v>90</v>
      </c>
      <c r="F69" s="29"/>
      <c r="G69" s="44">
        <v>1409600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1400000</v>
      </c>
      <c r="N69" s="44">
        <v>0</v>
      </c>
      <c r="O69" s="44">
        <v>0</v>
      </c>
      <c r="P69" s="69">
        <v>0</v>
      </c>
      <c r="Q69" s="45">
        <v>0</v>
      </c>
      <c r="R69" s="46">
        <v>0</v>
      </c>
      <c r="S69" s="47">
        <f t="shared" si="31"/>
        <v>2809600</v>
      </c>
      <c r="T69" s="141">
        <f>((((0+0+0+0+1800000+0+0+0)+0)+1800000)+0)+0</f>
        <v>3600000</v>
      </c>
      <c r="U69" s="43">
        <f t="shared" si="34"/>
        <v>0.7804444444444445</v>
      </c>
      <c r="V69" s="48">
        <f t="shared" si="32"/>
        <v>234133.33333333334</v>
      </c>
    </row>
    <row r="70" spans="1:23" x14ac:dyDescent="0.25">
      <c r="A70" s="25"/>
      <c r="B70" s="26"/>
      <c r="C70" s="27"/>
      <c r="D70" s="36"/>
      <c r="E70" s="73" t="s">
        <v>129</v>
      </c>
      <c r="F70" s="29"/>
      <c r="G70" s="44">
        <v>0</v>
      </c>
      <c r="H70" s="44">
        <v>0</v>
      </c>
      <c r="I70" s="44">
        <v>0</v>
      </c>
      <c r="J70" s="44">
        <v>8970000</v>
      </c>
      <c r="K70" s="44">
        <v>9235500</v>
      </c>
      <c r="L70" s="44">
        <v>4350000</v>
      </c>
      <c r="M70" s="44">
        <v>0</v>
      </c>
      <c r="N70" s="44">
        <v>8360000</v>
      </c>
      <c r="O70" s="44">
        <v>4900000</v>
      </c>
      <c r="P70" s="69">
        <v>0</v>
      </c>
      <c r="Q70" s="45">
        <v>0</v>
      </c>
      <c r="R70" s="46">
        <v>9600000</v>
      </c>
      <c r="S70" s="47">
        <f t="shared" si="31"/>
        <v>45415500</v>
      </c>
      <c r="T70" s="142">
        <f>((((0+0+8887500+8662500+8662500+0+0+8887500)+8662500)+8662500)+0)+3375000</f>
        <v>55800000</v>
      </c>
      <c r="U70" s="43">
        <f t="shared" si="34"/>
        <v>0.81389784946236554</v>
      </c>
      <c r="V70" s="48">
        <f t="shared" si="32"/>
        <v>3784625</v>
      </c>
    </row>
    <row r="71" spans="1:23" x14ac:dyDescent="0.25">
      <c r="A71" s="25"/>
      <c r="B71" s="26"/>
      <c r="C71" s="27"/>
      <c r="D71" s="36"/>
      <c r="E71" s="73" t="s">
        <v>91</v>
      </c>
      <c r="F71" s="29"/>
      <c r="G71" s="44">
        <v>1620000</v>
      </c>
      <c r="H71" s="44">
        <v>0</v>
      </c>
      <c r="I71" s="44">
        <v>0</v>
      </c>
      <c r="J71" s="44">
        <v>0</v>
      </c>
      <c r="K71" s="44">
        <v>0</v>
      </c>
      <c r="L71" s="44">
        <v>1800000</v>
      </c>
      <c r="M71" s="44">
        <v>0</v>
      </c>
      <c r="N71" s="44">
        <v>0</v>
      </c>
      <c r="O71" s="44">
        <v>0</v>
      </c>
      <c r="P71" s="69">
        <v>0</v>
      </c>
      <c r="Q71" s="45">
        <v>0</v>
      </c>
      <c r="R71" s="46">
        <v>1800000</v>
      </c>
      <c r="S71" s="47">
        <f t="shared" si="31"/>
        <v>5220000</v>
      </c>
      <c r="T71" s="142">
        <f>((((0+0+0+0+0+0+0+0)+0)+0)+0)+0</f>
        <v>0</v>
      </c>
      <c r="U71" s="43" t="e">
        <f t="shared" si="34"/>
        <v>#DIV/0!</v>
      </c>
      <c r="V71" s="48">
        <f t="shared" si="32"/>
        <v>435000</v>
      </c>
    </row>
    <row r="72" spans="1:23" x14ac:dyDescent="0.25">
      <c r="A72" s="25"/>
      <c r="B72" s="26"/>
      <c r="C72" s="27"/>
      <c r="D72" s="36"/>
      <c r="E72" s="106" t="s">
        <v>93</v>
      </c>
      <c r="F72" s="29"/>
      <c r="G72" s="44">
        <v>953000</v>
      </c>
      <c r="H72" s="44">
        <v>420000</v>
      </c>
      <c r="I72" s="44">
        <v>237500</v>
      </c>
      <c r="J72" s="44">
        <v>370000</v>
      </c>
      <c r="K72" s="44">
        <v>164500</v>
      </c>
      <c r="L72" s="44">
        <v>465000</v>
      </c>
      <c r="M72" s="44">
        <v>475000</v>
      </c>
      <c r="N72" s="44">
        <v>145000</v>
      </c>
      <c r="O72" s="44">
        <v>485000</v>
      </c>
      <c r="P72" s="69">
        <v>390000</v>
      </c>
      <c r="Q72" s="45">
        <v>0</v>
      </c>
      <c r="R72" s="46">
        <v>215000</v>
      </c>
      <c r="S72" s="47">
        <f t="shared" si="31"/>
        <v>4320000</v>
      </c>
      <c r="T72" s="142">
        <f>((((0+10000000+0+0+0+0+0+10000000)+0)+0)+0)+0</f>
        <v>20000000</v>
      </c>
      <c r="U72" s="43">
        <f t="shared" si="34"/>
        <v>0.216</v>
      </c>
      <c r="V72" s="48">
        <f t="shared" si="32"/>
        <v>360000</v>
      </c>
    </row>
    <row r="73" spans="1:23" ht="15.75" thickBot="1" x14ac:dyDescent="0.3">
      <c r="A73" s="25"/>
      <c r="B73" s="26"/>
      <c r="C73" s="27"/>
      <c r="E73" s="150" t="s">
        <v>94</v>
      </c>
      <c r="F73" s="30"/>
      <c r="G73" s="44">
        <v>0</v>
      </c>
      <c r="H73" s="44">
        <v>0</v>
      </c>
      <c r="I73" s="44">
        <v>255000</v>
      </c>
      <c r="J73" s="44">
        <v>425000</v>
      </c>
      <c r="K73" s="44">
        <v>1005000</v>
      </c>
      <c r="L73" s="44">
        <v>1235000</v>
      </c>
      <c r="M73" s="44">
        <v>0</v>
      </c>
      <c r="N73" s="44">
        <v>0</v>
      </c>
      <c r="O73" s="44">
        <v>0</v>
      </c>
      <c r="P73" s="69">
        <v>0</v>
      </c>
      <c r="Q73" s="45">
        <v>0</v>
      </c>
      <c r="R73" s="46">
        <v>130000</v>
      </c>
      <c r="S73" s="47">
        <f t="shared" si="31"/>
        <v>3050000</v>
      </c>
      <c r="T73" s="143">
        <f>((((0+0+0+0+0+0+0+0)+0)+0)+0)+0</f>
        <v>0</v>
      </c>
      <c r="U73" s="43" t="e">
        <f t="shared" si="34"/>
        <v>#DIV/0!</v>
      </c>
      <c r="V73" s="48">
        <f t="shared" si="32"/>
        <v>254166.66666666666</v>
      </c>
    </row>
    <row r="74" spans="1:23" ht="15.75" thickBot="1" x14ac:dyDescent="0.3">
      <c r="A74" s="93"/>
      <c r="B74" s="94"/>
      <c r="C74" s="95"/>
      <c r="D74" s="94"/>
      <c r="E74" s="96"/>
      <c r="F74" s="97"/>
      <c r="G74" s="107">
        <f>SUM(G63:G73)</f>
        <v>28172600</v>
      </c>
      <c r="H74" s="107">
        <f t="shared" ref="H74:T74" si="35">SUM(H63:H73)</f>
        <v>1729000</v>
      </c>
      <c r="I74" s="107">
        <f t="shared" si="35"/>
        <v>6642500</v>
      </c>
      <c r="J74" s="107">
        <f t="shared" si="35"/>
        <v>14365000</v>
      </c>
      <c r="K74" s="107">
        <f t="shared" si="35"/>
        <v>11605000</v>
      </c>
      <c r="L74" s="107">
        <f t="shared" si="35"/>
        <v>9950000</v>
      </c>
      <c r="M74" s="107">
        <f t="shared" si="35"/>
        <v>20225000</v>
      </c>
      <c r="N74" s="107">
        <f t="shared" si="35"/>
        <v>37419500</v>
      </c>
      <c r="O74" s="107">
        <f t="shared" si="35"/>
        <v>37130000</v>
      </c>
      <c r="P74" s="107">
        <f t="shared" si="35"/>
        <v>3690000</v>
      </c>
      <c r="Q74" s="99">
        <f t="shared" si="35"/>
        <v>8500000</v>
      </c>
      <c r="R74" s="98">
        <f t="shared" si="35"/>
        <v>11995000</v>
      </c>
      <c r="S74" s="107">
        <f>SUM(S63:S73)</f>
        <v>191423600</v>
      </c>
      <c r="T74" s="107">
        <f t="shared" si="35"/>
        <v>274121550</v>
      </c>
      <c r="U74" s="102">
        <f>S74/T74</f>
        <v>0.6983164950001195</v>
      </c>
      <c r="V74" s="107">
        <f>SUM(V63:V73)</f>
        <v>15951966.666666666</v>
      </c>
      <c r="W74" s="108" t="s">
        <v>34</v>
      </c>
    </row>
    <row r="75" spans="1:23" x14ac:dyDescent="0.25">
      <c r="A75" s="35"/>
      <c r="B75" s="36"/>
      <c r="C75" s="37"/>
      <c r="D75" s="109"/>
      <c r="E75" s="39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39"/>
      <c r="Q75" s="40"/>
      <c r="R75" s="36"/>
      <c r="S75" s="47"/>
      <c r="T75" s="47"/>
      <c r="U75" s="43"/>
      <c r="V75" s="48"/>
    </row>
    <row r="76" spans="1:23" x14ac:dyDescent="0.25">
      <c r="A76" s="35">
        <v>8</v>
      </c>
      <c r="B76" s="36"/>
      <c r="C76" s="37"/>
      <c r="D76" s="110" t="s">
        <v>95</v>
      </c>
      <c r="E76" s="39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9"/>
      <c r="Q76" s="40"/>
      <c r="R76" s="36"/>
      <c r="S76" s="47"/>
      <c r="T76" s="148"/>
      <c r="U76" s="43"/>
      <c r="V76" s="48"/>
    </row>
    <row r="77" spans="1:23" x14ac:dyDescent="0.25">
      <c r="A77" s="35"/>
      <c r="B77" s="36"/>
      <c r="C77" s="37"/>
      <c r="D77" s="36"/>
      <c r="E77" s="106" t="s">
        <v>96</v>
      </c>
      <c r="F77" s="41"/>
      <c r="G77" s="44">
        <v>18544500</v>
      </c>
      <c r="H77" s="44">
        <v>19711500</v>
      </c>
      <c r="I77" s="44">
        <v>14040500</v>
      </c>
      <c r="J77" s="44">
        <v>24844000</v>
      </c>
      <c r="K77" s="44">
        <v>10021500</v>
      </c>
      <c r="L77" s="44">
        <v>20589000</v>
      </c>
      <c r="M77" s="44">
        <v>27045500</v>
      </c>
      <c r="N77" s="44">
        <v>11710500</v>
      </c>
      <c r="O77" s="44">
        <v>11621500</v>
      </c>
      <c r="P77" s="69">
        <v>7687491</v>
      </c>
      <c r="Q77" s="45">
        <v>9819000</v>
      </c>
      <c r="R77" s="46">
        <v>17060000</v>
      </c>
      <c r="S77" s="47">
        <f t="shared" ref="S77:S91" si="36">SUM(G77:R77)</f>
        <v>192694991</v>
      </c>
      <c r="T77" s="149">
        <f>((((17336140+19576185+15784105+16494050+13376070+13881677+17579565+14150215)+13713425)+14248340)+13482000)+13482000</f>
        <v>183103772</v>
      </c>
      <c r="U77" s="43">
        <f>S77/T77</f>
        <v>1.052381329424497</v>
      </c>
      <c r="V77" s="48">
        <f t="shared" ref="V77:V91" si="37">S77/12</f>
        <v>16057915.916666666</v>
      </c>
    </row>
    <row r="78" spans="1:23" x14ac:dyDescent="0.25">
      <c r="A78" s="35"/>
      <c r="B78" s="36"/>
      <c r="C78" s="37"/>
      <c r="D78" s="36"/>
      <c r="E78" s="106" t="s">
        <v>97</v>
      </c>
      <c r="F78" s="41"/>
      <c r="G78" s="44">
        <v>80000</v>
      </c>
      <c r="H78" s="44">
        <v>5000</v>
      </c>
      <c r="I78" s="44">
        <v>1000000</v>
      </c>
      <c r="J78" s="44">
        <v>0</v>
      </c>
      <c r="K78" s="44">
        <v>0</v>
      </c>
      <c r="L78" s="44">
        <v>0</v>
      </c>
      <c r="M78" s="44">
        <v>50000</v>
      </c>
      <c r="N78" s="44">
        <v>0</v>
      </c>
      <c r="O78" s="44">
        <v>55000</v>
      </c>
      <c r="P78" s="69">
        <v>0</v>
      </c>
      <c r="Q78" s="45">
        <v>1000000</v>
      </c>
      <c r="R78" s="46">
        <v>100000</v>
      </c>
      <c r="S78" s="47">
        <f t="shared" si="36"/>
        <v>2290000</v>
      </c>
      <c r="T78" s="141">
        <f>((((3150000+0+577500+0+0+0+0+525000)+315000)+52500)+1653750)+0</f>
        <v>6273750</v>
      </c>
      <c r="U78" s="43">
        <f>S78/T78</f>
        <v>0.36501295078700935</v>
      </c>
      <c r="V78" s="48">
        <f t="shared" si="37"/>
        <v>190833.33333333334</v>
      </c>
    </row>
    <row r="79" spans="1:23" x14ac:dyDescent="0.25">
      <c r="A79" s="35"/>
      <c r="B79" s="36"/>
      <c r="C79" s="37"/>
      <c r="D79" s="36"/>
      <c r="E79" s="106" t="s">
        <v>98</v>
      </c>
      <c r="F79" s="41"/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69">
        <v>0</v>
      </c>
      <c r="Q79" s="45">
        <v>0</v>
      </c>
      <c r="R79" s="46">
        <v>0</v>
      </c>
      <c r="S79" s="47">
        <f t="shared" si="36"/>
        <v>0</v>
      </c>
      <c r="T79" s="151">
        <f>((((0+0+0+0+0+0+0+0)+0)+0)+0)+0</f>
        <v>0</v>
      </c>
      <c r="U79" s="43" t="e">
        <f t="shared" si="34"/>
        <v>#DIV/0!</v>
      </c>
      <c r="V79" s="48">
        <f t="shared" si="37"/>
        <v>0</v>
      </c>
    </row>
    <row r="80" spans="1:23" x14ac:dyDescent="0.25">
      <c r="A80" s="35"/>
      <c r="B80" s="36"/>
      <c r="C80" s="37"/>
      <c r="D80" s="36"/>
      <c r="E80" s="106" t="s">
        <v>99</v>
      </c>
      <c r="F80" s="41"/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69">
        <v>0</v>
      </c>
      <c r="Q80" s="45">
        <v>0</v>
      </c>
      <c r="R80" s="46">
        <v>0</v>
      </c>
      <c r="S80" s="47">
        <f t="shared" si="36"/>
        <v>0</v>
      </c>
      <c r="T80" s="149">
        <f>((((0+0+0+0+0+0+0+0)+0)+0)+0)+0</f>
        <v>0</v>
      </c>
      <c r="U80" s="43" t="e">
        <f t="shared" si="34"/>
        <v>#DIV/0!</v>
      </c>
      <c r="V80" s="48">
        <f t="shared" si="37"/>
        <v>0</v>
      </c>
    </row>
    <row r="81" spans="1:22" x14ac:dyDescent="0.25">
      <c r="A81" s="35"/>
      <c r="B81" s="36"/>
      <c r="C81" s="37"/>
      <c r="D81" s="36"/>
      <c r="E81" s="106" t="s">
        <v>100</v>
      </c>
      <c r="F81" s="41"/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69">
        <v>0</v>
      </c>
      <c r="Q81" s="45">
        <v>0</v>
      </c>
      <c r="R81" s="46">
        <v>0</v>
      </c>
      <c r="S81" s="47">
        <f t="shared" si="36"/>
        <v>0</v>
      </c>
      <c r="T81" s="141">
        <f>((((0+0+0+0+0+0+0+0)+0)+0)+0)+0</f>
        <v>0</v>
      </c>
      <c r="U81" s="43" t="e">
        <f t="shared" si="34"/>
        <v>#DIV/0!</v>
      </c>
      <c r="V81" s="48">
        <f t="shared" si="37"/>
        <v>0</v>
      </c>
    </row>
    <row r="82" spans="1:22" x14ac:dyDescent="0.25">
      <c r="A82" s="35"/>
      <c r="B82" s="36"/>
      <c r="C82" s="37"/>
      <c r="D82" s="36"/>
      <c r="E82" s="106" t="s">
        <v>101</v>
      </c>
      <c r="F82" s="41"/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69">
        <v>0</v>
      </c>
      <c r="Q82" s="45">
        <v>0</v>
      </c>
      <c r="R82" s="46">
        <v>0</v>
      </c>
      <c r="S82" s="47">
        <f t="shared" si="36"/>
        <v>0</v>
      </c>
      <c r="T82" s="151">
        <f>((((0+0+0+0+0+0+0+0)+0)+0)+0)+0</f>
        <v>0</v>
      </c>
      <c r="U82" s="43" t="e">
        <f t="shared" si="34"/>
        <v>#DIV/0!</v>
      </c>
      <c r="V82" s="48">
        <f t="shared" si="37"/>
        <v>0</v>
      </c>
    </row>
    <row r="83" spans="1:22" x14ac:dyDescent="0.25">
      <c r="A83" s="35"/>
      <c r="B83" s="36"/>
      <c r="C83" s="37"/>
      <c r="D83" s="36"/>
      <c r="E83" s="106" t="s">
        <v>102</v>
      </c>
      <c r="F83" s="41"/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69">
        <v>0</v>
      </c>
      <c r="Q83" s="45">
        <v>0</v>
      </c>
      <c r="R83" s="46">
        <v>0</v>
      </c>
      <c r="S83" s="47">
        <f t="shared" si="36"/>
        <v>0</v>
      </c>
      <c r="T83" s="149">
        <f>((((0+259662+0+0+0+0+0+0)+0)+0)+0)+0</f>
        <v>259662</v>
      </c>
      <c r="U83" s="43">
        <f t="shared" si="34"/>
        <v>0</v>
      </c>
      <c r="V83" s="48">
        <f t="shared" si="37"/>
        <v>0</v>
      </c>
    </row>
    <row r="84" spans="1:22" x14ac:dyDescent="0.25">
      <c r="A84" s="35"/>
      <c r="B84" s="36"/>
      <c r="C84" s="37"/>
      <c r="D84" s="36"/>
      <c r="E84" s="106" t="s">
        <v>103</v>
      </c>
      <c r="F84" s="41"/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69">
        <v>0</v>
      </c>
      <c r="Q84" s="45">
        <v>0</v>
      </c>
      <c r="R84" s="46">
        <v>0</v>
      </c>
      <c r="S84" s="47">
        <f t="shared" si="36"/>
        <v>0</v>
      </c>
      <c r="T84" s="149">
        <f>((((0+0+0+0+0+337750+6300000+0)+0)+0)+0)+0</f>
        <v>6637750</v>
      </c>
      <c r="U84" s="43">
        <f t="shared" si="34"/>
        <v>0</v>
      </c>
      <c r="V84" s="48">
        <f t="shared" si="37"/>
        <v>0</v>
      </c>
    </row>
    <row r="85" spans="1:22" x14ac:dyDescent="0.25">
      <c r="A85" s="35"/>
      <c r="B85" s="36"/>
      <c r="C85" s="37"/>
      <c r="D85" s="36"/>
      <c r="E85" s="106" t="s">
        <v>104</v>
      </c>
      <c r="F85" s="41"/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200000</v>
      </c>
      <c r="M85" s="44">
        <v>0</v>
      </c>
      <c r="N85" s="44">
        <v>205000</v>
      </c>
      <c r="O85" s="44">
        <v>0</v>
      </c>
      <c r="P85" s="69">
        <v>100000</v>
      </c>
      <c r="Q85" s="45">
        <v>0</v>
      </c>
      <c r="R85" s="46">
        <v>210000</v>
      </c>
      <c r="S85" s="47">
        <f t="shared" si="36"/>
        <v>715000</v>
      </c>
      <c r="T85" s="149">
        <f>((((0+0+0+0+0+386000+69300+0)+0)+210000)+308700)+0</f>
        <v>974000</v>
      </c>
      <c r="U85" s="43">
        <f>S85/T85</f>
        <v>0.73408624229979469</v>
      </c>
      <c r="V85" s="48">
        <f t="shared" si="37"/>
        <v>59583.333333333336</v>
      </c>
    </row>
    <row r="86" spans="1:22" x14ac:dyDescent="0.25">
      <c r="A86" s="35"/>
      <c r="B86" s="36"/>
      <c r="C86" s="37"/>
      <c r="D86" s="36"/>
      <c r="E86" s="106" t="s">
        <v>105</v>
      </c>
      <c r="F86" s="41"/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69">
        <v>0</v>
      </c>
      <c r="Q86" s="45">
        <v>200000</v>
      </c>
      <c r="R86" s="46">
        <v>0</v>
      </c>
      <c r="S86" s="47">
        <f t="shared" si="36"/>
        <v>200000</v>
      </c>
      <c r="T86" s="141">
        <f>((((0+0+0+0+0+0+73500+0)+0)+0)+0)+0</f>
        <v>73500</v>
      </c>
      <c r="U86" s="43">
        <f>S86/T86</f>
        <v>2.7210884353741496</v>
      </c>
      <c r="V86" s="48">
        <f t="shared" si="37"/>
        <v>16666.666666666668</v>
      </c>
    </row>
    <row r="87" spans="1:22" x14ac:dyDescent="0.25">
      <c r="A87" s="35"/>
      <c r="B87" s="36"/>
      <c r="C87" s="37"/>
      <c r="D87" s="36"/>
      <c r="E87" s="106" t="s">
        <v>106</v>
      </c>
      <c r="F87" s="41"/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101694</v>
      </c>
      <c r="P87" s="69">
        <v>0</v>
      </c>
      <c r="Q87" s="45">
        <v>0</v>
      </c>
      <c r="R87" s="46">
        <v>0</v>
      </c>
      <c r="S87" s="47">
        <f t="shared" si="36"/>
        <v>101694</v>
      </c>
      <c r="T87" s="151">
        <f>((((0+0+0+0+0+0+0+0)+0)+0)+0)+0</f>
        <v>0</v>
      </c>
      <c r="U87" s="43" t="e">
        <f t="shared" si="34"/>
        <v>#DIV/0!</v>
      </c>
      <c r="V87" s="48">
        <f t="shared" si="37"/>
        <v>8474.5</v>
      </c>
    </row>
    <row r="88" spans="1:22" x14ac:dyDescent="0.25">
      <c r="A88" s="35"/>
      <c r="B88" s="36"/>
      <c r="C88" s="37"/>
      <c r="D88" s="36"/>
      <c r="E88" s="106" t="s">
        <v>107</v>
      </c>
      <c r="F88" s="41"/>
      <c r="G88" s="44">
        <v>50000</v>
      </c>
      <c r="H88" s="44">
        <v>125000</v>
      </c>
      <c r="I88" s="44">
        <v>0</v>
      </c>
      <c r="J88" s="44">
        <v>70000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69">
        <v>0</v>
      </c>
      <c r="Q88" s="45">
        <v>0</v>
      </c>
      <c r="R88" s="46">
        <v>40000</v>
      </c>
      <c r="S88" s="47">
        <f t="shared" si="36"/>
        <v>285000</v>
      </c>
      <c r="T88" s="149">
        <f>((((0+0+0+0+54800+386000+682500+0)+0)+0)+0)+0</f>
        <v>1123300</v>
      </c>
      <c r="U88" s="43">
        <f t="shared" si="34"/>
        <v>0.25371672749933233</v>
      </c>
      <c r="V88" s="48">
        <f t="shared" si="37"/>
        <v>23750</v>
      </c>
    </row>
    <row r="89" spans="1:22" x14ac:dyDescent="0.25">
      <c r="A89" s="35"/>
      <c r="B89" s="36"/>
      <c r="C89" s="37"/>
      <c r="D89" s="36"/>
      <c r="E89" s="106" t="s">
        <v>108</v>
      </c>
      <c r="F89" s="41"/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69">
        <v>0</v>
      </c>
      <c r="Q89" s="45">
        <v>0</v>
      </c>
      <c r="R89" s="46">
        <v>0</v>
      </c>
      <c r="S89" s="47">
        <f t="shared" si="36"/>
        <v>0</v>
      </c>
      <c r="T89" s="149">
        <f>((((0+0+0+0+0+0+0+0)+0)+0)+0)+0</f>
        <v>0</v>
      </c>
      <c r="U89" s="43" t="e">
        <f t="shared" si="34"/>
        <v>#DIV/0!</v>
      </c>
      <c r="V89" s="48">
        <f t="shared" si="37"/>
        <v>0</v>
      </c>
    </row>
    <row r="90" spans="1:22" x14ac:dyDescent="0.25">
      <c r="A90" s="35"/>
      <c r="B90" s="36"/>
      <c r="C90" s="37"/>
      <c r="D90" s="36"/>
      <c r="E90" s="106" t="s">
        <v>109</v>
      </c>
      <c r="F90" s="41"/>
      <c r="G90" s="44">
        <v>5521600</v>
      </c>
      <c r="H90" s="44">
        <v>6203280</v>
      </c>
      <c r="I90" s="44">
        <v>3293000</v>
      </c>
      <c r="J90" s="44">
        <v>5840100</v>
      </c>
      <c r="K90" s="44">
        <v>3508000</v>
      </c>
      <c r="L90" s="44">
        <v>5751325</v>
      </c>
      <c r="M90" s="44">
        <v>4147000</v>
      </c>
      <c r="N90" s="44">
        <v>5131000</v>
      </c>
      <c r="O90" s="44">
        <v>860000</v>
      </c>
      <c r="P90" s="69">
        <v>2117500</v>
      </c>
      <c r="Q90" s="45">
        <v>5347000</v>
      </c>
      <c r="R90" s="46">
        <v>600000</v>
      </c>
      <c r="S90" s="47">
        <f t="shared" si="36"/>
        <v>48319805</v>
      </c>
      <c r="T90" s="149">
        <f>((((500000+300000+300000+0+0+0+0+0)+0)+0)+315000)+0</f>
        <v>1415000</v>
      </c>
      <c r="U90" s="43">
        <f t="shared" si="34"/>
        <v>34.148272084805654</v>
      </c>
      <c r="V90" s="48">
        <f t="shared" si="37"/>
        <v>4026650.4166666665</v>
      </c>
    </row>
    <row r="91" spans="1:22" ht="15.75" thickBot="1" x14ac:dyDescent="0.3">
      <c r="A91" s="111"/>
      <c r="B91" s="112"/>
      <c r="C91" s="113"/>
      <c r="D91" s="112"/>
      <c r="E91" s="114" t="s">
        <v>110</v>
      </c>
      <c r="F91" s="115"/>
      <c r="G91" s="75">
        <v>70000</v>
      </c>
      <c r="H91" s="75">
        <v>0</v>
      </c>
      <c r="I91" s="75">
        <v>200000</v>
      </c>
      <c r="J91" s="75">
        <v>100000</v>
      </c>
      <c r="K91" s="75">
        <v>75000</v>
      </c>
      <c r="L91" s="75">
        <v>100000</v>
      </c>
      <c r="M91" s="75">
        <v>0</v>
      </c>
      <c r="N91" s="75">
        <v>200000</v>
      </c>
      <c r="O91" s="75">
        <v>100000</v>
      </c>
      <c r="P91" s="116">
        <v>185000</v>
      </c>
      <c r="Q91" s="77">
        <v>120000</v>
      </c>
      <c r="R91" s="117">
        <v>200000</v>
      </c>
      <c r="S91" s="47">
        <f t="shared" si="36"/>
        <v>1350000</v>
      </c>
      <c r="T91" s="144">
        <f>((((0+0+0+0+0+0+0+0)+0)+0)+0)+0</f>
        <v>0</v>
      </c>
      <c r="U91" s="43" t="e">
        <f t="shared" si="34"/>
        <v>#DIV/0!</v>
      </c>
      <c r="V91" s="48">
        <f t="shared" si="37"/>
        <v>112500</v>
      </c>
    </row>
    <row r="92" spans="1:22" s="64" customFormat="1" ht="15.75" thickBot="1" x14ac:dyDescent="0.3">
      <c r="A92" s="93"/>
      <c r="B92" s="97"/>
      <c r="C92" s="99"/>
      <c r="D92" s="97"/>
      <c r="E92" s="97"/>
      <c r="F92" s="97"/>
      <c r="G92" s="118">
        <f t="shared" ref="G92:T92" si="38">SUM(G77:G91)</f>
        <v>24266100</v>
      </c>
      <c r="H92" s="118">
        <f t="shared" si="38"/>
        <v>26044780</v>
      </c>
      <c r="I92" s="118">
        <f t="shared" si="38"/>
        <v>18533500</v>
      </c>
      <c r="J92" s="118">
        <f t="shared" si="38"/>
        <v>30854100</v>
      </c>
      <c r="K92" s="118">
        <f t="shared" si="38"/>
        <v>13604500</v>
      </c>
      <c r="L92" s="118">
        <f t="shared" si="38"/>
        <v>26640325</v>
      </c>
      <c r="M92" s="118">
        <f>SUM(M77:M91)</f>
        <v>31242500</v>
      </c>
      <c r="N92" s="118">
        <f t="shared" si="38"/>
        <v>17246500</v>
      </c>
      <c r="O92" s="118">
        <f t="shared" si="38"/>
        <v>12738194</v>
      </c>
      <c r="P92" s="118">
        <f t="shared" si="38"/>
        <v>10089991</v>
      </c>
      <c r="Q92" s="118">
        <f>SUM(Q77:Q91)</f>
        <v>16486000</v>
      </c>
      <c r="R92" s="118">
        <f>SUM(R77:R91)</f>
        <v>18210000</v>
      </c>
      <c r="S92" s="119">
        <f t="shared" si="38"/>
        <v>245956490</v>
      </c>
      <c r="T92" s="120">
        <f t="shared" si="38"/>
        <v>199860734</v>
      </c>
      <c r="U92" s="102">
        <f>S92/T92</f>
        <v>1.2306393811202554</v>
      </c>
      <c r="V92" s="118">
        <f>SUM(V77:V91)</f>
        <v>20496374.166666668</v>
      </c>
    </row>
    <row r="93" spans="1:22" s="64" customFormat="1" ht="15.75" thickBot="1" x14ac:dyDescent="0.3">
      <c r="A93" s="54"/>
      <c r="B93" s="58"/>
      <c r="C93" s="121"/>
      <c r="D93" s="58"/>
      <c r="E93" s="58"/>
      <c r="F93" s="58"/>
      <c r="G93" s="122">
        <f>G38+G60+G74+G92</f>
        <v>421612533</v>
      </c>
      <c r="H93" s="122">
        <f t="shared" ref="H93:T93" si="39">H38+H60+H74+H92</f>
        <v>370446602</v>
      </c>
      <c r="I93" s="122">
        <f t="shared" si="39"/>
        <v>399594164</v>
      </c>
      <c r="J93" s="122">
        <f t="shared" si="39"/>
        <v>377844240</v>
      </c>
      <c r="K93" s="122">
        <f t="shared" si="39"/>
        <v>331111855</v>
      </c>
      <c r="L93" s="122">
        <f t="shared" si="39"/>
        <v>331168871</v>
      </c>
      <c r="M93" s="122">
        <f t="shared" si="39"/>
        <v>327706332</v>
      </c>
      <c r="N93" s="122">
        <f t="shared" si="39"/>
        <v>358898927</v>
      </c>
      <c r="O93" s="122">
        <f>O38+O60+O74+O92</f>
        <v>391156029</v>
      </c>
      <c r="P93" s="122">
        <f>P38+P60+P74+P92</f>
        <v>349512693</v>
      </c>
      <c r="Q93" s="122">
        <f>Q38+Q60+Q74+Q92</f>
        <v>320444927</v>
      </c>
      <c r="R93" s="122">
        <f>R38+R60+R74+R92</f>
        <v>302716813</v>
      </c>
      <c r="S93" s="122">
        <f>S38+S60+S74+S92</f>
        <v>4282213986</v>
      </c>
      <c r="T93" s="122">
        <f t="shared" si="39"/>
        <v>5401954529.8695698</v>
      </c>
      <c r="U93" s="123">
        <f>S93/T93</f>
        <v>0.79271566658362713</v>
      </c>
      <c r="V93" s="122">
        <f>V38+V60+V74+V92</f>
        <v>356851165.5</v>
      </c>
    </row>
    <row r="94" spans="1:22" x14ac:dyDescent="0.25">
      <c r="A94" s="3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6"/>
      <c r="V94" s="4"/>
    </row>
    <row r="95" spans="1:22" x14ac:dyDescent="0.25"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spans="1:22" x14ac:dyDescent="0.25">
      <c r="B96" s="128" t="s">
        <v>130</v>
      </c>
      <c r="C96" s="5"/>
      <c r="D96" s="4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9"/>
      <c r="V96" s="129"/>
    </row>
    <row r="97" spans="2:22" x14ac:dyDescent="0.25">
      <c r="B97" s="4" t="s">
        <v>113</v>
      </c>
      <c r="C97" s="5">
        <v>299775369</v>
      </c>
      <c r="D97" s="4"/>
      <c r="E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9"/>
      <c r="V97" s="129"/>
    </row>
    <row r="98" spans="2:22" ht="15.75" thickBot="1" x14ac:dyDescent="0.3">
      <c r="B98" s="4" t="s">
        <v>114</v>
      </c>
      <c r="C98" s="130">
        <v>2941444</v>
      </c>
      <c r="D98" s="4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9"/>
      <c r="V98" s="129"/>
    </row>
    <row r="99" spans="2:22" ht="15.75" thickTop="1" x14ac:dyDescent="0.25">
      <c r="B99" s="4"/>
      <c r="C99" s="131">
        <f>SUM(C97:C98)</f>
        <v>302716813</v>
      </c>
      <c r="D99" s="4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9"/>
      <c r="V99" s="129"/>
    </row>
    <row r="100" spans="2:22" x14ac:dyDescent="0.25">
      <c r="B100" s="4"/>
      <c r="C100" s="5"/>
      <c r="D100" s="4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9"/>
      <c r="V100" s="129"/>
    </row>
    <row r="101" spans="2:22" x14ac:dyDescent="0.25">
      <c r="B101" s="4"/>
      <c r="C101" s="132">
        <f>C99-R93</f>
        <v>0</v>
      </c>
      <c r="D101" s="4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9"/>
      <c r="V101" s="129"/>
    </row>
    <row r="102" spans="2:22" x14ac:dyDescent="0.25">
      <c r="B102" s="128" t="s">
        <v>131</v>
      </c>
      <c r="C102" s="5"/>
      <c r="D102" s="4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9"/>
      <c r="V102" s="129"/>
    </row>
    <row r="103" spans="2:22" x14ac:dyDescent="0.25">
      <c r="B103" s="4" t="s">
        <v>113</v>
      </c>
      <c r="C103" s="5">
        <v>316031427</v>
      </c>
      <c r="D103" s="4"/>
      <c r="E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9"/>
      <c r="V103" s="129"/>
    </row>
    <row r="104" spans="2:22" ht="15.75" thickBot="1" x14ac:dyDescent="0.3">
      <c r="B104" s="4" t="s">
        <v>114</v>
      </c>
      <c r="C104" s="130">
        <v>4413500</v>
      </c>
      <c r="D104" s="4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9"/>
      <c r="V104" s="129"/>
    </row>
    <row r="105" spans="2:22" ht="15.75" thickTop="1" x14ac:dyDescent="0.25">
      <c r="B105" s="4"/>
      <c r="C105" s="131">
        <f>SUM(C103:C104)</f>
        <v>320444927</v>
      </c>
      <c r="D105" s="4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9"/>
      <c r="V105" s="129"/>
    </row>
    <row r="106" spans="2:22" x14ac:dyDescent="0.25">
      <c r="B106" s="4"/>
      <c r="C106" s="5"/>
      <c r="D106" s="4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9"/>
      <c r="V106" s="129"/>
    </row>
    <row r="107" spans="2:22" x14ac:dyDescent="0.25">
      <c r="B107" s="4"/>
      <c r="C107" s="132">
        <f>C105-Q93</f>
        <v>0</v>
      </c>
      <c r="D107" s="4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9"/>
      <c r="V107" s="129"/>
    </row>
    <row r="108" spans="2:22" x14ac:dyDescent="0.25">
      <c r="B108" s="128" t="s">
        <v>132</v>
      </c>
      <c r="C108" s="5"/>
      <c r="D108" s="4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9"/>
      <c r="V108" s="129"/>
    </row>
    <row r="109" spans="2:22" x14ac:dyDescent="0.25">
      <c r="B109" s="4" t="s">
        <v>113</v>
      </c>
      <c r="C109" s="5">
        <v>346048593</v>
      </c>
      <c r="D109" s="4"/>
      <c r="E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9"/>
      <c r="V109" s="129"/>
    </row>
    <row r="110" spans="2:22" ht="15.75" thickBot="1" x14ac:dyDescent="0.3">
      <c r="B110" s="4" t="s">
        <v>114</v>
      </c>
      <c r="C110" s="130">
        <v>3464100</v>
      </c>
      <c r="D110" s="4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9"/>
      <c r="V110" s="129"/>
    </row>
    <row r="111" spans="2:22" ht="15.75" thickTop="1" x14ac:dyDescent="0.25">
      <c r="B111" s="4"/>
      <c r="C111" s="131">
        <f>SUM(C109:C110)</f>
        <v>349512693</v>
      </c>
      <c r="D111" s="4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9"/>
      <c r="V111" s="129"/>
    </row>
    <row r="112" spans="2:22" x14ac:dyDescent="0.25">
      <c r="B112" s="4"/>
      <c r="C112" s="5"/>
      <c r="D112" s="4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9"/>
      <c r="V112" s="129"/>
    </row>
    <row r="113" spans="2:22" x14ac:dyDescent="0.25">
      <c r="B113" s="4"/>
      <c r="C113" s="132">
        <f>C111-P93</f>
        <v>0</v>
      </c>
      <c r="D113" s="4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9"/>
      <c r="V113" s="129"/>
    </row>
    <row r="114" spans="2:22" x14ac:dyDescent="0.25">
      <c r="B114" s="128" t="s">
        <v>133</v>
      </c>
      <c r="C114" s="5"/>
      <c r="D114" s="4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9"/>
      <c r="V114" s="129"/>
    </row>
    <row r="115" spans="2:22" x14ac:dyDescent="0.25">
      <c r="B115" s="4" t="s">
        <v>113</v>
      </c>
      <c r="C115" s="5">
        <v>388035329</v>
      </c>
      <c r="D115" s="4"/>
      <c r="E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9"/>
      <c r="V115" s="129"/>
    </row>
    <row r="116" spans="2:22" ht="15.75" thickBot="1" x14ac:dyDescent="0.3">
      <c r="B116" s="4" t="s">
        <v>114</v>
      </c>
      <c r="C116" s="130">
        <v>3120700</v>
      </c>
      <c r="D116" s="4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9"/>
      <c r="V116" s="129"/>
    </row>
    <row r="117" spans="2:22" ht="15.75" thickTop="1" x14ac:dyDescent="0.25">
      <c r="B117" s="4"/>
      <c r="C117" s="131">
        <f>SUM(C115:C116)</f>
        <v>391156029</v>
      </c>
      <c r="D117" s="4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9"/>
      <c r="V117" s="129"/>
    </row>
    <row r="118" spans="2:22" x14ac:dyDescent="0.25">
      <c r="B118" s="4"/>
      <c r="C118" s="5"/>
      <c r="D118" s="4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9"/>
      <c r="V118" s="129"/>
    </row>
    <row r="119" spans="2:22" x14ac:dyDescent="0.25">
      <c r="B119" s="4"/>
      <c r="C119" s="132">
        <f>C117-O93</f>
        <v>0</v>
      </c>
      <c r="D119" s="4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9"/>
      <c r="V119" s="129"/>
    </row>
    <row r="120" spans="2:22" x14ac:dyDescent="0.25">
      <c r="B120" s="128" t="s">
        <v>134</v>
      </c>
      <c r="C120" s="5"/>
      <c r="D120" s="4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9"/>
      <c r="V120" s="129"/>
    </row>
    <row r="121" spans="2:22" x14ac:dyDescent="0.25">
      <c r="B121" s="4" t="s">
        <v>113</v>
      </c>
      <c r="C121" s="5">
        <v>356404927</v>
      </c>
      <c r="D121" s="4"/>
      <c r="E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9"/>
      <c r="V121" s="129"/>
    </row>
    <row r="122" spans="2:22" ht="15.75" thickBot="1" x14ac:dyDescent="0.3">
      <c r="B122" s="4" t="s">
        <v>114</v>
      </c>
      <c r="C122" s="130">
        <v>2494000</v>
      </c>
      <c r="D122" s="4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9"/>
      <c r="V122" s="129"/>
    </row>
    <row r="123" spans="2:22" ht="15.75" thickTop="1" x14ac:dyDescent="0.25">
      <c r="B123" s="4"/>
      <c r="C123" s="131">
        <f>SUM(C121:C122)</f>
        <v>358898927</v>
      </c>
      <c r="D123" s="4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9"/>
      <c r="V123" s="129"/>
    </row>
    <row r="124" spans="2:22" x14ac:dyDescent="0.25">
      <c r="B124" s="4"/>
      <c r="C124" s="5"/>
      <c r="D124" s="4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9"/>
      <c r="V124" s="129"/>
    </row>
    <row r="125" spans="2:22" x14ac:dyDescent="0.25">
      <c r="B125" s="4"/>
      <c r="C125" s="132">
        <f>C123-N93</f>
        <v>0</v>
      </c>
      <c r="D125" s="4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9"/>
      <c r="V125" s="129"/>
    </row>
    <row r="126" spans="2:22" x14ac:dyDescent="0.25">
      <c r="B126" s="128" t="s">
        <v>135</v>
      </c>
      <c r="C126" s="5"/>
      <c r="D126" s="4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9"/>
      <c r="V126" s="129"/>
    </row>
    <row r="127" spans="2:22" x14ac:dyDescent="0.25">
      <c r="B127" s="4" t="s">
        <v>113</v>
      </c>
      <c r="C127" s="5">
        <v>323035332</v>
      </c>
      <c r="D127" s="4"/>
      <c r="E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9"/>
      <c r="V127" s="129"/>
    </row>
    <row r="128" spans="2:22" ht="15.75" thickBot="1" x14ac:dyDescent="0.3">
      <c r="B128" s="4" t="s">
        <v>114</v>
      </c>
      <c r="C128" s="130">
        <v>4671000</v>
      </c>
      <c r="D128" s="4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9"/>
      <c r="V128" s="129"/>
    </row>
    <row r="129" spans="2:22" ht="15.75" thickTop="1" x14ac:dyDescent="0.25">
      <c r="B129" s="4"/>
      <c r="C129" s="131">
        <f>SUM(C127:C128)</f>
        <v>327706332</v>
      </c>
      <c r="D129" s="4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9"/>
      <c r="V129" s="129"/>
    </row>
    <row r="130" spans="2:22" x14ac:dyDescent="0.25">
      <c r="B130" s="4"/>
      <c r="C130" s="5"/>
      <c r="D130" s="4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9"/>
      <c r="V130" s="129"/>
    </row>
    <row r="131" spans="2:22" x14ac:dyDescent="0.25">
      <c r="B131" s="4"/>
      <c r="C131" s="132">
        <f>C129-M93</f>
        <v>0</v>
      </c>
      <c r="D131" s="4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9"/>
      <c r="V131" s="129"/>
    </row>
    <row r="132" spans="2:22" x14ac:dyDescent="0.25">
      <c r="B132" s="128" t="s">
        <v>136</v>
      </c>
      <c r="C132" s="5"/>
      <c r="D132" s="4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9"/>
      <c r="V132" s="129"/>
    </row>
    <row r="133" spans="2:22" x14ac:dyDescent="0.25">
      <c r="B133" s="4" t="s">
        <v>113</v>
      </c>
      <c r="C133" s="5">
        <v>329378871</v>
      </c>
      <c r="D133" s="4"/>
      <c r="E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9"/>
      <c r="V133" s="129"/>
    </row>
    <row r="134" spans="2:22" ht="15.75" thickBot="1" x14ac:dyDescent="0.3">
      <c r="B134" s="4" t="s">
        <v>114</v>
      </c>
      <c r="C134" s="130">
        <v>1790000</v>
      </c>
      <c r="D134" s="4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9"/>
      <c r="V134" s="129"/>
    </row>
    <row r="135" spans="2:22" ht="15.75" thickTop="1" x14ac:dyDescent="0.25">
      <c r="B135" s="4"/>
      <c r="C135" s="131">
        <f>SUM(C133:C134)</f>
        <v>331168871</v>
      </c>
      <c r="D135" s="4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9"/>
      <c r="V135" s="129"/>
    </row>
    <row r="136" spans="2:22" x14ac:dyDescent="0.25">
      <c r="B136" s="4"/>
      <c r="C136" s="5"/>
      <c r="D136" s="4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9"/>
      <c r="V136" s="129"/>
    </row>
    <row r="137" spans="2:22" x14ac:dyDescent="0.25">
      <c r="B137" s="4"/>
      <c r="C137" s="132">
        <f>C135-L93</f>
        <v>0</v>
      </c>
      <c r="D137" s="4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9"/>
      <c r="V137" s="129"/>
    </row>
    <row r="138" spans="2:22" x14ac:dyDescent="0.25">
      <c r="B138" s="128" t="s">
        <v>137</v>
      </c>
      <c r="C138" s="5"/>
      <c r="D138" s="4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9"/>
      <c r="V138" s="129"/>
    </row>
    <row r="139" spans="2:22" x14ac:dyDescent="0.25">
      <c r="B139" s="4" t="s">
        <v>113</v>
      </c>
      <c r="C139" s="5">
        <v>328508855</v>
      </c>
      <c r="D139" s="4"/>
      <c r="E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9"/>
      <c r="V139" s="129"/>
    </row>
    <row r="140" spans="2:22" ht="15.75" thickBot="1" x14ac:dyDescent="0.3">
      <c r="B140" s="4" t="s">
        <v>114</v>
      </c>
      <c r="C140" s="130">
        <v>2603000</v>
      </c>
      <c r="D140" s="4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9"/>
      <c r="V140" s="129"/>
    </row>
    <row r="141" spans="2:22" ht="15.75" thickTop="1" x14ac:dyDescent="0.25">
      <c r="B141" s="4"/>
      <c r="C141" s="131">
        <f>SUM(C139:C140)</f>
        <v>331111855</v>
      </c>
      <c r="D141" s="4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9"/>
      <c r="V141" s="129"/>
    </row>
    <row r="142" spans="2:22" x14ac:dyDescent="0.25">
      <c r="B142" s="4"/>
      <c r="C142" s="5"/>
      <c r="D142" s="4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9"/>
      <c r="V142" s="129"/>
    </row>
    <row r="143" spans="2:22" x14ac:dyDescent="0.25">
      <c r="B143" s="4"/>
      <c r="C143" s="132">
        <f>C141-K93</f>
        <v>0</v>
      </c>
      <c r="D143" s="4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9"/>
      <c r="V143" s="129"/>
    </row>
    <row r="144" spans="2:22" x14ac:dyDescent="0.25">
      <c r="B144" s="128" t="s">
        <v>138</v>
      </c>
      <c r="C144" s="5"/>
      <c r="D144" s="4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9"/>
      <c r="V144" s="129"/>
    </row>
    <row r="145" spans="2:22" x14ac:dyDescent="0.25">
      <c r="B145" s="4" t="s">
        <v>113</v>
      </c>
      <c r="C145" s="5">
        <v>376255240</v>
      </c>
      <c r="D145" s="4"/>
      <c r="E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9"/>
      <c r="V145" s="129"/>
    </row>
    <row r="146" spans="2:22" ht="15.75" thickBot="1" x14ac:dyDescent="0.3">
      <c r="B146" s="4" t="s">
        <v>114</v>
      </c>
      <c r="C146" s="130">
        <v>1589000</v>
      </c>
      <c r="D146" s="4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9"/>
      <c r="V146" s="129"/>
    </row>
    <row r="147" spans="2:22" ht="15.75" thickTop="1" x14ac:dyDescent="0.25">
      <c r="B147" s="4"/>
      <c r="C147" s="131">
        <f>SUM(C145:C146)</f>
        <v>377844240</v>
      </c>
      <c r="D147" s="4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9"/>
      <c r="V147" s="129"/>
    </row>
    <row r="148" spans="2:22" x14ac:dyDescent="0.25">
      <c r="B148" s="4"/>
      <c r="C148" s="5"/>
      <c r="D148" s="4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9"/>
      <c r="V148" s="129"/>
    </row>
    <row r="149" spans="2:22" x14ac:dyDescent="0.25">
      <c r="B149" s="4"/>
      <c r="C149" s="132">
        <f>C147-J93</f>
        <v>0</v>
      </c>
      <c r="D149" s="4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9"/>
      <c r="V149" s="129"/>
    </row>
    <row r="150" spans="2:22" x14ac:dyDescent="0.25">
      <c r="B150" s="128" t="s">
        <v>139</v>
      </c>
      <c r="C150" s="5"/>
      <c r="D150" s="4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9"/>
      <c r="V150" s="129"/>
    </row>
    <row r="151" spans="2:22" x14ac:dyDescent="0.25">
      <c r="B151" s="4" t="s">
        <v>113</v>
      </c>
      <c r="C151" s="5">
        <v>394399164</v>
      </c>
      <c r="D151" s="4"/>
      <c r="E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9"/>
      <c r="V151" s="129"/>
    </row>
    <row r="152" spans="2:22" ht="15.75" thickBot="1" x14ac:dyDescent="0.3">
      <c r="B152" s="4" t="s">
        <v>114</v>
      </c>
      <c r="C152" s="130">
        <v>5195000</v>
      </c>
      <c r="D152" s="4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9"/>
      <c r="V152" s="129"/>
    </row>
    <row r="153" spans="2:22" ht="15.75" thickTop="1" x14ac:dyDescent="0.25">
      <c r="B153" s="4"/>
      <c r="C153" s="131">
        <f>SUM(C151:C152)</f>
        <v>399594164</v>
      </c>
      <c r="D153" s="4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9"/>
      <c r="V153" s="129"/>
    </row>
    <row r="154" spans="2:22" x14ac:dyDescent="0.25">
      <c r="B154" s="4"/>
      <c r="C154" s="5"/>
      <c r="D154" s="4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9"/>
      <c r="V154" s="129"/>
    </row>
    <row r="155" spans="2:22" x14ac:dyDescent="0.25">
      <c r="B155" s="4"/>
      <c r="C155" s="132">
        <f>C153-I93</f>
        <v>0</v>
      </c>
      <c r="D155" s="4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9"/>
      <c r="V155" s="129"/>
    </row>
    <row r="156" spans="2:22" x14ac:dyDescent="0.25">
      <c r="B156" s="128" t="s">
        <v>140</v>
      </c>
      <c r="C156" s="5"/>
      <c r="D156" s="4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9"/>
      <c r="V156" s="129"/>
    </row>
    <row r="157" spans="2:22" x14ac:dyDescent="0.25">
      <c r="B157" s="4" t="s">
        <v>113</v>
      </c>
      <c r="C157" s="5">
        <v>362542602</v>
      </c>
      <c r="D157" s="4"/>
      <c r="E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9"/>
      <c r="V157" s="129"/>
    </row>
    <row r="158" spans="2:22" ht="15.75" thickBot="1" x14ac:dyDescent="0.3">
      <c r="B158" s="4" t="s">
        <v>114</v>
      </c>
      <c r="C158" s="130">
        <v>7904000</v>
      </c>
      <c r="D158" s="4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9"/>
      <c r="V158" s="129"/>
    </row>
    <row r="159" spans="2:22" ht="15.75" thickTop="1" x14ac:dyDescent="0.25">
      <c r="B159" s="4"/>
      <c r="C159" s="131">
        <f>SUM(C157:C158)</f>
        <v>370446602</v>
      </c>
      <c r="D159" s="4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9"/>
      <c r="V159" s="129"/>
    </row>
    <row r="160" spans="2:22" x14ac:dyDescent="0.25">
      <c r="B160" s="4"/>
      <c r="C160" s="5"/>
      <c r="D160" s="4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9"/>
      <c r="V160" s="129"/>
    </row>
    <row r="161" spans="1:22" x14ac:dyDescent="0.25">
      <c r="B161" s="4"/>
      <c r="C161" s="132">
        <f>C159-H93</f>
        <v>0</v>
      </c>
      <c r="D161" s="4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9"/>
      <c r="V161" s="129"/>
    </row>
    <row r="162" spans="1:22" x14ac:dyDescent="0.25">
      <c r="B162" s="128" t="s">
        <v>141</v>
      </c>
      <c r="C162" s="5"/>
      <c r="D162" s="4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9"/>
      <c r="V162" s="129"/>
    </row>
    <row r="163" spans="1:22" x14ac:dyDescent="0.25">
      <c r="B163" s="4" t="s">
        <v>113</v>
      </c>
      <c r="C163" s="5">
        <v>415060533</v>
      </c>
      <c r="D163" s="4"/>
      <c r="E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9"/>
      <c r="V163" s="129"/>
    </row>
    <row r="164" spans="1:22" ht="15.75" thickBot="1" x14ac:dyDescent="0.3">
      <c r="B164" s="4" t="s">
        <v>114</v>
      </c>
      <c r="C164" s="130">
        <v>6552000</v>
      </c>
      <c r="D164" s="4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9"/>
      <c r="V164" s="129"/>
    </row>
    <row r="165" spans="1:22" ht="15.75" thickTop="1" x14ac:dyDescent="0.25">
      <c r="B165" s="4"/>
      <c r="C165" s="131">
        <f>SUM(C163:C164)</f>
        <v>421612533</v>
      </c>
      <c r="D165" s="4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9"/>
      <c r="V165" s="129"/>
    </row>
    <row r="166" spans="1:22" x14ac:dyDescent="0.25">
      <c r="B166" s="4"/>
      <c r="C166" s="5"/>
      <c r="D166" s="4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9"/>
      <c r="V166" s="129"/>
    </row>
    <row r="167" spans="1:22" x14ac:dyDescent="0.25">
      <c r="B167" s="4"/>
      <c r="C167" s="132">
        <f>C165-G93</f>
        <v>0</v>
      </c>
      <c r="D167" s="4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9"/>
      <c r="V167" s="129"/>
    </row>
    <row r="168" spans="1:22" s="4" customFormat="1" ht="14.25" x14ac:dyDescent="0.2">
      <c r="A168" s="3"/>
      <c r="C168" s="5"/>
      <c r="U168" s="6"/>
    </row>
    <row r="169" spans="1:22" s="4" customFormat="1" ht="14.25" x14ac:dyDescent="0.2">
      <c r="A169" s="3"/>
      <c r="C169" s="5"/>
      <c r="U169" s="6"/>
    </row>
    <row r="170" spans="1:22" s="4" customFormat="1" ht="14.25" x14ac:dyDescent="0.2">
      <c r="A170" s="3"/>
      <c r="C170" s="5"/>
      <c r="U170" s="6"/>
    </row>
  </sheetData>
  <mergeCells count="12">
    <mergeCell ref="V4:V5"/>
    <mergeCell ref="U95:V95"/>
    <mergeCell ref="A1:V1"/>
    <mergeCell ref="A2:V2"/>
    <mergeCell ref="A4:A5"/>
    <mergeCell ref="B4:C5"/>
    <mergeCell ref="D4:E5"/>
    <mergeCell ref="F4:F5"/>
    <mergeCell ref="G4:R4"/>
    <mergeCell ref="S4:S5"/>
    <mergeCell ref="T4:T5"/>
    <mergeCell ref="U4:U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2D0C-8C9C-4A31-95CF-28F9090C5B91}">
  <dimension ref="A1:AB179"/>
  <sheetViews>
    <sheetView topLeftCell="C111" zoomScale="65" zoomScaleNormal="65" workbookViewId="0">
      <selection activeCell="X102" sqref="X102"/>
    </sheetView>
  </sheetViews>
  <sheetFormatPr defaultRowHeight="15" x14ac:dyDescent="0.25"/>
  <cols>
    <col min="1" max="1" width="3.85546875" bestFit="1" customWidth="1"/>
    <col min="2" max="2" width="42.28515625" bestFit="1" customWidth="1"/>
    <col min="3" max="3" width="24.140625" bestFit="1" customWidth="1"/>
    <col min="4" max="4" width="20.7109375" bestFit="1" customWidth="1"/>
    <col min="5" max="5" width="29.42578125" bestFit="1" customWidth="1"/>
    <col min="6" max="6" width="12" bestFit="1" customWidth="1"/>
    <col min="7" max="18" width="14.28515625" bestFit="1" customWidth="1"/>
    <col min="19" max="20" width="16" bestFit="1" customWidth="1"/>
    <col min="21" max="21" width="13.28515625" bestFit="1" customWidth="1"/>
    <col min="22" max="22" width="14.28515625" bestFit="1" customWidth="1"/>
    <col min="23" max="23" width="1.42578125" bestFit="1" customWidth="1"/>
  </cols>
  <sheetData>
    <row r="1" spans="1:28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73"/>
      <c r="X1" s="273"/>
      <c r="Y1" s="273"/>
      <c r="Z1" s="273"/>
      <c r="AA1" s="273"/>
      <c r="AB1" s="273"/>
    </row>
    <row r="2" spans="1:28" ht="18.75" thickBot="1" x14ac:dyDescent="0.3">
      <c r="A2" s="2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73"/>
      <c r="X2" s="273"/>
      <c r="Y2" s="273"/>
      <c r="Z2" s="273"/>
      <c r="AA2" s="273"/>
      <c r="AB2" s="273"/>
    </row>
    <row r="3" spans="1:28" ht="16.5" thickTop="1" thickBot="1" x14ac:dyDescent="0.3">
      <c r="A3" s="276"/>
      <c r="B3" s="277"/>
      <c r="C3" s="328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8"/>
      <c r="V3" s="277"/>
      <c r="W3" s="273"/>
      <c r="X3" s="273"/>
      <c r="Y3" s="273"/>
      <c r="Z3" s="273"/>
      <c r="AA3" s="273"/>
      <c r="AB3" s="273"/>
    </row>
    <row r="4" spans="1:28" ht="15.75" thickBot="1" x14ac:dyDescent="0.3">
      <c r="A4" s="7" t="s">
        <v>2</v>
      </c>
      <c r="B4" s="7" t="s">
        <v>3</v>
      </c>
      <c r="C4" s="8"/>
      <c r="D4" s="7" t="s">
        <v>4</v>
      </c>
      <c r="E4" s="8"/>
      <c r="F4" s="9" t="s">
        <v>5</v>
      </c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3" t="s">
        <v>7</v>
      </c>
      <c r="T4" s="13" t="s">
        <v>8</v>
      </c>
      <c r="U4" s="14" t="s">
        <v>9</v>
      </c>
      <c r="V4" s="15" t="s">
        <v>10</v>
      </c>
      <c r="W4" s="310"/>
      <c r="X4" s="310"/>
      <c r="Y4" s="401"/>
      <c r="Z4" s="401"/>
      <c r="AA4" s="401"/>
      <c r="AB4" s="401"/>
    </row>
    <row r="5" spans="1:28" ht="15.75" thickBot="1" x14ac:dyDescent="0.3">
      <c r="A5" s="17"/>
      <c r="B5" s="17"/>
      <c r="C5" s="18"/>
      <c r="D5" s="17"/>
      <c r="E5" s="18"/>
      <c r="F5" s="19"/>
      <c r="G5" s="353" t="s">
        <v>11</v>
      </c>
      <c r="H5" s="353" t="s">
        <v>12</v>
      </c>
      <c r="I5" s="353" t="s">
        <v>13</v>
      </c>
      <c r="J5" s="353" t="s">
        <v>14</v>
      </c>
      <c r="K5" s="353" t="s">
        <v>15</v>
      </c>
      <c r="L5" s="353" t="s">
        <v>16</v>
      </c>
      <c r="M5" s="353" t="s">
        <v>17</v>
      </c>
      <c r="N5" s="353" t="s">
        <v>18</v>
      </c>
      <c r="O5" s="353" t="s">
        <v>19</v>
      </c>
      <c r="P5" s="360" t="s">
        <v>20</v>
      </c>
      <c r="Q5" s="360" t="s">
        <v>21</v>
      </c>
      <c r="R5" s="360" t="s">
        <v>22</v>
      </c>
      <c r="S5" s="22"/>
      <c r="T5" s="22"/>
      <c r="U5" s="23"/>
      <c r="V5" s="24"/>
      <c r="W5" s="310"/>
      <c r="X5" s="310"/>
      <c r="Y5" s="401"/>
      <c r="Z5" s="401"/>
      <c r="AA5" s="401"/>
      <c r="AB5" s="401"/>
    </row>
    <row r="6" spans="1:28" x14ac:dyDescent="0.25">
      <c r="A6" s="279"/>
      <c r="B6" s="280"/>
      <c r="C6" s="329"/>
      <c r="D6" s="280"/>
      <c r="E6" s="281"/>
      <c r="F6" s="282"/>
      <c r="G6" s="283"/>
      <c r="H6" s="283"/>
      <c r="I6" s="283"/>
      <c r="J6" s="283"/>
      <c r="K6" s="283"/>
      <c r="L6" s="283"/>
      <c r="M6" s="283"/>
      <c r="N6" s="283"/>
      <c r="O6" s="283"/>
      <c r="P6" s="368"/>
      <c r="Q6" s="282"/>
      <c r="R6" s="376"/>
      <c r="S6" s="284"/>
      <c r="T6" s="284"/>
      <c r="U6" s="285"/>
      <c r="V6" s="284"/>
      <c r="W6" s="273"/>
      <c r="X6" s="273"/>
      <c r="Y6" s="273"/>
      <c r="Z6" s="273"/>
      <c r="AA6" s="273"/>
      <c r="AB6" s="273"/>
    </row>
    <row r="7" spans="1:28" x14ac:dyDescent="0.25">
      <c r="A7" s="286">
        <v>1</v>
      </c>
      <c r="B7" s="287" t="s">
        <v>23</v>
      </c>
      <c r="C7" s="330" t="s">
        <v>50</v>
      </c>
      <c r="D7" s="309" t="s">
        <v>25</v>
      </c>
      <c r="E7" s="288"/>
      <c r="F7" s="289" t="s">
        <v>26</v>
      </c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89"/>
      <c r="R7" s="287"/>
      <c r="S7" s="291"/>
      <c r="T7" s="291"/>
      <c r="U7" s="292"/>
      <c r="V7" s="291"/>
      <c r="W7" s="273"/>
      <c r="X7" s="273"/>
      <c r="Y7" s="273"/>
      <c r="Z7" s="273"/>
      <c r="AA7" s="273"/>
      <c r="AB7" s="273"/>
    </row>
    <row r="8" spans="1:28" x14ac:dyDescent="0.25">
      <c r="A8" s="286"/>
      <c r="B8" s="287" t="s">
        <v>27</v>
      </c>
      <c r="C8" s="330" t="s">
        <v>28</v>
      </c>
      <c r="D8" s="287"/>
      <c r="E8" s="288" t="s">
        <v>29</v>
      </c>
      <c r="F8" s="289" t="s">
        <v>30</v>
      </c>
      <c r="G8" s="293">
        <v>4400000</v>
      </c>
      <c r="H8" s="293">
        <v>1985000</v>
      </c>
      <c r="I8" s="293">
        <v>2050000</v>
      </c>
      <c r="J8" s="293">
        <v>1230000</v>
      </c>
      <c r="K8" s="293">
        <v>2695000</v>
      </c>
      <c r="L8" s="293">
        <v>2870000</v>
      </c>
      <c r="M8" s="293">
        <v>2410000</v>
      </c>
      <c r="N8" s="293">
        <v>2790000</v>
      </c>
      <c r="O8" s="293">
        <v>3105000</v>
      </c>
      <c r="P8" s="293">
        <v>4864000</v>
      </c>
      <c r="Q8" s="361">
        <v>4950000</v>
      </c>
      <c r="R8" s="377">
        <v>460000</v>
      </c>
      <c r="S8" s="294">
        <v>33809000</v>
      </c>
      <c r="T8" s="396">
        <v>40522240</v>
      </c>
      <c r="U8" s="292">
        <v>0.83433196190536363</v>
      </c>
      <c r="V8" s="295">
        <v>2817416.6666666665</v>
      </c>
      <c r="W8" s="273"/>
      <c r="X8" s="273"/>
      <c r="Y8" s="273"/>
      <c r="Z8" s="273"/>
      <c r="AA8" s="273"/>
      <c r="AB8" s="273"/>
    </row>
    <row r="9" spans="1:28" x14ac:dyDescent="0.25">
      <c r="A9" s="286"/>
      <c r="B9" s="287"/>
      <c r="C9" s="330" t="s">
        <v>71</v>
      </c>
      <c r="D9" s="287"/>
      <c r="E9" s="288" t="s">
        <v>32</v>
      </c>
      <c r="F9" s="289"/>
      <c r="G9" s="293">
        <v>8538700</v>
      </c>
      <c r="H9" s="293">
        <v>5719000</v>
      </c>
      <c r="I9" s="293">
        <v>4693000</v>
      </c>
      <c r="J9" s="293">
        <v>6213000</v>
      </c>
      <c r="K9" s="293">
        <v>8014500</v>
      </c>
      <c r="L9" s="293">
        <v>7870000</v>
      </c>
      <c r="M9" s="293">
        <v>4503500</v>
      </c>
      <c r="N9" s="293">
        <v>4299000</v>
      </c>
      <c r="O9" s="293">
        <v>3855000</v>
      </c>
      <c r="P9" s="293">
        <v>4938200</v>
      </c>
      <c r="Q9" s="361">
        <v>2771000</v>
      </c>
      <c r="R9" s="377">
        <v>5073000</v>
      </c>
      <c r="S9" s="294">
        <v>66487900</v>
      </c>
      <c r="T9" s="397">
        <v>106726335</v>
      </c>
      <c r="U9" s="292">
        <v>0.62297557580329166</v>
      </c>
      <c r="V9" s="295">
        <v>5540658.333333333</v>
      </c>
      <c r="W9" s="273"/>
      <c r="X9" s="273"/>
      <c r="Y9" s="273"/>
      <c r="Z9" s="273"/>
      <c r="AA9" s="273"/>
      <c r="AB9" s="273"/>
    </row>
    <row r="10" spans="1:28" x14ac:dyDescent="0.25">
      <c r="A10" s="286"/>
      <c r="B10" s="287"/>
      <c r="C10" s="330" t="s">
        <v>162</v>
      </c>
      <c r="D10" s="287" t="s">
        <v>34</v>
      </c>
      <c r="E10" s="288" t="s">
        <v>35</v>
      </c>
      <c r="F10" s="289"/>
      <c r="G10" s="293">
        <v>6691000</v>
      </c>
      <c r="H10" s="293">
        <v>7340000</v>
      </c>
      <c r="I10" s="293">
        <v>10131000</v>
      </c>
      <c r="J10" s="293">
        <v>4157000</v>
      </c>
      <c r="K10" s="293">
        <v>8386000</v>
      </c>
      <c r="L10" s="293">
        <v>7377000</v>
      </c>
      <c r="M10" s="293">
        <v>4857000</v>
      </c>
      <c r="N10" s="293">
        <v>7260000</v>
      </c>
      <c r="O10" s="293">
        <v>6060000</v>
      </c>
      <c r="P10" s="293">
        <v>4382000</v>
      </c>
      <c r="Q10" s="361">
        <v>4285000</v>
      </c>
      <c r="R10" s="377">
        <v>1100000</v>
      </c>
      <c r="S10" s="294">
        <v>72026000</v>
      </c>
      <c r="T10" s="397">
        <v>114774475</v>
      </c>
      <c r="U10" s="292">
        <v>0.62754371126507003</v>
      </c>
      <c r="V10" s="295">
        <v>6002166.666666667</v>
      </c>
      <c r="W10" s="273"/>
      <c r="X10" s="273"/>
      <c r="Y10" s="273"/>
      <c r="Z10" s="273"/>
      <c r="AA10" s="273"/>
      <c r="AB10" s="273"/>
    </row>
    <row r="11" spans="1:28" x14ac:dyDescent="0.25">
      <c r="A11" s="286"/>
      <c r="B11" s="287"/>
      <c r="C11" s="330"/>
      <c r="D11" s="287"/>
      <c r="E11" s="288" t="s">
        <v>36</v>
      </c>
      <c r="F11" s="289"/>
      <c r="G11" s="293">
        <v>6420000</v>
      </c>
      <c r="H11" s="293">
        <v>5105500</v>
      </c>
      <c r="I11" s="293">
        <v>6847000</v>
      </c>
      <c r="J11" s="293">
        <v>5504500</v>
      </c>
      <c r="K11" s="293">
        <v>7253000</v>
      </c>
      <c r="L11" s="293">
        <v>6216000</v>
      </c>
      <c r="M11" s="293">
        <v>5650000</v>
      </c>
      <c r="N11" s="293">
        <v>3741000</v>
      </c>
      <c r="O11" s="293">
        <v>5798000</v>
      </c>
      <c r="P11" s="293">
        <v>5990000</v>
      </c>
      <c r="Q11" s="361">
        <v>2971000</v>
      </c>
      <c r="R11" s="377">
        <v>1435000</v>
      </c>
      <c r="S11" s="294">
        <v>62931000</v>
      </c>
      <c r="T11" s="397">
        <v>96538518</v>
      </c>
      <c r="U11" s="292">
        <v>0.65187451914271155</v>
      </c>
      <c r="V11" s="295">
        <v>5244250</v>
      </c>
      <c r="W11" s="273"/>
      <c r="X11" s="273"/>
      <c r="Y11" s="273"/>
      <c r="Z11" s="273"/>
      <c r="AA11" s="273"/>
      <c r="AB11" s="273"/>
    </row>
    <row r="12" spans="1:28" x14ac:dyDescent="0.25">
      <c r="A12" s="286"/>
      <c r="B12" s="287"/>
      <c r="C12" s="330"/>
      <c r="D12" s="287"/>
      <c r="E12" s="288" t="s">
        <v>37</v>
      </c>
      <c r="F12" s="289"/>
      <c r="G12" s="293">
        <v>8898000</v>
      </c>
      <c r="H12" s="293">
        <v>10308000</v>
      </c>
      <c r="I12" s="293">
        <v>8660500</v>
      </c>
      <c r="J12" s="293">
        <v>8666500</v>
      </c>
      <c r="K12" s="293">
        <v>7041000</v>
      </c>
      <c r="L12" s="293">
        <v>7373500</v>
      </c>
      <c r="M12" s="293">
        <v>7058500</v>
      </c>
      <c r="N12" s="293">
        <v>5488000</v>
      </c>
      <c r="O12" s="293">
        <v>6486000</v>
      </c>
      <c r="P12" s="293">
        <v>8343500</v>
      </c>
      <c r="Q12" s="361">
        <v>9512500</v>
      </c>
      <c r="R12" s="377">
        <v>7672000</v>
      </c>
      <c r="S12" s="294">
        <v>95508000</v>
      </c>
      <c r="T12" s="397">
        <v>126112678</v>
      </c>
      <c r="U12" s="292">
        <v>0.75732274910536745</v>
      </c>
      <c r="V12" s="295">
        <v>7959000</v>
      </c>
      <c r="W12" s="273"/>
      <c r="X12" s="273"/>
      <c r="Y12" s="273"/>
      <c r="Z12" s="273"/>
      <c r="AA12" s="273"/>
      <c r="AB12" s="273"/>
    </row>
    <row r="13" spans="1:28" x14ac:dyDescent="0.25">
      <c r="A13" s="286"/>
      <c r="B13" s="287"/>
      <c r="C13" s="330"/>
      <c r="D13" s="287"/>
      <c r="E13" s="288" t="s">
        <v>38</v>
      </c>
      <c r="F13" s="289"/>
      <c r="G13" s="304">
        <v>7078000</v>
      </c>
      <c r="H13" s="293">
        <v>6932600</v>
      </c>
      <c r="I13" s="293">
        <v>8423000</v>
      </c>
      <c r="J13" s="293">
        <v>6202000</v>
      </c>
      <c r="K13" s="293">
        <v>11114500</v>
      </c>
      <c r="L13" s="293">
        <v>6909500</v>
      </c>
      <c r="M13" s="293">
        <v>5180500</v>
      </c>
      <c r="N13" s="293">
        <v>2791500</v>
      </c>
      <c r="O13" s="293">
        <v>3834500</v>
      </c>
      <c r="P13" s="293">
        <v>10844500</v>
      </c>
      <c r="Q13" s="361">
        <v>14324000</v>
      </c>
      <c r="R13" s="377">
        <v>9266500</v>
      </c>
      <c r="S13" s="294">
        <v>92901100</v>
      </c>
      <c r="T13" s="397">
        <v>151458847</v>
      </c>
      <c r="U13" s="285">
        <v>0.6133751962339975</v>
      </c>
      <c r="V13" s="295">
        <v>7741758.333333333</v>
      </c>
      <c r="W13" s="273"/>
      <c r="X13" s="273"/>
      <c r="Y13" s="273"/>
      <c r="Z13" s="273"/>
      <c r="AA13" s="273"/>
      <c r="AB13" s="273"/>
    </row>
    <row r="14" spans="1:28" ht="15.75" thickBot="1" x14ac:dyDescent="0.3">
      <c r="A14" s="286"/>
      <c r="B14" s="287"/>
      <c r="C14" s="330"/>
      <c r="D14" s="287"/>
      <c r="E14" s="288" t="s">
        <v>39</v>
      </c>
      <c r="F14" s="289"/>
      <c r="G14" s="296">
        <v>522000</v>
      </c>
      <c r="H14" s="296">
        <v>1570000</v>
      </c>
      <c r="I14" s="296">
        <v>935000</v>
      </c>
      <c r="J14" s="296">
        <v>450000</v>
      </c>
      <c r="K14" s="296">
        <v>1145000</v>
      </c>
      <c r="L14" s="296">
        <v>400000</v>
      </c>
      <c r="M14" s="296">
        <v>0</v>
      </c>
      <c r="N14" s="296">
        <v>620000</v>
      </c>
      <c r="O14" s="296">
        <v>300000</v>
      </c>
      <c r="P14" s="296">
        <v>1150000</v>
      </c>
      <c r="Q14" s="362">
        <v>422000</v>
      </c>
      <c r="R14" s="378">
        <v>567000</v>
      </c>
      <c r="S14" s="294">
        <v>8081000</v>
      </c>
      <c r="T14" s="398">
        <v>15823450</v>
      </c>
      <c r="U14" s="292">
        <v>0.5106977302674196</v>
      </c>
      <c r="V14" s="295">
        <v>673416.66666666663</v>
      </c>
      <c r="W14" s="273"/>
      <c r="X14" s="273"/>
      <c r="Y14" s="273"/>
      <c r="Z14" s="273"/>
      <c r="AA14" s="273"/>
      <c r="AB14" s="273"/>
    </row>
    <row r="15" spans="1:28" ht="15.75" thickBot="1" x14ac:dyDescent="0.3">
      <c r="A15" s="314"/>
      <c r="B15" s="315"/>
      <c r="C15" s="331"/>
      <c r="D15" s="315"/>
      <c r="E15" s="316"/>
      <c r="F15" s="317"/>
      <c r="G15" s="318">
        <v>42547700</v>
      </c>
      <c r="H15" s="318">
        <v>38960100</v>
      </c>
      <c r="I15" s="318">
        <v>41739500</v>
      </c>
      <c r="J15" s="318">
        <v>32423000</v>
      </c>
      <c r="K15" s="318">
        <v>45649000</v>
      </c>
      <c r="L15" s="318">
        <v>39016000</v>
      </c>
      <c r="M15" s="318">
        <v>29659500</v>
      </c>
      <c r="N15" s="318">
        <v>26989500</v>
      </c>
      <c r="O15" s="318">
        <v>29438500</v>
      </c>
      <c r="P15" s="318">
        <v>40512200</v>
      </c>
      <c r="Q15" s="374">
        <v>39235500</v>
      </c>
      <c r="R15" s="318">
        <v>25573500</v>
      </c>
      <c r="S15" s="319">
        <v>431744000</v>
      </c>
      <c r="T15" s="319">
        <v>651956543</v>
      </c>
      <c r="U15" s="320">
        <v>0.66222818780729686</v>
      </c>
      <c r="V15" s="321">
        <v>35978666.666666664</v>
      </c>
      <c r="W15" s="322"/>
      <c r="X15" s="322"/>
      <c r="Y15" s="402"/>
      <c r="Z15" s="402"/>
      <c r="AA15" s="400"/>
      <c r="AB15" s="402"/>
    </row>
    <row r="16" spans="1:28" x14ac:dyDescent="0.25">
      <c r="A16" s="279"/>
      <c r="B16" s="280"/>
      <c r="C16" s="329"/>
      <c r="D16" s="280"/>
      <c r="E16" s="281"/>
      <c r="F16" s="28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63"/>
      <c r="R16" s="379"/>
      <c r="S16" s="284"/>
      <c r="T16" s="284"/>
      <c r="U16" s="285"/>
      <c r="V16" s="284"/>
      <c r="W16" s="273"/>
      <c r="X16" s="273"/>
      <c r="Y16" s="273"/>
      <c r="Z16" s="273"/>
      <c r="AA16" s="273"/>
      <c r="AB16" s="273"/>
    </row>
    <row r="17" spans="1:28" x14ac:dyDescent="0.25">
      <c r="A17" s="286">
        <v>2</v>
      </c>
      <c r="B17" s="287" t="s">
        <v>23</v>
      </c>
      <c r="C17" s="330" t="s">
        <v>40</v>
      </c>
      <c r="D17" s="309" t="s">
        <v>41</v>
      </c>
      <c r="E17" s="288"/>
      <c r="F17" s="289" t="s">
        <v>26</v>
      </c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89"/>
      <c r="R17" s="287"/>
      <c r="S17" s="291"/>
      <c r="T17" s="386"/>
      <c r="U17" s="292"/>
      <c r="V17" s="291"/>
      <c r="W17" s="273"/>
      <c r="X17" s="273"/>
      <c r="Y17" s="273"/>
      <c r="Z17" s="273"/>
      <c r="AA17" s="273"/>
      <c r="AB17" s="273"/>
    </row>
    <row r="18" spans="1:28" x14ac:dyDescent="0.25">
      <c r="A18" s="286"/>
      <c r="B18" s="287" t="s">
        <v>27</v>
      </c>
      <c r="C18" s="330" t="s">
        <v>42</v>
      </c>
      <c r="D18" s="287"/>
      <c r="E18" s="288" t="s">
        <v>43</v>
      </c>
      <c r="F18" s="289" t="s">
        <v>30</v>
      </c>
      <c r="G18" s="293">
        <v>24173681</v>
      </c>
      <c r="H18" s="293">
        <v>19375000</v>
      </c>
      <c r="I18" s="293">
        <v>17885000</v>
      </c>
      <c r="J18" s="293">
        <v>18815000</v>
      </c>
      <c r="K18" s="293">
        <v>20008500</v>
      </c>
      <c r="L18" s="293">
        <v>16830000</v>
      </c>
      <c r="M18" s="384">
        <v>15737000</v>
      </c>
      <c r="N18" s="293">
        <v>13903000</v>
      </c>
      <c r="O18" s="293">
        <v>12939500</v>
      </c>
      <c r="P18" s="369">
        <v>17720000</v>
      </c>
      <c r="Q18" s="361">
        <v>8351000</v>
      </c>
      <c r="R18" s="377">
        <v>9305000</v>
      </c>
      <c r="S18" s="294">
        <v>195042681</v>
      </c>
      <c r="T18" s="387">
        <v>203243155</v>
      </c>
      <c r="U18" s="292">
        <v>0.95965190562014258</v>
      </c>
      <c r="V18" s="295">
        <v>16253556.75</v>
      </c>
      <c r="W18" s="273"/>
      <c r="X18" s="273"/>
      <c r="Y18" s="273"/>
      <c r="Z18" s="273"/>
      <c r="AA18" s="273"/>
      <c r="AB18" s="273"/>
    </row>
    <row r="19" spans="1:28" x14ac:dyDescent="0.25">
      <c r="A19" s="286"/>
      <c r="B19" s="287"/>
      <c r="C19" s="330" t="s">
        <v>60</v>
      </c>
      <c r="D19" s="287"/>
      <c r="E19" s="288" t="s">
        <v>45</v>
      </c>
      <c r="F19" s="289"/>
      <c r="G19" s="293">
        <v>21522500</v>
      </c>
      <c r="H19" s="293">
        <v>17870000</v>
      </c>
      <c r="I19" s="293">
        <v>30070000</v>
      </c>
      <c r="J19" s="293">
        <v>19135000</v>
      </c>
      <c r="K19" s="293">
        <v>20814500</v>
      </c>
      <c r="L19" s="293">
        <v>22064500</v>
      </c>
      <c r="M19" s="293">
        <v>11489500</v>
      </c>
      <c r="N19" s="293">
        <v>16832500</v>
      </c>
      <c r="O19" s="293">
        <v>8018000</v>
      </c>
      <c r="P19" s="369">
        <v>11212500</v>
      </c>
      <c r="Q19" s="361">
        <v>15383000</v>
      </c>
      <c r="R19" s="377">
        <v>15374500</v>
      </c>
      <c r="S19" s="294">
        <v>209786500</v>
      </c>
      <c r="T19" s="387">
        <v>457325500</v>
      </c>
      <c r="U19" s="292">
        <v>0.45872469389964043</v>
      </c>
      <c r="V19" s="295">
        <v>17482208.333333332</v>
      </c>
      <c r="W19" s="273"/>
      <c r="X19" s="273"/>
      <c r="Y19" s="273"/>
      <c r="Z19" s="273"/>
      <c r="AA19" s="273"/>
      <c r="AB19" s="273"/>
    </row>
    <row r="20" spans="1:28" x14ac:dyDescent="0.25">
      <c r="A20" s="286"/>
      <c r="B20" s="287"/>
      <c r="C20" s="330" t="s">
        <v>163</v>
      </c>
      <c r="D20" s="287"/>
      <c r="E20" s="288" t="s">
        <v>46</v>
      </c>
      <c r="F20" s="289" t="s">
        <v>30</v>
      </c>
      <c r="G20" s="293">
        <v>1875000</v>
      </c>
      <c r="H20" s="293">
        <v>1415000</v>
      </c>
      <c r="I20" s="293">
        <v>1225000</v>
      </c>
      <c r="J20" s="293">
        <v>1982500</v>
      </c>
      <c r="K20" s="293">
        <v>650000</v>
      </c>
      <c r="L20" s="293">
        <v>655000</v>
      </c>
      <c r="M20" s="293">
        <v>242000</v>
      </c>
      <c r="N20" s="293">
        <v>1192000</v>
      </c>
      <c r="O20" s="293">
        <v>50000</v>
      </c>
      <c r="P20" s="369">
        <v>0</v>
      </c>
      <c r="Q20" s="361">
        <v>1290000</v>
      </c>
      <c r="R20" s="377">
        <v>705000</v>
      </c>
      <c r="S20" s="294">
        <v>11281500</v>
      </c>
      <c r="T20" s="387">
        <v>4074250</v>
      </c>
      <c r="U20" s="292">
        <v>2.768975885132233</v>
      </c>
      <c r="V20" s="295">
        <v>940125</v>
      </c>
      <c r="W20" s="273"/>
      <c r="X20" s="273"/>
      <c r="Y20" s="273"/>
      <c r="Z20" s="273"/>
      <c r="AA20" s="273"/>
      <c r="AB20" s="273"/>
    </row>
    <row r="21" spans="1:28" x14ac:dyDescent="0.25">
      <c r="A21" s="286"/>
      <c r="B21" s="287"/>
      <c r="C21" s="330"/>
      <c r="D21" s="287"/>
      <c r="E21" s="288" t="s">
        <v>127</v>
      </c>
      <c r="F21" s="289"/>
      <c r="G21" s="293">
        <v>0</v>
      </c>
      <c r="H21" s="293">
        <v>540000</v>
      </c>
      <c r="I21" s="293">
        <v>0</v>
      </c>
      <c r="J21" s="293">
        <v>0</v>
      </c>
      <c r="K21" s="293">
        <v>0</v>
      </c>
      <c r="L21" s="293">
        <v>0</v>
      </c>
      <c r="M21" s="293">
        <v>0</v>
      </c>
      <c r="N21" s="293">
        <v>0</v>
      </c>
      <c r="O21" s="293">
        <v>0</v>
      </c>
      <c r="P21" s="369">
        <v>0</v>
      </c>
      <c r="Q21" s="361">
        <v>0</v>
      </c>
      <c r="R21" s="377">
        <v>0</v>
      </c>
      <c r="S21" s="294">
        <v>540000</v>
      </c>
      <c r="T21" s="387">
        <v>517499.99999999994</v>
      </c>
      <c r="U21" s="292">
        <v>1.0434782608695654</v>
      </c>
      <c r="V21" s="295">
        <v>45000</v>
      </c>
      <c r="W21" s="273"/>
      <c r="X21" s="273"/>
      <c r="Y21" s="273"/>
      <c r="Z21" s="273"/>
      <c r="AA21" s="273"/>
      <c r="AB21" s="273"/>
    </row>
    <row r="22" spans="1:28" x14ac:dyDescent="0.25">
      <c r="A22" s="286"/>
      <c r="B22" s="287"/>
      <c r="C22" s="330"/>
      <c r="D22" s="287"/>
      <c r="E22" s="288" t="s">
        <v>47</v>
      </c>
      <c r="F22" s="289"/>
      <c r="G22" s="293">
        <v>22865000</v>
      </c>
      <c r="H22" s="293">
        <v>23323000</v>
      </c>
      <c r="I22" s="293">
        <v>22474500</v>
      </c>
      <c r="J22" s="293">
        <v>19571000</v>
      </c>
      <c r="K22" s="293">
        <v>28680000</v>
      </c>
      <c r="L22" s="293">
        <v>23184000</v>
      </c>
      <c r="M22" s="293">
        <v>18300050</v>
      </c>
      <c r="N22" s="293">
        <v>11376000</v>
      </c>
      <c r="O22" s="293">
        <v>13971490</v>
      </c>
      <c r="P22" s="369">
        <v>11248500</v>
      </c>
      <c r="Q22" s="361">
        <v>15225500</v>
      </c>
      <c r="R22" s="377">
        <v>17340000</v>
      </c>
      <c r="S22" s="294">
        <v>227559040</v>
      </c>
      <c r="T22" s="387">
        <v>406392500</v>
      </c>
      <c r="U22" s="292">
        <v>0.55994891638010047</v>
      </c>
      <c r="V22" s="295">
        <v>18963253.333333332</v>
      </c>
      <c r="W22" s="273"/>
      <c r="X22" s="273"/>
      <c r="Y22" s="273"/>
      <c r="Z22" s="273"/>
      <c r="AA22" s="273"/>
      <c r="AB22" s="273"/>
    </row>
    <row r="23" spans="1:28" x14ac:dyDescent="0.25">
      <c r="A23" s="286"/>
      <c r="B23" s="287"/>
      <c r="C23" s="330"/>
      <c r="D23" s="287"/>
      <c r="E23" s="288" t="s">
        <v>48</v>
      </c>
      <c r="F23" s="289"/>
      <c r="G23" s="293">
        <v>1660000</v>
      </c>
      <c r="H23" s="293">
        <v>1085000</v>
      </c>
      <c r="I23" s="293">
        <v>1500000</v>
      </c>
      <c r="J23" s="293">
        <v>870000</v>
      </c>
      <c r="K23" s="293">
        <v>1080000</v>
      </c>
      <c r="L23" s="293">
        <v>630000</v>
      </c>
      <c r="M23" s="293">
        <v>180000</v>
      </c>
      <c r="N23" s="293">
        <v>510000</v>
      </c>
      <c r="O23" s="293">
        <v>99600</v>
      </c>
      <c r="P23" s="369">
        <v>925000</v>
      </c>
      <c r="Q23" s="361">
        <v>0</v>
      </c>
      <c r="R23" s="377">
        <v>1100000</v>
      </c>
      <c r="S23" s="294">
        <v>9639600</v>
      </c>
      <c r="T23" s="389">
        <v>8400000</v>
      </c>
      <c r="U23" s="292">
        <v>1.1475714285714285</v>
      </c>
      <c r="V23" s="295">
        <v>803300</v>
      </c>
      <c r="W23" s="273"/>
      <c r="X23" s="273"/>
      <c r="Y23" s="273"/>
      <c r="Z23" s="273"/>
      <c r="AA23" s="273"/>
      <c r="AB23" s="273"/>
    </row>
    <row r="24" spans="1:28" x14ac:dyDescent="0.25">
      <c r="A24" s="297"/>
      <c r="B24" s="298"/>
      <c r="C24" s="332"/>
      <c r="D24" s="298"/>
      <c r="E24" s="299" t="s">
        <v>49</v>
      </c>
      <c r="F24" s="300"/>
      <c r="G24" s="303">
        <v>4471000</v>
      </c>
      <c r="H24" s="303">
        <v>5190000</v>
      </c>
      <c r="I24" s="303">
        <v>5012500</v>
      </c>
      <c r="J24" s="303">
        <v>3340000</v>
      </c>
      <c r="K24" s="303">
        <v>5340000</v>
      </c>
      <c r="L24" s="303">
        <v>3675000</v>
      </c>
      <c r="M24" s="303">
        <v>3225000</v>
      </c>
      <c r="N24" s="303">
        <v>3315000</v>
      </c>
      <c r="O24" s="303">
        <v>2400000</v>
      </c>
      <c r="P24" s="370">
        <v>2650000</v>
      </c>
      <c r="Q24" s="364">
        <v>1675000</v>
      </c>
      <c r="R24" s="380">
        <v>4887000</v>
      </c>
      <c r="S24" s="294">
        <v>45180500</v>
      </c>
      <c r="T24" s="389">
        <v>49522500</v>
      </c>
      <c r="U24" s="292">
        <v>0.91232268160936947</v>
      </c>
      <c r="V24" s="295">
        <v>3765041.6666666665</v>
      </c>
      <c r="W24" s="273"/>
      <c r="X24" s="273"/>
      <c r="Y24" s="273"/>
      <c r="Z24" s="273"/>
      <c r="AA24" s="273"/>
      <c r="AB24" s="273"/>
    </row>
    <row r="25" spans="1:28" ht="15.75" thickBot="1" x14ac:dyDescent="0.3">
      <c r="A25" s="297"/>
      <c r="B25" s="298"/>
      <c r="C25" s="332"/>
      <c r="D25" s="298"/>
      <c r="E25" s="299" t="s">
        <v>93</v>
      </c>
      <c r="F25" s="300"/>
      <c r="G25" s="303">
        <v>395000</v>
      </c>
      <c r="H25" s="303">
        <v>1200000</v>
      </c>
      <c r="I25" s="303">
        <v>25000</v>
      </c>
      <c r="J25" s="303">
        <v>205000</v>
      </c>
      <c r="K25" s="303">
        <v>460000</v>
      </c>
      <c r="L25" s="303">
        <v>65000</v>
      </c>
      <c r="M25" s="303">
        <v>100000</v>
      </c>
      <c r="N25" s="303">
        <v>25000</v>
      </c>
      <c r="O25" s="303">
        <v>797500</v>
      </c>
      <c r="P25" s="370">
        <v>330300</v>
      </c>
      <c r="Q25" s="364">
        <v>865000</v>
      </c>
      <c r="R25" s="380">
        <v>422500</v>
      </c>
      <c r="S25" s="294">
        <v>4890300</v>
      </c>
      <c r="T25" s="388">
        <v>5500000</v>
      </c>
      <c r="U25" s="292">
        <v>0.88914545454545457</v>
      </c>
      <c r="V25" s="295">
        <v>407525</v>
      </c>
      <c r="W25" s="273"/>
      <c r="X25" s="273"/>
      <c r="Y25" s="273"/>
      <c r="Z25" s="273"/>
      <c r="AA25" s="273"/>
      <c r="AB25" s="273"/>
    </row>
    <row r="26" spans="1:28" ht="15.75" thickBot="1" x14ac:dyDescent="0.3">
      <c r="A26" s="314"/>
      <c r="B26" s="315"/>
      <c r="C26" s="331"/>
      <c r="D26" s="315"/>
      <c r="E26" s="316"/>
      <c r="F26" s="317"/>
      <c r="G26" s="349">
        <v>76962181</v>
      </c>
      <c r="H26" s="349">
        <v>69998000</v>
      </c>
      <c r="I26" s="349">
        <v>78192000</v>
      </c>
      <c r="J26" s="349">
        <v>63918500</v>
      </c>
      <c r="K26" s="349">
        <v>77033000</v>
      </c>
      <c r="L26" s="349">
        <v>67103500</v>
      </c>
      <c r="M26" s="349">
        <v>49273550</v>
      </c>
      <c r="N26" s="349">
        <v>47153500</v>
      </c>
      <c r="O26" s="349">
        <v>38276090</v>
      </c>
      <c r="P26" s="323">
        <v>44086300</v>
      </c>
      <c r="Q26" s="367">
        <v>42789500</v>
      </c>
      <c r="R26" s="349">
        <v>49134000</v>
      </c>
      <c r="S26" s="319">
        <v>703920121</v>
      </c>
      <c r="T26" s="319">
        <v>1134975405</v>
      </c>
      <c r="U26" s="320">
        <v>0.62020737885505106</v>
      </c>
      <c r="V26" s="319">
        <v>58660010.083333321</v>
      </c>
      <c r="W26" s="322"/>
      <c r="X26" s="322"/>
      <c r="Y26" s="402"/>
      <c r="Z26" s="402"/>
      <c r="AA26" s="400"/>
      <c r="AB26" s="402"/>
    </row>
    <row r="27" spans="1:28" x14ac:dyDescent="0.25">
      <c r="A27" s="279"/>
      <c r="B27" s="280"/>
      <c r="C27" s="329"/>
      <c r="D27" s="280"/>
      <c r="E27" s="281"/>
      <c r="F27" s="282"/>
      <c r="G27" s="283"/>
      <c r="H27" s="283"/>
      <c r="I27" s="283"/>
      <c r="J27" s="283"/>
      <c r="K27" s="283"/>
      <c r="L27" s="283"/>
      <c r="M27" s="283"/>
      <c r="N27" s="283"/>
      <c r="O27" s="283"/>
      <c r="P27" s="281"/>
      <c r="Q27" s="282"/>
      <c r="R27" s="280"/>
      <c r="S27" s="284"/>
      <c r="T27" s="284"/>
      <c r="U27" s="285"/>
      <c r="V27" s="284"/>
      <c r="W27" s="273"/>
      <c r="X27" s="273"/>
      <c r="Y27" s="273"/>
      <c r="Z27" s="273"/>
      <c r="AA27" s="273"/>
      <c r="AB27" s="273"/>
    </row>
    <row r="28" spans="1:28" x14ac:dyDescent="0.25">
      <c r="A28" s="286">
        <v>3</v>
      </c>
      <c r="B28" s="287" t="s">
        <v>23</v>
      </c>
      <c r="C28" s="330" t="s">
        <v>58</v>
      </c>
      <c r="D28" s="309" t="s">
        <v>59</v>
      </c>
      <c r="E28" s="288"/>
      <c r="F28" s="289" t="s">
        <v>26</v>
      </c>
      <c r="G28" s="290"/>
      <c r="H28" s="290"/>
      <c r="I28" s="290"/>
      <c r="J28" s="290"/>
      <c r="K28" s="290"/>
      <c r="L28" s="290"/>
      <c r="M28" s="290"/>
      <c r="N28" s="290"/>
      <c r="O28" s="290"/>
      <c r="P28" s="288"/>
      <c r="Q28" s="289"/>
      <c r="R28" s="287"/>
      <c r="S28" s="291"/>
      <c r="T28" s="386"/>
      <c r="U28" s="292"/>
      <c r="V28" s="291"/>
      <c r="W28" s="273"/>
      <c r="X28" s="273"/>
      <c r="Y28" s="273"/>
      <c r="Z28" s="273"/>
      <c r="AA28" s="273"/>
      <c r="AB28" s="273"/>
    </row>
    <row r="29" spans="1:28" x14ac:dyDescent="0.25">
      <c r="A29" s="286"/>
      <c r="B29" s="287" t="s">
        <v>27</v>
      </c>
      <c r="C29" s="330" t="s">
        <v>164</v>
      </c>
      <c r="D29" s="287"/>
      <c r="E29" s="288" t="s">
        <v>61</v>
      </c>
      <c r="F29" s="289" t="s">
        <v>30</v>
      </c>
      <c r="G29" s="293">
        <v>18351454</v>
      </c>
      <c r="H29" s="293">
        <v>14064000</v>
      </c>
      <c r="I29" s="293">
        <v>19216500</v>
      </c>
      <c r="J29" s="293">
        <v>15511000</v>
      </c>
      <c r="K29" s="293">
        <v>15029000</v>
      </c>
      <c r="L29" s="293">
        <v>10731500</v>
      </c>
      <c r="M29" s="293">
        <v>10563000</v>
      </c>
      <c r="N29" s="293">
        <v>10243000</v>
      </c>
      <c r="O29" s="293">
        <v>11160500</v>
      </c>
      <c r="P29" s="369">
        <v>9955500</v>
      </c>
      <c r="Q29" s="361">
        <v>12087078</v>
      </c>
      <c r="R29" s="377">
        <v>10744000</v>
      </c>
      <c r="S29" s="294">
        <v>157656532</v>
      </c>
      <c r="T29" s="387">
        <v>297715213</v>
      </c>
      <c r="U29" s="292">
        <v>0.52955484004776066</v>
      </c>
      <c r="V29" s="295">
        <v>13138044.333333334</v>
      </c>
      <c r="W29" s="273"/>
      <c r="X29" s="273"/>
      <c r="Y29" s="273"/>
      <c r="Z29" s="273"/>
      <c r="AA29" s="273"/>
      <c r="AB29" s="273"/>
    </row>
    <row r="30" spans="1:28" x14ac:dyDescent="0.25">
      <c r="A30" s="286"/>
      <c r="B30" s="287"/>
      <c r="C30" s="330" t="s">
        <v>165</v>
      </c>
      <c r="D30" s="287"/>
      <c r="E30" s="288" t="s">
        <v>63</v>
      </c>
      <c r="F30" s="289" t="s">
        <v>30</v>
      </c>
      <c r="G30" s="293">
        <v>10405362</v>
      </c>
      <c r="H30" s="293">
        <v>8247500</v>
      </c>
      <c r="I30" s="293">
        <v>8149500</v>
      </c>
      <c r="J30" s="293">
        <v>8635000</v>
      </c>
      <c r="K30" s="293">
        <v>9826500</v>
      </c>
      <c r="L30" s="293">
        <v>7818000</v>
      </c>
      <c r="M30" s="293">
        <v>4597500</v>
      </c>
      <c r="N30" s="293">
        <v>8501500</v>
      </c>
      <c r="O30" s="293">
        <v>8085500</v>
      </c>
      <c r="P30" s="369">
        <v>8989000</v>
      </c>
      <c r="Q30" s="361">
        <v>8950000</v>
      </c>
      <c r="R30" s="377">
        <v>10676000</v>
      </c>
      <c r="S30" s="294">
        <v>102881362</v>
      </c>
      <c r="T30" s="387">
        <v>244977508</v>
      </c>
      <c r="U30" s="292">
        <v>0.41996248080048232</v>
      </c>
      <c r="V30" s="295">
        <v>8573446.833333334</v>
      </c>
      <c r="W30" s="273"/>
      <c r="X30" s="273"/>
      <c r="Y30" s="273"/>
      <c r="Z30" s="273"/>
      <c r="AA30" s="273"/>
      <c r="AB30" s="273"/>
    </row>
    <row r="31" spans="1:28" x14ac:dyDescent="0.25">
      <c r="A31" s="286"/>
      <c r="B31" s="287"/>
      <c r="C31" s="330" t="s">
        <v>166</v>
      </c>
      <c r="D31" s="287"/>
      <c r="E31" s="288" t="s">
        <v>65</v>
      </c>
      <c r="F31" s="289" t="s">
        <v>30</v>
      </c>
      <c r="G31" s="293">
        <v>7576000</v>
      </c>
      <c r="H31" s="293">
        <v>4165000</v>
      </c>
      <c r="I31" s="293">
        <v>5573000</v>
      </c>
      <c r="J31" s="293">
        <v>2762000</v>
      </c>
      <c r="K31" s="293">
        <v>3217000</v>
      </c>
      <c r="L31" s="293">
        <v>7575000</v>
      </c>
      <c r="M31" s="293">
        <v>4595000</v>
      </c>
      <c r="N31" s="293">
        <v>2582000</v>
      </c>
      <c r="O31" s="293">
        <v>2440000</v>
      </c>
      <c r="P31" s="369">
        <v>2886000</v>
      </c>
      <c r="Q31" s="361">
        <v>4424000</v>
      </c>
      <c r="R31" s="377">
        <v>2040000</v>
      </c>
      <c r="S31" s="294">
        <v>49835000</v>
      </c>
      <c r="T31" s="387">
        <v>150421196</v>
      </c>
      <c r="U31" s="292">
        <v>0.33130304322271176</v>
      </c>
      <c r="V31" s="295">
        <v>4152916.6666666665</v>
      </c>
      <c r="W31" s="273"/>
      <c r="X31" s="273"/>
      <c r="Y31" s="273"/>
      <c r="Z31" s="273"/>
      <c r="AA31" s="273"/>
      <c r="AB31" s="273"/>
    </row>
    <row r="32" spans="1:28" x14ac:dyDescent="0.25">
      <c r="A32" s="286"/>
      <c r="B32" s="287"/>
      <c r="C32" s="330"/>
      <c r="D32" s="287"/>
      <c r="E32" s="288" t="s">
        <v>66</v>
      </c>
      <c r="F32" s="289"/>
      <c r="G32" s="293">
        <v>0</v>
      </c>
      <c r="H32" s="293">
        <v>0</v>
      </c>
      <c r="I32" s="293">
        <v>0</v>
      </c>
      <c r="J32" s="293">
        <v>0</v>
      </c>
      <c r="K32" s="293">
        <v>0</v>
      </c>
      <c r="L32" s="293">
        <v>0</v>
      </c>
      <c r="M32" s="293">
        <v>0</v>
      </c>
      <c r="N32" s="293">
        <v>0</v>
      </c>
      <c r="O32" s="293">
        <v>0</v>
      </c>
      <c r="P32" s="369">
        <v>0</v>
      </c>
      <c r="Q32" s="361">
        <v>0</v>
      </c>
      <c r="R32" s="377">
        <v>0</v>
      </c>
      <c r="S32" s="294">
        <v>0</v>
      </c>
      <c r="T32" s="387">
        <v>0</v>
      </c>
      <c r="U32" s="292" t="e">
        <v>#DIV/0!</v>
      </c>
      <c r="V32" s="295">
        <v>0</v>
      </c>
      <c r="W32" s="273"/>
      <c r="X32" s="273"/>
      <c r="Y32" s="273"/>
      <c r="Z32" s="273"/>
      <c r="AA32" s="273"/>
      <c r="AB32" s="273"/>
    </row>
    <row r="33" spans="1:28" x14ac:dyDescent="0.25">
      <c r="A33" s="286"/>
      <c r="B33" s="287"/>
      <c r="C33" s="330"/>
      <c r="D33" s="287"/>
      <c r="E33" s="288" t="s">
        <v>67</v>
      </c>
      <c r="F33" s="289"/>
      <c r="G33" s="293">
        <v>14107454</v>
      </c>
      <c r="H33" s="293">
        <v>10941000</v>
      </c>
      <c r="I33" s="293">
        <v>10786000</v>
      </c>
      <c r="J33" s="293">
        <v>7570000</v>
      </c>
      <c r="K33" s="293">
        <v>11189000</v>
      </c>
      <c r="L33" s="293">
        <v>11219000</v>
      </c>
      <c r="M33" s="293">
        <v>7454000</v>
      </c>
      <c r="N33" s="293">
        <v>8028000</v>
      </c>
      <c r="O33" s="293">
        <v>7363000</v>
      </c>
      <c r="P33" s="369">
        <v>14061000</v>
      </c>
      <c r="Q33" s="361">
        <v>11904000</v>
      </c>
      <c r="R33" s="377">
        <v>16434000</v>
      </c>
      <c r="S33" s="294">
        <v>131056454</v>
      </c>
      <c r="T33" s="387">
        <v>284769809.94999999</v>
      </c>
      <c r="U33" s="292">
        <v>0.460218918652265</v>
      </c>
      <c r="V33" s="295">
        <v>10921371.166666666</v>
      </c>
      <c r="W33" s="273"/>
      <c r="X33" s="273"/>
      <c r="Y33" s="273"/>
      <c r="Z33" s="273"/>
      <c r="AA33" s="273"/>
      <c r="AB33" s="273"/>
    </row>
    <row r="34" spans="1:28" x14ac:dyDescent="0.25">
      <c r="A34" s="286"/>
      <c r="B34" s="287"/>
      <c r="C34" s="330"/>
      <c r="D34" s="287"/>
      <c r="E34" s="288" t="s">
        <v>68</v>
      </c>
      <c r="F34" s="289"/>
      <c r="G34" s="293">
        <v>430000</v>
      </c>
      <c r="H34" s="293">
        <v>290000</v>
      </c>
      <c r="I34" s="293">
        <v>370000</v>
      </c>
      <c r="J34" s="293">
        <v>570000</v>
      </c>
      <c r="K34" s="293">
        <v>510000</v>
      </c>
      <c r="L34" s="293">
        <v>841000</v>
      </c>
      <c r="M34" s="293">
        <v>0</v>
      </c>
      <c r="N34" s="293">
        <v>0</v>
      </c>
      <c r="O34" s="293">
        <v>391000</v>
      </c>
      <c r="P34" s="369">
        <v>1484000</v>
      </c>
      <c r="Q34" s="361">
        <v>0</v>
      </c>
      <c r="R34" s="377">
        <v>707000</v>
      </c>
      <c r="S34" s="294">
        <v>5593000</v>
      </c>
      <c r="T34" s="387">
        <v>287500</v>
      </c>
      <c r="U34" s="292">
        <v>19.453913043478259</v>
      </c>
      <c r="V34" s="295">
        <v>466083.33333333331</v>
      </c>
      <c r="W34" s="273"/>
      <c r="X34" s="273"/>
      <c r="Y34" s="273"/>
      <c r="Z34" s="273"/>
      <c r="AA34" s="273"/>
      <c r="AB34" s="273"/>
    </row>
    <row r="35" spans="1:28" x14ac:dyDescent="0.25">
      <c r="A35" s="286"/>
      <c r="B35" s="287"/>
      <c r="C35" s="330"/>
      <c r="D35" s="287"/>
      <c r="E35" s="288" t="s">
        <v>69</v>
      </c>
      <c r="F35" s="289"/>
      <c r="G35" s="293">
        <v>780000</v>
      </c>
      <c r="H35" s="293">
        <v>0</v>
      </c>
      <c r="I35" s="293">
        <v>1572000</v>
      </c>
      <c r="J35" s="293">
        <v>586000</v>
      </c>
      <c r="K35" s="293">
        <v>2760000</v>
      </c>
      <c r="L35" s="293">
        <v>1185000</v>
      </c>
      <c r="M35" s="293">
        <v>354000</v>
      </c>
      <c r="N35" s="293">
        <v>1617500</v>
      </c>
      <c r="O35" s="293">
        <v>0</v>
      </c>
      <c r="P35" s="369">
        <v>773000</v>
      </c>
      <c r="Q35" s="361">
        <v>2661000</v>
      </c>
      <c r="R35" s="377">
        <v>864000</v>
      </c>
      <c r="S35" s="294">
        <v>13152500</v>
      </c>
      <c r="T35" s="387">
        <v>21991957</v>
      </c>
      <c r="U35" s="292">
        <v>0.5980595542270295</v>
      </c>
      <c r="V35" s="295">
        <v>1096041.6666666667</v>
      </c>
      <c r="W35" s="273"/>
      <c r="X35" s="273"/>
      <c r="Y35" s="273"/>
      <c r="Z35" s="273"/>
      <c r="AA35" s="273"/>
      <c r="AB35" s="273"/>
    </row>
    <row r="36" spans="1:28" ht="15.75" thickBot="1" x14ac:dyDescent="0.3">
      <c r="A36" s="297"/>
      <c r="B36" s="298"/>
      <c r="C36" s="332"/>
      <c r="D36" s="298"/>
      <c r="E36" s="299" t="s">
        <v>70</v>
      </c>
      <c r="F36" s="300"/>
      <c r="G36" s="303">
        <v>0</v>
      </c>
      <c r="H36" s="303">
        <v>0</v>
      </c>
      <c r="I36" s="303">
        <v>0</v>
      </c>
      <c r="J36" s="303">
        <v>0</v>
      </c>
      <c r="K36" s="303">
        <v>0</v>
      </c>
      <c r="L36" s="303">
        <v>0</v>
      </c>
      <c r="M36" s="303">
        <v>0</v>
      </c>
      <c r="N36" s="303">
        <v>0</v>
      </c>
      <c r="O36" s="303">
        <v>0</v>
      </c>
      <c r="P36" s="370">
        <v>0</v>
      </c>
      <c r="Q36" s="364">
        <v>0</v>
      </c>
      <c r="R36" s="380">
        <v>0</v>
      </c>
      <c r="S36" s="294">
        <v>0</v>
      </c>
      <c r="T36" s="391">
        <v>0</v>
      </c>
      <c r="U36" s="292" t="e">
        <v>#DIV/0!</v>
      </c>
      <c r="V36" s="295">
        <v>0</v>
      </c>
      <c r="W36" s="273"/>
      <c r="X36" s="273"/>
      <c r="Y36" s="273"/>
      <c r="Z36" s="273"/>
      <c r="AA36" s="273"/>
      <c r="AB36" s="273"/>
    </row>
    <row r="37" spans="1:28" ht="15.75" thickBot="1" x14ac:dyDescent="0.3">
      <c r="A37" s="314"/>
      <c r="B37" s="315"/>
      <c r="C37" s="331"/>
      <c r="D37" s="315"/>
      <c r="E37" s="316"/>
      <c r="F37" s="317"/>
      <c r="G37" s="323">
        <v>51650270</v>
      </c>
      <c r="H37" s="323">
        <v>37707500</v>
      </c>
      <c r="I37" s="323">
        <v>45667000</v>
      </c>
      <c r="J37" s="323">
        <v>35634000</v>
      </c>
      <c r="K37" s="323">
        <v>42531500</v>
      </c>
      <c r="L37" s="323">
        <v>39369500</v>
      </c>
      <c r="M37" s="323">
        <v>27563500</v>
      </c>
      <c r="N37" s="323">
        <v>30972000</v>
      </c>
      <c r="O37" s="323">
        <v>29440000</v>
      </c>
      <c r="P37" s="323">
        <v>38148500</v>
      </c>
      <c r="Q37" s="367">
        <v>40026078</v>
      </c>
      <c r="R37" s="323">
        <v>41465000</v>
      </c>
      <c r="S37" s="324">
        <v>460174848</v>
      </c>
      <c r="T37" s="324">
        <v>1000163183.95</v>
      </c>
      <c r="U37" s="320">
        <v>0.46009976710261008</v>
      </c>
      <c r="V37" s="324">
        <v>38347904</v>
      </c>
      <c r="W37" s="322"/>
      <c r="X37" s="322"/>
      <c r="Y37" s="402"/>
      <c r="Z37" s="402"/>
      <c r="AA37" s="400"/>
      <c r="AB37" s="402"/>
    </row>
    <row r="38" spans="1:28" ht="15.75" thickBot="1" x14ac:dyDescent="0.3">
      <c r="A38" s="325"/>
      <c r="B38" s="341"/>
      <c r="C38" s="342"/>
      <c r="D38" s="341"/>
      <c r="E38" s="343"/>
      <c r="F38" s="326"/>
      <c r="G38" s="344">
        <v>171160151</v>
      </c>
      <c r="H38" s="344">
        <v>146665600</v>
      </c>
      <c r="I38" s="344">
        <v>165598500</v>
      </c>
      <c r="J38" s="344">
        <v>131975500</v>
      </c>
      <c r="K38" s="344">
        <v>165213500</v>
      </c>
      <c r="L38" s="344">
        <v>145489000</v>
      </c>
      <c r="M38" s="344">
        <v>106496550</v>
      </c>
      <c r="N38" s="344">
        <v>105115000</v>
      </c>
      <c r="O38" s="344">
        <v>97154590</v>
      </c>
      <c r="P38" s="344">
        <v>122747000</v>
      </c>
      <c r="Q38" s="344">
        <v>122051078</v>
      </c>
      <c r="R38" s="344">
        <v>116172500</v>
      </c>
      <c r="S38" s="358">
        <v>1595838969</v>
      </c>
      <c r="T38" s="358">
        <v>2787095131.9499998</v>
      </c>
      <c r="U38" s="351">
        <v>0.57258144894518415</v>
      </c>
      <c r="V38" s="344">
        <v>132986580.74999999</v>
      </c>
      <c r="W38" s="322"/>
      <c r="X38" s="322"/>
      <c r="Y38" s="402"/>
      <c r="Z38" s="402"/>
      <c r="AA38" s="400"/>
      <c r="AB38" s="402"/>
    </row>
    <row r="39" spans="1:28" x14ac:dyDescent="0.25">
      <c r="A39" s="279">
        <v>4</v>
      </c>
      <c r="B39" s="280" t="s">
        <v>23</v>
      </c>
      <c r="C39" s="330" t="s">
        <v>73</v>
      </c>
      <c r="D39" s="311" t="s">
        <v>72</v>
      </c>
      <c r="E39" s="281"/>
      <c r="F39" s="282" t="s">
        <v>30</v>
      </c>
      <c r="G39" s="283"/>
      <c r="H39" s="283"/>
      <c r="I39" s="283"/>
      <c r="J39" s="283"/>
      <c r="K39" s="283"/>
      <c r="L39" s="283"/>
      <c r="M39" s="283"/>
      <c r="N39" s="283"/>
      <c r="O39" s="283"/>
      <c r="P39" s="281"/>
      <c r="Q39" s="282"/>
      <c r="R39" s="280"/>
      <c r="S39" s="284"/>
      <c r="T39" s="395"/>
      <c r="U39" s="285"/>
      <c r="V39" s="284"/>
      <c r="W39" s="273"/>
      <c r="X39" s="273"/>
      <c r="Y39" s="273"/>
      <c r="Z39" s="273"/>
      <c r="AA39" s="273"/>
      <c r="AB39" s="273"/>
    </row>
    <row r="40" spans="1:28" x14ac:dyDescent="0.25">
      <c r="A40" s="286"/>
      <c r="B40" s="287"/>
      <c r="C40" s="330"/>
      <c r="D40" s="287"/>
      <c r="E40" s="288" t="s">
        <v>74</v>
      </c>
      <c r="F40" s="289"/>
      <c r="G40" s="293">
        <v>60000</v>
      </c>
      <c r="H40" s="293">
        <v>240000</v>
      </c>
      <c r="I40" s="293">
        <v>140000</v>
      </c>
      <c r="J40" s="293">
        <v>230000</v>
      </c>
      <c r="K40" s="293">
        <v>215000</v>
      </c>
      <c r="L40" s="293">
        <v>167000</v>
      </c>
      <c r="M40" s="293">
        <v>0</v>
      </c>
      <c r="N40" s="293">
        <v>0</v>
      </c>
      <c r="O40" s="293">
        <v>50000</v>
      </c>
      <c r="P40" s="369">
        <v>195000</v>
      </c>
      <c r="Q40" s="361">
        <v>415000</v>
      </c>
      <c r="R40" s="377">
        <v>90000</v>
      </c>
      <c r="S40" s="294">
        <v>1802000</v>
      </c>
      <c r="T40" s="387">
        <v>2650750</v>
      </c>
      <c r="U40" s="292">
        <v>0.67980760162218246</v>
      </c>
      <c r="V40" s="295">
        <v>150166.66666666666</v>
      </c>
      <c r="W40" s="273"/>
      <c r="X40" s="273"/>
      <c r="Y40" s="273"/>
      <c r="Z40" s="273"/>
      <c r="AA40" s="273"/>
      <c r="AB40" s="273"/>
    </row>
    <row r="41" spans="1:28" x14ac:dyDescent="0.25">
      <c r="A41" s="286"/>
      <c r="B41" s="287"/>
      <c r="C41" s="330"/>
      <c r="D41" s="287"/>
      <c r="E41" s="288" t="s">
        <v>75</v>
      </c>
      <c r="F41" s="289"/>
      <c r="G41" s="293">
        <v>3717500</v>
      </c>
      <c r="H41" s="293">
        <v>3121000</v>
      </c>
      <c r="I41" s="293">
        <v>4757000</v>
      </c>
      <c r="J41" s="293">
        <v>3048400</v>
      </c>
      <c r="K41" s="293">
        <v>6150000</v>
      </c>
      <c r="L41" s="293">
        <v>6987000</v>
      </c>
      <c r="M41" s="293">
        <v>3190000</v>
      </c>
      <c r="N41" s="293">
        <v>2982500</v>
      </c>
      <c r="O41" s="293">
        <v>6176000</v>
      </c>
      <c r="P41" s="369">
        <v>10343000</v>
      </c>
      <c r="Q41" s="361">
        <v>10115880</v>
      </c>
      <c r="R41" s="377">
        <v>8336000</v>
      </c>
      <c r="S41" s="294">
        <v>68924280</v>
      </c>
      <c r="T41" s="387">
        <v>123694575</v>
      </c>
      <c r="U41" s="292">
        <v>0.55721344286926089</v>
      </c>
      <c r="V41" s="295">
        <v>5743690</v>
      </c>
      <c r="W41" s="273"/>
      <c r="X41" s="273"/>
      <c r="Y41" s="273"/>
      <c r="Z41" s="273"/>
      <c r="AA41" s="273"/>
      <c r="AB41" s="273"/>
    </row>
    <row r="42" spans="1:28" x14ac:dyDescent="0.25">
      <c r="A42" s="286"/>
      <c r="B42" s="287"/>
      <c r="C42" s="330"/>
      <c r="D42" s="287"/>
      <c r="E42" s="288" t="s">
        <v>76</v>
      </c>
      <c r="F42" s="289"/>
      <c r="G42" s="293">
        <v>4876000</v>
      </c>
      <c r="H42" s="293">
        <v>2604000</v>
      </c>
      <c r="I42" s="293">
        <v>5749000</v>
      </c>
      <c r="J42" s="293">
        <v>3871000</v>
      </c>
      <c r="K42" s="293">
        <v>6815000</v>
      </c>
      <c r="L42" s="293">
        <v>7047000</v>
      </c>
      <c r="M42" s="293">
        <v>7367000</v>
      </c>
      <c r="N42" s="293">
        <v>4069000</v>
      </c>
      <c r="O42" s="293">
        <v>4198000</v>
      </c>
      <c r="P42" s="369">
        <v>5403000</v>
      </c>
      <c r="Q42" s="361">
        <v>11426000</v>
      </c>
      <c r="R42" s="377">
        <v>10264500</v>
      </c>
      <c r="S42" s="294">
        <v>73689500</v>
      </c>
      <c r="T42" s="389">
        <v>123711125</v>
      </c>
      <c r="U42" s="292">
        <v>0.5956578278630964</v>
      </c>
      <c r="V42" s="295">
        <v>6140791.666666667</v>
      </c>
      <c r="W42" s="273"/>
      <c r="X42" s="273"/>
      <c r="Y42" s="273"/>
      <c r="Z42" s="273"/>
      <c r="AA42" s="273"/>
      <c r="AB42" s="273"/>
    </row>
    <row r="43" spans="1:28" ht="15.75" thickBot="1" x14ac:dyDescent="0.3">
      <c r="A43" s="297"/>
      <c r="B43" s="298"/>
      <c r="C43" s="332"/>
      <c r="D43" s="298"/>
      <c r="E43" s="299" t="s">
        <v>77</v>
      </c>
      <c r="F43" s="300"/>
      <c r="G43" s="303">
        <v>3868000</v>
      </c>
      <c r="H43" s="303">
        <v>2736000</v>
      </c>
      <c r="I43" s="303">
        <v>7987000</v>
      </c>
      <c r="J43" s="303">
        <v>5209000</v>
      </c>
      <c r="K43" s="303">
        <v>7099000</v>
      </c>
      <c r="L43" s="303">
        <v>5397000</v>
      </c>
      <c r="M43" s="303">
        <v>7155000</v>
      </c>
      <c r="N43" s="303">
        <v>6614000</v>
      </c>
      <c r="O43" s="303">
        <v>6236000</v>
      </c>
      <c r="P43" s="370">
        <v>7231000</v>
      </c>
      <c r="Q43" s="364">
        <v>7067500</v>
      </c>
      <c r="R43" s="380">
        <v>6416000</v>
      </c>
      <c r="S43" s="294">
        <v>73015500</v>
      </c>
      <c r="T43" s="388">
        <v>106350630</v>
      </c>
      <c r="U43" s="292">
        <v>0.68655446610894544</v>
      </c>
      <c r="V43" s="295">
        <v>6084625</v>
      </c>
      <c r="W43" s="273"/>
      <c r="X43" s="273"/>
      <c r="Y43" s="273"/>
      <c r="Z43" s="273"/>
      <c r="AA43" s="273"/>
      <c r="AB43" s="273"/>
    </row>
    <row r="44" spans="1:28" ht="15.75" thickBot="1" x14ac:dyDescent="0.3">
      <c r="A44" s="314"/>
      <c r="B44" s="315"/>
      <c r="C44" s="331"/>
      <c r="D44" s="315"/>
      <c r="E44" s="316"/>
      <c r="F44" s="317"/>
      <c r="G44" s="323">
        <v>12521500</v>
      </c>
      <c r="H44" s="323">
        <v>8701000</v>
      </c>
      <c r="I44" s="323">
        <v>18633000</v>
      </c>
      <c r="J44" s="323">
        <v>12358400</v>
      </c>
      <c r="K44" s="323">
        <v>20279000</v>
      </c>
      <c r="L44" s="323">
        <v>19598000</v>
      </c>
      <c r="M44" s="323">
        <v>17712000</v>
      </c>
      <c r="N44" s="323">
        <v>13665500</v>
      </c>
      <c r="O44" s="323">
        <v>16660000</v>
      </c>
      <c r="P44" s="323">
        <v>23172000</v>
      </c>
      <c r="Q44" s="367">
        <v>29024380</v>
      </c>
      <c r="R44" s="323">
        <v>25106500</v>
      </c>
      <c r="S44" s="319">
        <v>217431280</v>
      </c>
      <c r="T44" s="319">
        <v>356407080</v>
      </c>
      <c r="U44" s="320">
        <v>0.61006442408495365</v>
      </c>
      <c r="V44" s="319">
        <v>18119273.333333336</v>
      </c>
      <c r="W44" s="322"/>
      <c r="X44" s="322"/>
      <c r="Y44" s="402"/>
      <c r="Z44" s="402"/>
      <c r="AA44" s="400"/>
      <c r="AB44" s="402"/>
    </row>
    <row r="45" spans="1:28" x14ac:dyDescent="0.25">
      <c r="A45" s="279"/>
      <c r="B45" s="280"/>
      <c r="C45" s="329"/>
      <c r="D45" s="280"/>
      <c r="E45" s="281"/>
      <c r="F45" s="282"/>
      <c r="G45" s="283"/>
      <c r="H45" s="283"/>
      <c r="I45" s="283"/>
      <c r="J45" s="283"/>
      <c r="K45" s="283"/>
      <c r="L45" s="283"/>
      <c r="M45" s="283"/>
      <c r="N45" s="283"/>
      <c r="O45" s="283"/>
      <c r="P45" s="281"/>
      <c r="Q45" s="282"/>
      <c r="R45" s="280"/>
      <c r="S45" s="284"/>
      <c r="T45" s="284"/>
      <c r="U45" s="285"/>
      <c r="V45" s="284"/>
      <c r="W45" s="273"/>
      <c r="X45" s="273"/>
      <c r="Y45" s="273"/>
      <c r="Z45" s="273"/>
      <c r="AA45" s="273"/>
      <c r="AB45" s="273"/>
    </row>
    <row r="46" spans="1:28" x14ac:dyDescent="0.25">
      <c r="A46" s="286">
        <v>5</v>
      </c>
      <c r="B46" s="287" t="s">
        <v>23</v>
      </c>
      <c r="C46" s="330" t="s">
        <v>78</v>
      </c>
      <c r="D46" s="309" t="s">
        <v>72</v>
      </c>
      <c r="E46" s="288"/>
      <c r="F46" s="289" t="s">
        <v>30</v>
      </c>
      <c r="G46" s="290"/>
      <c r="H46" s="290"/>
      <c r="I46" s="290"/>
      <c r="J46" s="290"/>
      <c r="K46" s="290"/>
      <c r="L46" s="290"/>
      <c r="M46" s="290"/>
      <c r="N46" s="290"/>
      <c r="O46" s="290"/>
      <c r="P46" s="288"/>
      <c r="Q46" s="289"/>
      <c r="R46" s="287"/>
      <c r="S46" s="291"/>
      <c r="T46" s="291"/>
      <c r="U46" s="292"/>
      <c r="V46" s="291"/>
      <c r="W46" s="273"/>
      <c r="X46" s="273"/>
      <c r="Y46" s="273"/>
      <c r="Z46" s="273"/>
      <c r="AA46" s="273"/>
      <c r="AB46" s="273"/>
    </row>
    <row r="47" spans="1:28" x14ac:dyDescent="0.25">
      <c r="A47" s="286"/>
      <c r="B47" s="287"/>
      <c r="C47" s="330" t="s">
        <v>79</v>
      </c>
      <c r="D47" s="287"/>
      <c r="E47" s="288" t="s">
        <v>80</v>
      </c>
      <c r="F47" s="289"/>
      <c r="G47" s="293">
        <v>22250000</v>
      </c>
      <c r="H47" s="293">
        <v>24196000</v>
      </c>
      <c r="I47" s="293">
        <v>23287000</v>
      </c>
      <c r="J47" s="293">
        <v>19524000</v>
      </c>
      <c r="K47" s="293">
        <v>20754500</v>
      </c>
      <c r="L47" s="293">
        <v>12814000</v>
      </c>
      <c r="M47" s="293">
        <v>16855500</v>
      </c>
      <c r="N47" s="293">
        <v>15343500</v>
      </c>
      <c r="O47" s="293">
        <v>13755000</v>
      </c>
      <c r="P47" s="369">
        <v>20044000</v>
      </c>
      <c r="Q47" s="361">
        <v>11932000</v>
      </c>
      <c r="R47" s="377">
        <v>12427000</v>
      </c>
      <c r="S47" s="294">
        <v>213182500</v>
      </c>
      <c r="T47" s="390">
        <v>353465121.25</v>
      </c>
      <c r="U47" s="292">
        <v>0.60312174294905763</v>
      </c>
      <c r="V47" s="295">
        <v>17765208.333333332</v>
      </c>
      <c r="W47" s="273"/>
      <c r="X47" s="273"/>
      <c r="Y47" s="273"/>
      <c r="Z47" s="273"/>
      <c r="AA47" s="273"/>
      <c r="AB47" s="273"/>
    </row>
    <row r="48" spans="1:28" x14ac:dyDescent="0.25">
      <c r="A48" s="286"/>
      <c r="B48" s="287"/>
      <c r="C48" s="330"/>
      <c r="D48" s="287"/>
      <c r="E48" s="288" t="s">
        <v>81</v>
      </c>
      <c r="F48" s="289"/>
      <c r="G48" s="293">
        <v>38662000</v>
      </c>
      <c r="H48" s="293">
        <v>32293000</v>
      </c>
      <c r="I48" s="293">
        <v>43230000</v>
      </c>
      <c r="J48" s="293">
        <v>31461000</v>
      </c>
      <c r="K48" s="293">
        <v>21223000</v>
      </c>
      <c r="L48" s="293">
        <v>18817000</v>
      </c>
      <c r="M48" s="293">
        <v>34078500</v>
      </c>
      <c r="N48" s="293">
        <v>23904000</v>
      </c>
      <c r="O48" s="293">
        <v>21642000</v>
      </c>
      <c r="P48" s="369">
        <v>21463000</v>
      </c>
      <c r="Q48" s="361">
        <v>22210000</v>
      </c>
      <c r="R48" s="377">
        <v>19193000</v>
      </c>
      <c r="S48" s="294">
        <v>328176500</v>
      </c>
      <c r="T48" s="387">
        <v>510041500</v>
      </c>
      <c r="U48" s="292">
        <v>0.6434309757147213</v>
      </c>
      <c r="V48" s="295">
        <v>27348041.666666668</v>
      </c>
      <c r="W48" s="273"/>
      <c r="X48" s="273"/>
      <c r="Y48" s="273"/>
      <c r="Z48" s="273"/>
      <c r="AA48" s="273"/>
      <c r="AB48" s="273"/>
    </row>
    <row r="49" spans="1:28" x14ac:dyDescent="0.25">
      <c r="A49" s="286"/>
      <c r="B49" s="287"/>
      <c r="C49" s="330"/>
      <c r="D49" s="287"/>
      <c r="E49" s="288" t="s">
        <v>82</v>
      </c>
      <c r="F49" s="289"/>
      <c r="G49" s="293">
        <v>0</v>
      </c>
      <c r="H49" s="293">
        <v>0</v>
      </c>
      <c r="I49" s="293">
        <v>0</v>
      </c>
      <c r="J49" s="293">
        <v>0</v>
      </c>
      <c r="K49" s="293">
        <v>0</v>
      </c>
      <c r="L49" s="293">
        <v>0</v>
      </c>
      <c r="M49" s="293">
        <v>0</v>
      </c>
      <c r="N49" s="293">
        <v>0</v>
      </c>
      <c r="O49" s="293">
        <v>0</v>
      </c>
      <c r="P49" s="369">
        <v>0</v>
      </c>
      <c r="Q49" s="361">
        <v>850000</v>
      </c>
      <c r="R49" s="377">
        <v>180000</v>
      </c>
      <c r="S49" s="294">
        <v>1030000</v>
      </c>
      <c r="T49" s="387">
        <v>100049.99999999999</v>
      </c>
      <c r="U49" s="292">
        <v>10.294852573713145</v>
      </c>
      <c r="V49" s="295">
        <v>85833.333333333328</v>
      </c>
      <c r="W49" s="273"/>
      <c r="X49" s="273"/>
      <c r="Y49" s="273"/>
      <c r="Z49" s="273"/>
      <c r="AA49" s="273"/>
      <c r="AB49" s="273"/>
    </row>
    <row r="50" spans="1:28" ht="15.75" thickBot="1" x14ac:dyDescent="0.3">
      <c r="A50" s="286"/>
      <c r="B50" s="287"/>
      <c r="C50" s="330"/>
      <c r="D50" s="287"/>
      <c r="E50" s="299" t="s">
        <v>83</v>
      </c>
      <c r="F50" s="289"/>
      <c r="G50" s="293">
        <v>6775000</v>
      </c>
      <c r="H50" s="293">
        <v>1610000</v>
      </c>
      <c r="I50" s="293">
        <v>1405000</v>
      </c>
      <c r="J50" s="293">
        <v>1060000</v>
      </c>
      <c r="K50" s="293">
        <v>1215000</v>
      </c>
      <c r="L50" s="293">
        <v>2440000</v>
      </c>
      <c r="M50" s="293">
        <v>1861000</v>
      </c>
      <c r="N50" s="293">
        <v>4020000</v>
      </c>
      <c r="O50" s="293">
        <v>3425000</v>
      </c>
      <c r="P50" s="369">
        <v>6110000</v>
      </c>
      <c r="Q50" s="361">
        <v>4548000</v>
      </c>
      <c r="R50" s="377">
        <v>2665000</v>
      </c>
      <c r="S50" s="294">
        <v>37134000</v>
      </c>
      <c r="T50" s="391">
        <v>46397187</v>
      </c>
      <c r="U50" s="292">
        <v>0.80035024537155663</v>
      </c>
      <c r="V50" s="295">
        <v>3094500</v>
      </c>
      <c r="W50" s="273"/>
      <c r="X50" s="273"/>
      <c r="Y50" s="273"/>
      <c r="Z50" s="273"/>
      <c r="AA50" s="273"/>
      <c r="AB50" s="273"/>
    </row>
    <row r="51" spans="1:28" ht="15.75" thickBot="1" x14ac:dyDescent="0.3">
      <c r="A51" s="314"/>
      <c r="B51" s="315"/>
      <c r="C51" s="331"/>
      <c r="D51" s="315"/>
      <c r="E51" s="316"/>
      <c r="F51" s="317"/>
      <c r="G51" s="323">
        <v>67687000</v>
      </c>
      <c r="H51" s="323">
        <v>58099000</v>
      </c>
      <c r="I51" s="323">
        <v>67922000</v>
      </c>
      <c r="J51" s="323">
        <v>52045000</v>
      </c>
      <c r="K51" s="323">
        <v>43192500</v>
      </c>
      <c r="L51" s="323">
        <v>34071000</v>
      </c>
      <c r="M51" s="323">
        <v>52795000</v>
      </c>
      <c r="N51" s="323">
        <v>43267500</v>
      </c>
      <c r="O51" s="323">
        <v>38822000</v>
      </c>
      <c r="P51" s="323">
        <v>47617000</v>
      </c>
      <c r="Q51" s="367">
        <v>39540000</v>
      </c>
      <c r="R51" s="323">
        <v>34465000</v>
      </c>
      <c r="S51" s="352">
        <v>579523000</v>
      </c>
      <c r="T51" s="323">
        <v>910003858.25</v>
      </c>
      <c r="U51" s="320">
        <v>0.63683576145980592</v>
      </c>
      <c r="V51" s="323">
        <v>48293583.333333336</v>
      </c>
      <c r="W51" s="322"/>
      <c r="X51" s="322"/>
      <c r="Y51" s="402"/>
      <c r="Z51" s="402"/>
      <c r="AA51" s="400"/>
      <c r="AB51" s="402"/>
    </row>
    <row r="52" spans="1:28" x14ac:dyDescent="0.25">
      <c r="A52" s="279"/>
      <c r="B52" s="280"/>
      <c r="C52" s="329"/>
      <c r="D52" s="280"/>
      <c r="E52" s="281"/>
      <c r="F52" s="282"/>
      <c r="G52" s="304"/>
      <c r="H52" s="304"/>
      <c r="I52" s="304"/>
      <c r="J52" s="304"/>
      <c r="K52" s="304"/>
      <c r="L52" s="304"/>
      <c r="M52" s="304"/>
      <c r="N52" s="304"/>
      <c r="O52" s="304"/>
      <c r="P52" s="371"/>
      <c r="Q52" s="365"/>
      <c r="R52" s="381"/>
      <c r="S52" s="284"/>
      <c r="T52" s="284"/>
      <c r="U52" s="285"/>
      <c r="V52" s="284"/>
      <c r="W52" s="273"/>
      <c r="X52" s="273"/>
      <c r="Y52" s="273"/>
      <c r="Z52" s="273"/>
      <c r="AA52" s="273"/>
      <c r="AB52" s="273"/>
    </row>
    <row r="53" spans="1:28" x14ac:dyDescent="0.25">
      <c r="A53" s="286">
        <v>6</v>
      </c>
      <c r="B53" s="287" t="s">
        <v>23</v>
      </c>
      <c r="C53" s="330" t="s">
        <v>78</v>
      </c>
      <c r="D53" s="309" t="s">
        <v>51</v>
      </c>
      <c r="E53" s="288"/>
      <c r="F53" s="305" t="s">
        <v>26</v>
      </c>
      <c r="G53" s="290"/>
      <c r="H53" s="290"/>
      <c r="I53" s="290"/>
      <c r="J53" s="290"/>
      <c r="K53" s="290"/>
      <c r="L53" s="290"/>
      <c r="M53" s="290"/>
      <c r="N53" s="290"/>
      <c r="O53" s="290"/>
      <c r="P53" s="288"/>
      <c r="Q53" s="289"/>
      <c r="R53" s="287"/>
      <c r="S53" s="291"/>
      <c r="T53" s="386"/>
      <c r="U53" s="292"/>
      <c r="V53" s="291"/>
      <c r="W53" s="273"/>
      <c r="X53" s="273"/>
      <c r="Y53" s="273"/>
      <c r="Z53" s="273"/>
      <c r="AA53" s="273"/>
      <c r="AB53" s="273"/>
    </row>
    <row r="54" spans="1:28" x14ac:dyDescent="0.25">
      <c r="A54" s="286"/>
      <c r="B54" s="287" t="s">
        <v>27</v>
      </c>
      <c r="C54" s="330" t="s">
        <v>52</v>
      </c>
      <c r="D54" s="287"/>
      <c r="E54" s="288" t="s">
        <v>53</v>
      </c>
      <c r="F54" s="289" t="s">
        <v>30</v>
      </c>
      <c r="G54" s="293">
        <v>7244500</v>
      </c>
      <c r="H54" s="293">
        <v>6623000</v>
      </c>
      <c r="I54" s="293">
        <v>5192000</v>
      </c>
      <c r="J54" s="293">
        <v>4115500</v>
      </c>
      <c r="K54" s="293">
        <v>3350000</v>
      </c>
      <c r="L54" s="293">
        <v>2422000</v>
      </c>
      <c r="M54" s="293">
        <v>2396000</v>
      </c>
      <c r="N54" s="293">
        <v>4199000</v>
      </c>
      <c r="O54" s="293">
        <v>3043000</v>
      </c>
      <c r="P54" s="369">
        <v>3601000</v>
      </c>
      <c r="Q54" s="361">
        <v>1704000</v>
      </c>
      <c r="R54" s="377">
        <v>1134000</v>
      </c>
      <c r="S54" s="294">
        <v>45024000</v>
      </c>
      <c r="T54" s="387">
        <v>80868000</v>
      </c>
      <c r="U54" s="292">
        <v>0.55675916308057571</v>
      </c>
      <c r="V54" s="295">
        <v>3752000</v>
      </c>
      <c r="W54" s="273"/>
      <c r="X54" s="273"/>
      <c r="Y54" s="273"/>
      <c r="Z54" s="273"/>
      <c r="AA54" s="273"/>
      <c r="AB54" s="273"/>
    </row>
    <row r="55" spans="1:28" x14ac:dyDescent="0.25">
      <c r="A55" s="286"/>
      <c r="B55" s="287"/>
      <c r="C55" s="330" t="s">
        <v>79</v>
      </c>
      <c r="D55" s="287"/>
      <c r="E55" s="288" t="s">
        <v>54</v>
      </c>
      <c r="F55" s="289"/>
      <c r="G55" s="293">
        <v>12945000</v>
      </c>
      <c r="H55" s="293">
        <v>12619000</v>
      </c>
      <c r="I55" s="293">
        <v>13459000</v>
      </c>
      <c r="J55" s="293">
        <v>5866000</v>
      </c>
      <c r="K55" s="293">
        <v>9627500</v>
      </c>
      <c r="L55" s="293">
        <v>8959000</v>
      </c>
      <c r="M55" s="293">
        <v>13636500</v>
      </c>
      <c r="N55" s="293">
        <v>6451000</v>
      </c>
      <c r="O55" s="293">
        <v>7327000</v>
      </c>
      <c r="P55" s="369">
        <v>10626000</v>
      </c>
      <c r="Q55" s="361">
        <v>8288000</v>
      </c>
      <c r="R55" s="377">
        <v>4165000</v>
      </c>
      <c r="S55" s="294">
        <v>113969000</v>
      </c>
      <c r="T55" s="389">
        <v>187681695</v>
      </c>
      <c r="U55" s="292">
        <v>0.60724622078887347</v>
      </c>
      <c r="V55" s="295">
        <v>9497416.666666666</v>
      </c>
      <c r="W55" s="273"/>
      <c r="X55" s="273"/>
      <c r="Y55" s="273"/>
      <c r="Z55" s="273"/>
      <c r="AA55" s="273"/>
      <c r="AB55" s="273"/>
    </row>
    <row r="56" spans="1:28" x14ac:dyDescent="0.25">
      <c r="A56" s="286"/>
      <c r="B56" s="287"/>
      <c r="C56" s="330"/>
      <c r="D56" s="287"/>
      <c r="E56" s="288" t="s">
        <v>55</v>
      </c>
      <c r="F56" s="289"/>
      <c r="G56" s="293">
        <v>4187000</v>
      </c>
      <c r="H56" s="293">
        <v>3101000</v>
      </c>
      <c r="I56" s="293">
        <v>2424000</v>
      </c>
      <c r="J56" s="293">
        <v>2310000</v>
      </c>
      <c r="K56" s="293">
        <v>2545000</v>
      </c>
      <c r="L56" s="293">
        <v>2284500</v>
      </c>
      <c r="M56" s="293">
        <v>2852000</v>
      </c>
      <c r="N56" s="293">
        <v>2303000</v>
      </c>
      <c r="O56" s="293">
        <v>2125000</v>
      </c>
      <c r="P56" s="369">
        <v>3153000</v>
      </c>
      <c r="Q56" s="361">
        <v>2130000</v>
      </c>
      <c r="R56" s="377">
        <v>1256000</v>
      </c>
      <c r="S56" s="294">
        <v>30670500</v>
      </c>
      <c r="T56" s="390">
        <v>47645075</v>
      </c>
      <c r="U56" s="292">
        <v>0.64372865401093393</v>
      </c>
      <c r="V56" s="295">
        <v>2555875</v>
      </c>
      <c r="W56" s="273"/>
      <c r="X56" s="273"/>
      <c r="Y56" s="273"/>
      <c r="Z56" s="273"/>
      <c r="AA56" s="273"/>
      <c r="AB56" s="273"/>
    </row>
    <row r="57" spans="1:28" x14ac:dyDescent="0.25">
      <c r="A57" s="297"/>
      <c r="B57" s="298"/>
      <c r="C57" s="332"/>
      <c r="D57" s="298"/>
      <c r="E57" s="299" t="s">
        <v>56</v>
      </c>
      <c r="F57" s="300"/>
      <c r="G57" s="303">
        <v>3770000</v>
      </c>
      <c r="H57" s="303">
        <v>4553000</v>
      </c>
      <c r="I57" s="303">
        <v>2985500</v>
      </c>
      <c r="J57" s="303">
        <v>2692000</v>
      </c>
      <c r="K57" s="303">
        <v>2420000</v>
      </c>
      <c r="L57" s="303">
        <v>2777500</v>
      </c>
      <c r="M57" s="303">
        <v>5001000</v>
      </c>
      <c r="N57" s="303">
        <v>3388000</v>
      </c>
      <c r="O57" s="303">
        <v>3742000</v>
      </c>
      <c r="P57" s="370">
        <v>3015500</v>
      </c>
      <c r="Q57" s="364">
        <v>3124000</v>
      </c>
      <c r="R57" s="380">
        <v>3670000</v>
      </c>
      <c r="S57" s="294">
        <v>41138500</v>
      </c>
      <c r="T57" s="387">
        <v>49137775</v>
      </c>
      <c r="U57" s="292">
        <v>0.83720721990362812</v>
      </c>
      <c r="V57" s="295">
        <v>3428208.3333333335</v>
      </c>
      <c r="W57" s="273"/>
      <c r="X57" s="273"/>
      <c r="Y57" s="273"/>
      <c r="Z57" s="273"/>
      <c r="AA57" s="273"/>
      <c r="AB57" s="273"/>
    </row>
    <row r="58" spans="1:28" ht="15.75" thickBot="1" x14ac:dyDescent="0.3">
      <c r="A58" s="297"/>
      <c r="B58" s="298"/>
      <c r="C58" s="332"/>
      <c r="D58" s="298"/>
      <c r="E58" s="299" t="s">
        <v>57</v>
      </c>
      <c r="F58" s="300"/>
      <c r="G58" s="301">
        <v>4255000</v>
      </c>
      <c r="H58" s="301">
        <v>1230000</v>
      </c>
      <c r="I58" s="301">
        <v>1150000</v>
      </c>
      <c r="J58" s="301">
        <v>3150000</v>
      </c>
      <c r="K58" s="301">
        <v>4721700</v>
      </c>
      <c r="L58" s="301">
        <v>2570000</v>
      </c>
      <c r="M58" s="301">
        <v>3200000</v>
      </c>
      <c r="N58" s="301">
        <v>2780000</v>
      </c>
      <c r="O58" s="301">
        <v>3475000</v>
      </c>
      <c r="P58" s="372">
        <v>2750000</v>
      </c>
      <c r="Q58" s="366">
        <v>2375000</v>
      </c>
      <c r="R58" s="382">
        <v>4400000</v>
      </c>
      <c r="S58" s="294">
        <v>36056700</v>
      </c>
      <c r="T58" s="391">
        <v>15994775</v>
      </c>
      <c r="U58" s="292">
        <v>2.254279913284182</v>
      </c>
      <c r="V58" s="295">
        <v>3004725</v>
      </c>
      <c r="W58" s="273"/>
      <c r="X58" s="273"/>
      <c r="Y58" s="273"/>
      <c r="Z58" s="273"/>
      <c r="AA58" s="273"/>
      <c r="AB58" s="273"/>
    </row>
    <row r="59" spans="1:28" ht="15.75" thickBot="1" x14ac:dyDescent="0.3">
      <c r="A59" s="314"/>
      <c r="B59" s="315"/>
      <c r="C59" s="331"/>
      <c r="D59" s="315"/>
      <c r="E59" s="316"/>
      <c r="F59" s="317"/>
      <c r="G59" s="355">
        <v>32401500</v>
      </c>
      <c r="H59" s="355">
        <v>28126000</v>
      </c>
      <c r="I59" s="355">
        <v>25210500</v>
      </c>
      <c r="J59" s="355">
        <v>18133500</v>
      </c>
      <c r="K59" s="355">
        <v>22664200</v>
      </c>
      <c r="L59" s="355">
        <v>19013000</v>
      </c>
      <c r="M59" s="355">
        <v>27085500</v>
      </c>
      <c r="N59" s="355">
        <v>19121000</v>
      </c>
      <c r="O59" s="355">
        <v>19712000</v>
      </c>
      <c r="P59" s="355">
        <v>23145500</v>
      </c>
      <c r="Q59" s="375">
        <v>17621000</v>
      </c>
      <c r="R59" s="355">
        <v>14625000</v>
      </c>
      <c r="S59" s="319">
        <v>266858700</v>
      </c>
      <c r="T59" s="319">
        <v>381327320</v>
      </c>
      <c r="U59" s="320">
        <v>0.69981531876604064</v>
      </c>
      <c r="V59" s="319">
        <v>22238225</v>
      </c>
      <c r="W59" s="322"/>
      <c r="X59" s="322"/>
      <c r="Y59" s="402"/>
      <c r="Z59" s="402"/>
      <c r="AA59" s="400"/>
      <c r="AB59" s="402"/>
    </row>
    <row r="60" spans="1:28" ht="15.75" thickBot="1" x14ac:dyDescent="0.3">
      <c r="A60" s="325"/>
      <c r="B60" s="341"/>
      <c r="C60" s="342"/>
      <c r="D60" s="341"/>
      <c r="E60" s="343"/>
      <c r="F60" s="326"/>
      <c r="G60" s="344">
        <v>112610000</v>
      </c>
      <c r="H60" s="344">
        <v>94926000</v>
      </c>
      <c r="I60" s="344">
        <v>111765500</v>
      </c>
      <c r="J60" s="344">
        <v>82536900</v>
      </c>
      <c r="K60" s="344">
        <v>86135700</v>
      </c>
      <c r="L60" s="344">
        <v>72682000</v>
      </c>
      <c r="M60" s="344">
        <v>97592500</v>
      </c>
      <c r="N60" s="344">
        <v>76054000</v>
      </c>
      <c r="O60" s="344">
        <v>75194000</v>
      </c>
      <c r="P60" s="344">
        <v>93934500</v>
      </c>
      <c r="Q60" s="344">
        <v>86185380</v>
      </c>
      <c r="R60" s="344">
        <v>74196500</v>
      </c>
      <c r="S60" s="344">
        <v>1063812980</v>
      </c>
      <c r="T60" s="344">
        <v>1647738258.25</v>
      </c>
      <c r="U60" s="351">
        <v>0.64562012484302889</v>
      </c>
      <c r="V60" s="344">
        <v>88651081.666666672</v>
      </c>
      <c r="W60" s="322"/>
      <c r="X60" s="322"/>
      <c r="Y60" s="402"/>
      <c r="Z60" s="402"/>
      <c r="AA60" s="400"/>
      <c r="AB60" s="402"/>
    </row>
    <row r="61" spans="1:28" x14ac:dyDescent="0.25">
      <c r="A61" s="279"/>
      <c r="B61" s="280"/>
      <c r="C61" s="329"/>
      <c r="D61" s="280"/>
      <c r="E61" s="281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1"/>
      <c r="Q61" s="282"/>
      <c r="R61" s="280"/>
      <c r="S61" s="294"/>
      <c r="T61" s="294"/>
      <c r="U61" s="292"/>
      <c r="V61" s="294"/>
      <c r="W61" s="273"/>
      <c r="X61" s="273"/>
      <c r="Y61" s="273"/>
      <c r="Z61" s="273"/>
      <c r="AA61" s="273"/>
      <c r="AB61" s="273"/>
    </row>
    <row r="62" spans="1:28" x14ac:dyDescent="0.25">
      <c r="A62" s="279">
        <v>7</v>
      </c>
      <c r="B62" s="280"/>
      <c r="C62" s="329"/>
      <c r="D62" s="309" t="s">
        <v>84</v>
      </c>
      <c r="E62" s="281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1"/>
      <c r="Q62" s="282"/>
      <c r="R62" s="280"/>
      <c r="S62" s="294"/>
      <c r="T62" s="392"/>
      <c r="U62" s="292"/>
      <c r="V62" s="294"/>
      <c r="W62" s="273"/>
      <c r="X62" s="273"/>
      <c r="Y62" s="273"/>
      <c r="Z62" s="273"/>
      <c r="AA62" s="273"/>
      <c r="AB62" s="273"/>
    </row>
    <row r="63" spans="1:28" x14ac:dyDescent="0.25">
      <c r="A63" s="279"/>
      <c r="B63" s="280"/>
      <c r="C63" s="329"/>
      <c r="D63" s="359"/>
      <c r="E63" s="288" t="s">
        <v>85</v>
      </c>
      <c r="F63" s="283"/>
      <c r="G63" s="293">
        <v>0</v>
      </c>
      <c r="H63" s="293">
        <v>0</v>
      </c>
      <c r="I63" s="293">
        <v>800000</v>
      </c>
      <c r="J63" s="293">
        <v>9430065</v>
      </c>
      <c r="K63" s="293">
        <v>600000</v>
      </c>
      <c r="L63" s="293">
        <v>800000</v>
      </c>
      <c r="M63" s="293">
        <v>100000</v>
      </c>
      <c r="N63" s="293">
        <v>2000000</v>
      </c>
      <c r="O63" s="293">
        <v>1273000</v>
      </c>
      <c r="P63" s="369">
        <v>0</v>
      </c>
      <c r="Q63" s="361">
        <v>1200000</v>
      </c>
      <c r="R63" s="377">
        <v>0</v>
      </c>
      <c r="S63" s="294">
        <v>16203065</v>
      </c>
      <c r="T63" s="389">
        <v>33750000</v>
      </c>
      <c r="U63" s="292">
        <v>0.4800908148148148</v>
      </c>
      <c r="V63" s="295">
        <v>1350255.4166666667</v>
      </c>
      <c r="W63" s="273"/>
      <c r="X63" s="273"/>
      <c r="Y63" s="273"/>
      <c r="Z63" s="273"/>
      <c r="AA63" s="273"/>
      <c r="AB63" s="273"/>
    </row>
    <row r="64" spans="1:28" x14ac:dyDescent="0.25">
      <c r="A64" s="297"/>
      <c r="B64" s="298"/>
      <c r="C64" s="332"/>
      <c r="D64" s="298"/>
      <c r="E64" s="288" t="s">
        <v>86</v>
      </c>
      <c r="F64" s="300"/>
      <c r="G64" s="303">
        <v>6567120</v>
      </c>
      <c r="H64" s="303">
        <v>0</v>
      </c>
      <c r="I64" s="303">
        <v>3600000</v>
      </c>
      <c r="J64" s="303">
        <v>29339000</v>
      </c>
      <c r="K64" s="303">
        <v>13010000</v>
      </c>
      <c r="L64" s="303">
        <v>6100000</v>
      </c>
      <c r="M64" s="303">
        <v>0</v>
      </c>
      <c r="N64" s="303">
        <v>9410800</v>
      </c>
      <c r="O64" s="303">
        <v>1300000</v>
      </c>
      <c r="P64" s="370">
        <v>0</v>
      </c>
      <c r="Q64" s="364">
        <v>16616000</v>
      </c>
      <c r="R64" s="380">
        <v>22095000</v>
      </c>
      <c r="S64" s="294">
        <v>108037920</v>
      </c>
      <c r="T64" s="389">
        <v>92800000</v>
      </c>
      <c r="U64" s="292">
        <v>1.164201724137931</v>
      </c>
      <c r="V64" s="295">
        <v>9003160</v>
      </c>
      <c r="W64" s="273"/>
      <c r="X64" s="273"/>
      <c r="Y64" s="273"/>
      <c r="Z64" s="273"/>
      <c r="AA64" s="273"/>
      <c r="AB64" s="273"/>
    </row>
    <row r="65" spans="1:22" x14ac:dyDescent="0.25">
      <c r="A65" s="297"/>
      <c r="B65" s="298"/>
      <c r="C65" s="332"/>
      <c r="D65" s="298"/>
      <c r="E65" s="299" t="s">
        <v>167</v>
      </c>
      <c r="F65" s="300"/>
      <c r="G65" s="303">
        <v>0</v>
      </c>
      <c r="H65" s="303">
        <v>0</v>
      </c>
      <c r="I65" s="303">
        <v>5730000</v>
      </c>
      <c r="J65" s="303">
        <v>0</v>
      </c>
      <c r="K65" s="303">
        <v>1364000</v>
      </c>
      <c r="L65" s="303">
        <v>1000000</v>
      </c>
      <c r="M65" s="303">
        <v>3390000</v>
      </c>
      <c r="N65" s="303">
        <v>4180000</v>
      </c>
      <c r="O65" s="303">
        <v>0</v>
      </c>
      <c r="P65" s="370">
        <v>460000</v>
      </c>
      <c r="Q65" s="364">
        <v>0</v>
      </c>
      <c r="R65" s="380">
        <v>1000000</v>
      </c>
      <c r="S65" s="294">
        <v>17124000</v>
      </c>
      <c r="T65" s="389">
        <v>500000</v>
      </c>
      <c r="U65" s="292">
        <v>34.247999999999998</v>
      </c>
      <c r="V65" s="295">
        <v>1427000</v>
      </c>
    </row>
    <row r="66" spans="1:22" x14ac:dyDescent="0.25">
      <c r="A66" s="286"/>
      <c r="B66" s="287"/>
      <c r="C66" s="330"/>
      <c r="D66" s="287"/>
      <c r="E66" s="299" t="s">
        <v>87</v>
      </c>
      <c r="F66" s="289"/>
      <c r="G66" s="293">
        <v>0</v>
      </c>
      <c r="H66" s="293">
        <v>0</v>
      </c>
      <c r="I66" s="293">
        <v>0</v>
      </c>
      <c r="J66" s="293">
        <v>0</v>
      </c>
      <c r="K66" s="293">
        <v>4000</v>
      </c>
      <c r="L66" s="293">
        <v>0</v>
      </c>
      <c r="M66" s="293">
        <v>0</v>
      </c>
      <c r="N66" s="293">
        <v>0</v>
      </c>
      <c r="O66" s="293">
        <v>0</v>
      </c>
      <c r="P66" s="369">
        <v>0</v>
      </c>
      <c r="Q66" s="361">
        <v>0</v>
      </c>
      <c r="R66" s="377">
        <v>0</v>
      </c>
      <c r="S66" s="294">
        <v>4000</v>
      </c>
      <c r="T66" s="389">
        <v>0</v>
      </c>
      <c r="U66" s="292" t="e">
        <v>#DIV/0!</v>
      </c>
      <c r="V66" s="295">
        <v>333.33333333333331</v>
      </c>
    </row>
    <row r="67" spans="1:22" x14ac:dyDescent="0.25">
      <c r="A67" s="279"/>
      <c r="B67" s="280"/>
      <c r="C67" s="329"/>
      <c r="D67" s="287"/>
      <c r="E67" s="299" t="s">
        <v>91</v>
      </c>
      <c r="F67" s="282"/>
      <c r="G67" s="293">
        <v>0</v>
      </c>
      <c r="H67" s="293">
        <v>0</v>
      </c>
      <c r="I67" s="293">
        <v>0</v>
      </c>
      <c r="J67" s="293">
        <v>0</v>
      </c>
      <c r="K67" s="293">
        <v>1080000</v>
      </c>
      <c r="L67" s="293">
        <v>600000</v>
      </c>
      <c r="M67" s="384">
        <v>0</v>
      </c>
      <c r="N67" s="293">
        <v>0</v>
      </c>
      <c r="O67" s="293">
        <v>0</v>
      </c>
      <c r="P67" s="369">
        <v>0</v>
      </c>
      <c r="Q67" s="361">
        <v>1800000</v>
      </c>
      <c r="R67" s="377">
        <v>0</v>
      </c>
      <c r="S67" s="294">
        <v>3480000</v>
      </c>
      <c r="T67" s="387">
        <v>5400000</v>
      </c>
      <c r="U67" s="292">
        <v>0.64444444444444449</v>
      </c>
      <c r="V67" s="295">
        <v>290000</v>
      </c>
    </row>
    <row r="68" spans="1:22" x14ac:dyDescent="0.25">
      <c r="A68" s="279"/>
      <c r="B68" s="280"/>
      <c r="C68" s="329"/>
      <c r="D68" s="287"/>
      <c r="E68" s="299" t="s">
        <v>168</v>
      </c>
      <c r="F68" s="282"/>
      <c r="G68" s="293">
        <v>12400000</v>
      </c>
      <c r="H68" s="293">
        <v>0</v>
      </c>
      <c r="I68" s="293">
        <v>4000000</v>
      </c>
      <c r="J68" s="293">
        <v>0</v>
      </c>
      <c r="K68" s="293">
        <v>0</v>
      </c>
      <c r="L68" s="293">
        <v>0</v>
      </c>
      <c r="M68" s="293">
        <v>0</v>
      </c>
      <c r="N68" s="293">
        <v>7952232</v>
      </c>
      <c r="O68" s="293">
        <v>11700000</v>
      </c>
      <c r="P68" s="369">
        <v>3900000</v>
      </c>
      <c r="Q68" s="361">
        <v>0</v>
      </c>
      <c r="R68" s="377">
        <v>0</v>
      </c>
      <c r="S68" s="294">
        <v>39952232</v>
      </c>
      <c r="T68" s="387">
        <v>54300000</v>
      </c>
      <c r="U68" s="292">
        <v>0.73576854511970535</v>
      </c>
      <c r="V68" s="295">
        <v>3329352.6666666665</v>
      </c>
    </row>
    <row r="69" spans="1:22" x14ac:dyDescent="0.25">
      <c r="A69" s="279"/>
      <c r="B69" s="280"/>
      <c r="C69" s="329"/>
      <c r="D69" s="287"/>
      <c r="E69" s="299" t="s">
        <v>169</v>
      </c>
      <c r="F69" s="282"/>
      <c r="G69" s="293">
        <v>0</v>
      </c>
      <c r="H69" s="293">
        <v>0</v>
      </c>
      <c r="I69" s="293">
        <v>0</v>
      </c>
      <c r="J69" s="293">
        <v>0</v>
      </c>
      <c r="K69" s="293">
        <v>0</v>
      </c>
      <c r="L69" s="293">
        <v>2000000</v>
      </c>
      <c r="M69" s="293">
        <v>10000000</v>
      </c>
      <c r="N69" s="293">
        <v>13000000</v>
      </c>
      <c r="O69" s="293">
        <v>0</v>
      </c>
      <c r="P69" s="369">
        <v>0</v>
      </c>
      <c r="Q69" s="361">
        <v>0</v>
      </c>
      <c r="R69" s="377">
        <v>0</v>
      </c>
      <c r="S69" s="294">
        <v>25000000</v>
      </c>
      <c r="T69" s="387">
        <v>60250000</v>
      </c>
      <c r="U69" s="292">
        <v>0.41493775933609961</v>
      </c>
      <c r="V69" s="295">
        <v>2083333.3333333333</v>
      </c>
    </row>
    <row r="70" spans="1:22" x14ac:dyDescent="0.25">
      <c r="A70" s="279"/>
      <c r="B70" s="280"/>
      <c r="C70" s="329"/>
      <c r="D70" s="287"/>
      <c r="E70" s="299" t="s">
        <v>170</v>
      </c>
      <c r="F70" s="282"/>
      <c r="G70" s="293">
        <v>1500000</v>
      </c>
      <c r="H70" s="293">
        <v>13200000</v>
      </c>
      <c r="I70" s="293">
        <v>0</v>
      </c>
      <c r="J70" s="293">
        <v>0</v>
      </c>
      <c r="K70" s="293">
        <v>0</v>
      </c>
      <c r="L70" s="293">
        <v>0</v>
      </c>
      <c r="M70" s="293">
        <v>3000000</v>
      </c>
      <c r="N70" s="293">
        <v>19000000</v>
      </c>
      <c r="O70" s="293">
        <v>16000000</v>
      </c>
      <c r="P70" s="369">
        <v>8500000</v>
      </c>
      <c r="Q70" s="361">
        <v>0</v>
      </c>
      <c r="R70" s="377">
        <v>0</v>
      </c>
      <c r="S70" s="294">
        <v>61200000</v>
      </c>
      <c r="T70" s="387">
        <v>29400000</v>
      </c>
      <c r="U70" s="292">
        <v>2.0816326530612246</v>
      </c>
      <c r="V70" s="295">
        <v>5100000</v>
      </c>
    </row>
    <row r="71" spans="1:22" x14ac:dyDescent="0.25">
      <c r="A71" s="279"/>
      <c r="B71" s="280"/>
      <c r="C71" s="329"/>
      <c r="D71" s="287"/>
      <c r="E71" s="299" t="s">
        <v>171</v>
      </c>
      <c r="F71" s="282"/>
      <c r="G71" s="293">
        <v>0</v>
      </c>
      <c r="H71" s="293">
        <v>0</v>
      </c>
      <c r="I71" s="293">
        <v>0</v>
      </c>
      <c r="J71" s="293">
        <v>0</v>
      </c>
      <c r="K71" s="293">
        <v>0</v>
      </c>
      <c r="L71" s="293">
        <v>0</v>
      </c>
      <c r="M71" s="293">
        <v>0</v>
      </c>
      <c r="N71" s="293">
        <v>0</v>
      </c>
      <c r="O71" s="293">
        <v>0</v>
      </c>
      <c r="P71" s="369">
        <v>0</v>
      </c>
      <c r="Q71" s="361">
        <v>0</v>
      </c>
      <c r="R71" s="377">
        <v>0</v>
      </c>
      <c r="S71" s="294">
        <v>0</v>
      </c>
      <c r="T71" s="387">
        <v>17500000</v>
      </c>
      <c r="U71" s="292">
        <v>0</v>
      </c>
      <c r="V71" s="295">
        <v>0</v>
      </c>
    </row>
    <row r="72" spans="1:22" x14ac:dyDescent="0.25">
      <c r="A72" s="279"/>
      <c r="B72" s="280"/>
      <c r="C72" s="329"/>
      <c r="D72" s="287"/>
      <c r="E72" s="299" t="s">
        <v>172</v>
      </c>
      <c r="F72" s="282"/>
      <c r="G72" s="293">
        <v>0</v>
      </c>
      <c r="H72" s="293">
        <v>0</v>
      </c>
      <c r="I72" s="293">
        <v>0</v>
      </c>
      <c r="J72" s="293">
        <v>0</v>
      </c>
      <c r="K72" s="293">
        <v>0</v>
      </c>
      <c r="L72" s="293">
        <v>0</v>
      </c>
      <c r="M72" s="293">
        <v>0</v>
      </c>
      <c r="N72" s="293">
        <v>0</v>
      </c>
      <c r="O72" s="293">
        <v>0</v>
      </c>
      <c r="P72" s="369">
        <v>0</v>
      </c>
      <c r="Q72" s="361">
        <v>0</v>
      </c>
      <c r="R72" s="377">
        <v>0</v>
      </c>
      <c r="S72" s="294">
        <v>0</v>
      </c>
      <c r="T72" s="389">
        <v>17500000</v>
      </c>
      <c r="U72" s="292">
        <v>0</v>
      </c>
      <c r="V72" s="295">
        <v>0</v>
      </c>
    </row>
    <row r="73" spans="1:22" x14ac:dyDescent="0.25">
      <c r="A73" s="279"/>
      <c r="B73" s="280"/>
      <c r="C73" s="329"/>
      <c r="D73" s="287"/>
      <c r="E73" s="299" t="s">
        <v>173</v>
      </c>
      <c r="F73" s="282"/>
      <c r="G73" s="293">
        <v>0</v>
      </c>
      <c r="H73" s="293">
        <v>0</v>
      </c>
      <c r="I73" s="293">
        <v>0</v>
      </c>
      <c r="J73" s="293">
        <v>0</v>
      </c>
      <c r="K73" s="293">
        <v>0</v>
      </c>
      <c r="L73" s="293">
        <v>0</v>
      </c>
      <c r="M73" s="293">
        <v>0</v>
      </c>
      <c r="N73" s="293">
        <v>0</v>
      </c>
      <c r="O73" s="293">
        <v>0</v>
      </c>
      <c r="P73" s="369">
        <v>0</v>
      </c>
      <c r="Q73" s="361">
        <v>0</v>
      </c>
      <c r="R73" s="377">
        <v>0</v>
      </c>
      <c r="S73" s="294">
        <v>0</v>
      </c>
      <c r="T73" s="390">
        <v>17500000</v>
      </c>
      <c r="U73" s="292">
        <v>0</v>
      </c>
      <c r="V73" s="295">
        <v>0</v>
      </c>
    </row>
    <row r="74" spans="1:22" x14ac:dyDescent="0.25">
      <c r="A74" s="279"/>
      <c r="B74" s="280"/>
      <c r="C74" s="329"/>
      <c r="D74" s="277"/>
      <c r="E74" s="312" t="s">
        <v>174</v>
      </c>
      <c r="F74" s="282"/>
      <c r="G74" s="293">
        <v>0</v>
      </c>
      <c r="H74" s="293">
        <v>0</v>
      </c>
      <c r="I74" s="293">
        <v>0</v>
      </c>
      <c r="J74" s="293">
        <v>0</v>
      </c>
      <c r="K74" s="293">
        <v>0</v>
      </c>
      <c r="L74" s="293">
        <v>0</v>
      </c>
      <c r="M74" s="293">
        <v>0</v>
      </c>
      <c r="N74" s="293">
        <v>0</v>
      </c>
      <c r="O74" s="293">
        <v>0</v>
      </c>
      <c r="P74" s="369">
        <v>0</v>
      </c>
      <c r="Q74" s="361">
        <v>0</v>
      </c>
      <c r="R74" s="377">
        <v>0</v>
      </c>
      <c r="S74" s="294">
        <v>0</v>
      </c>
      <c r="T74" s="387">
        <v>17500000</v>
      </c>
      <c r="U74" s="292">
        <v>0</v>
      </c>
      <c r="V74" s="295">
        <v>0</v>
      </c>
    </row>
    <row r="75" spans="1:22" x14ac:dyDescent="0.25">
      <c r="A75" s="279"/>
      <c r="B75" s="280"/>
      <c r="C75" s="329"/>
      <c r="D75" s="277"/>
      <c r="E75" s="394" t="s">
        <v>175</v>
      </c>
      <c r="F75" s="282"/>
      <c r="G75" s="293">
        <v>5940000</v>
      </c>
      <c r="H75" s="293">
        <v>4605000</v>
      </c>
      <c r="I75" s="293">
        <v>0</v>
      </c>
      <c r="J75" s="293">
        <v>0</v>
      </c>
      <c r="K75" s="293">
        <v>0</v>
      </c>
      <c r="L75" s="293">
        <v>0</v>
      </c>
      <c r="M75" s="293">
        <v>5400000</v>
      </c>
      <c r="N75" s="293">
        <v>5145000</v>
      </c>
      <c r="O75" s="293">
        <v>0</v>
      </c>
      <c r="P75" s="369">
        <v>0</v>
      </c>
      <c r="Q75" s="361">
        <v>0</v>
      </c>
      <c r="R75" s="377">
        <v>0</v>
      </c>
      <c r="S75" s="294">
        <v>21090000</v>
      </c>
      <c r="T75" s="387">
        <v>21090000</v>
      </c>
      <c r="U75" s="292">
        <v>1</v>
      </c>
      <c r="V75" s="295">
        <v>1757500</v>
      </c>
    </row>
    <row r="76" spans="1:22" x14ac:dyDescent="0.25">
      <c r="A76" s="279"/>
      <c r="B76" s="280"/>
      <c r="C76" s="329"/>
      <c r="D76" s="277"/>
      <c r="E76" s="394" t="s">
        <v>176</v>
      </c>
      <c r="F76" s="282"/>
      <c r="G76" s="293">
        <v>1422000</v>
      </c>
      <c r="H76" s="293">
        <v>0</v>
      </c>
      <c r="I76" s="293">
        <v>0</v>
      </c>
      <c r="J76" s="293">
        <v>0</v>
      </c>
      <c r="K76" s="293">
        <v>0</v>
      </c>
      <c r="L76" s="293">
        <v>0</v>
      </c>
      <c r="M76" s="293">
        <v>1404000</v>
      </c>
      <c r="N76" s="293">
        <v>0</v>
      </c>
      <c r="O76" s="293">
        <v>0</v>
      </c>
      <c r="P76" s="369">
        <v>0</v>
      </c>
      <c r="Q76" s="361">
        <v>0</v>
      </c>
      <c r="R76" s="377">
        <v>1422000</v>
      </c>
      <c r="S76" s="294">
        <v>4248000</v>
      </c>
      <c r="T76" s="387">
        <v>2844000</v>
      </c>
      <c r="U76" s="292">
        <v>1.4936708860759493</v>
      </c>
      <c r="V76" s="295">
        <v>354000</v>
      </c>
    </row>
    <row r="77" spans="1:22" x14ac:dyDescent="0.25">
      <c r="A77" s="279"/>
      <c r="B77" s="280"/>
      <c r="C77" s="329"/>
      <c r="D77" s="277"/>
      <c r="E77" s="394" t="s">
        <v>177</v>
      </c>
      <c r="F77" s="282"/>
      <c r="G77" s="293">
        <v>0</v>
      </c>
      <c r="H77" s="293">
        <v>6850000</v>
      </c>
      <c r="I77" s="293">
        <v>5146000</v>
      </c>
      <c r="J77" s="293">
        <v>0</v>
      </c>
      <c r="K77" s="293">
        <v>0</v>
      </c>
      <c r="L77" s="293">
        <v>0</v>
      </c>
      <c r="M77" s="293">
        <v>6000000</v>
      </c>
      <c r="N77" s="293">
        <v>8950000</v>
      </c>
      <c r="O77" s="293">
        <v>0</v>
      </c>
      <c r="P77" s="369">
        <v>0</v>
      </c>
      <c r="Q77" s="361">
        <v>0</v>
      </c>
      <c r="R77" s="377">
        <v>0</v>
      </c>
      <c r="S77" s="294">
        <v>26946000</v>
      </c>
      <c r="T77" s="389">
        <v>26400000</v>
      </c>
      <c r="U77" s="292">
        <v>1.0206818181818182</v>
      </c>
      <c r="V77" s="295">
        <v>2245500</v>
      </c>
    </row>
    <row r="78" spans="1:22" x14ac:dyDescent="0.25">
      <c r="A78" s="279"/>
      <c r="B78" s="280"/>
      <c r="C78" s="329"/>
      <c r="D78" s="277"/>
      <c r="E78" s="394" t="s">
        <v>178</v>
      </c>
      <c r="F78" s="282"/>
      <c r="G78" s="293">
        <v>0</v>
      </c>
      <c r="H78" s="293">
        <v>0</v>
      </c>
      <c r="I78" s="293">
        <v>0</v>
      </c>
      <c r="J78" s="293">
        <v>0</v>
      </c>
      <c r="K78" s="293">
        <v>0</v>
      </c>
      <c r="L78" s="293">
        <v>0</v>
      </c>
      <c r="M78" s="293">
        <v>0</v>
      </c>
      <c r="N78" s="293">
        <v>0</v>
      </c>
      <c r="O78" s="293">
        <v>0</v>
      </c>
      <c r="P78" s="369">
        <v>0</v>
      </c>
      <c r="Q78" s="361">
        <v>0</v>
      </c>
      <c r="R78" s="377">
        <v>0</v>
      </c>
      <c r="S78" s="294">
        <v>0</v>
      </c>
      <c r="T78" s="390">
        <v>30950000</v>
      </c>
      <c r="U78" s="292">
        <v>0</v>
      </c>
      <c r="V78" s="295">
        <v>0</v>
      </c>
    </row>
    <row r="79" spans="1:22" x14ac:dyDescent="0.25">
      <c r="A79" s="279"/>
      <c r="B79" s="280"/>
      <c r="C79" s="329"/>
      <c r="D79" s="277"/>
      <c r="E79" s="394" t="s">
        <v>179</v>
      </c>
      <c r="F79" s="282"/>
      <c r="G79" s="293">
        <v>0</v>
      </c>
      <c r="H79" s="293">
        <v>0</v>
      </c>
      <c r="I79" s="293">
        <v>0</v>
      </c>
      <c r="J79" s="293">
        <v>0</v>
      </c>
      <c r="K79" s="293">
        <v>0</v>
      </c>
      <c r="L79" s="293">
        <v>0</v>
      </c>
      <c r="M79" s="293">
        <v>0</v>
      </c>
      <c r="N79" s="293">
        <v>0</v>
      </c>
      <c r="O79" s="293">
        <v>0</v>
      </c>
      <c r="P79" s="369">
        <v>0</v>
      </c>
      <c r="Q79" s="361">
        <v>0</v>
      </c>
      <c r="R79" s="377">
        <v>0</v>
      </c>
      <c r="S79" s="294">
        <v>0</v>
      </c>
      <c r="T79" s="387">
        <v>24380000</v>
      </c>
      <c r="U79" s="292">
        <v>0</v>
      </c>
      <c r="V79" s="295">
        <v>0</v>
      </c>
    </row>
    <row r="80" spans="1:22" x14ac:dyDescent="0.25">
      <c r="A80" s="279"/>
      <c r="B80" s="280"/>
      <c r="C80" s="329"/>
      <c r="D80" s="277"/>
      <c r="E80" s="394" t="s">
        <v>180</v>
      </c>
      <c r="F80" s="282"/>
      <c r="G80" s="293">
        <v>0</v>
      </c>
      <c r="H80" s="293">
        <v>0</v>
      </c>
      <c r="I80" s="293">
        <v>0</v>
      </c>
      <c r="J80" s="293">
        <v>0</v>
      </c>
      <c r="K80" s="293">
        <v>0</v>
      </c>
      <c r="L80" s="293">
        <v>0</v>
      </c>
      <c r="M80" s="293">
        <v>0</v>
      </c>
      <c r="N80" s="293">
        <v>0</v>
      </c>
      <c r="O80" s="293">
        <v>0</v>
      </c>
      <c r="P80" s="369">
        <v>0</v>
      </c>
      <c r="Q80" s="361">
        <v>0</v>
      </c>
      <c r="R80" s="377">
        <v>0</v>
      </c>
      <c r="S80" s="294">
        <v>0</v>
      </c>
      <c r="T80" s="387">
        <v>0</v>
      </c>
      <c r="U80" s="292" t="e">
        <v>#DIV/0!</v>
      </c>
      <c r="V80" s="295">
        <v>0</v>
      </c>
    </row>
    <row r="81" spans="1:23" x14ac:dyDescent="0.25">
      <c r="A81" s="279"/>
      <c r="B81" s="280"/>
      <c r="C81" s="329"/>
      <c r="D81" s="277"/>
      <c r="E81" s="394" t="s">
        <v>181</v>
      </c>
      <c r="F81" s="282"/>
      <c r="G81" s="293">
        <v>0</v>
      </c>
      <c r="H81" s="293">
        <v>0</v>
      </c>
      <c r="I81" s="293">
        <v>0</v>
      </c>
      <c r="J81" s="293">
        <v>0</v>
      </c>
      <c r="K81" s="293">
        <v>0</v>
      </c>
      <c r="L81" s="293">
        <v>0</v>
      </c>
      <c r="M81" s="293">
        <v>0</v>
      </c>
      <c r="N81" s="293">
        <v>0</v>
      </c>
      <c r="O81" s="293">
        <v>0</v>
      </c>
      <c r="P81" s="369">
        <v>0</v>
      </c>
      <c r="Q81" s="361">
        <v>0</v>
      </c>
      <c r="R81" s="377">
        <v>0</v>
      </c>
      <c r="S81" s="294">
        <v>0</v>
      </c>
      <c r="T81" s="389">
        <v>0</v>
      </c>
      <c r="U81" s="292" t="e">
        <v>#DIV/0!</v>
      </c>
      <c r="V81" s="295">
        <v>0</v>
      </c>
      <c r="W81" s="273"/>
    </row>
    <row r="82" spans="1:23" ht="15.75" thickBot="1" x14ac:dyDescent="0.3">
      <c r="A82" s="279"/>
      <c r="B82" s="280"/>
      <c r="C82" s="329"/>
      <c r="D82" s="273"/>
      <c r="E82" s="385" t="s">
        <v>94</v>
      </c>
      <c r="F82" s="283"/>
      <c r="G82" s="293">
        <v>50000</v>
      </c>
      <c r="H82" s="293">
        <v>150000</v>
      </c>
      <c r="I82" s="293">
        <v>480000</v>
      </c>
      <c r="J82" s="293">
        <v>20000</v>
      </c>
      <c r="K82" s="293">
        <v>0</v>
      </c>
      <c r="L82" s="293">
        <v>60000</v>
      </c>
      <c r="M82" s="293">
        <v>65000</v>
      </c>
      <c r="N82" s="293">
        <v>0</v>
      </c>
      <c r="O82" s="293">
        <v>95000</v>
      </c>
      <c r="P82" s="369">
        <v>0</v>
      </c>
      <c r="Q82" s="361">
        <v>0</v>
      </c>
      <c r="R82" s="377">
        <v>0</v>
      </c>
      <c r="S82" s="294">
        <v>920000</v>
      </c>
      <c r="T82" s="390">
        <v>0</v>
      </c>
      <c r="U82" s="292" t="e">
        <v>#DIV/0!</v>
      </c>
      <c r="V82" s="295">
        <v>76666.666666666672</v>
      </c>
      <c r="W82" s="273"/>
    </row>
    <row r="83" spans="1:23" ht="15.75" thickBot="1" x14ac:dyDescent="0.3">
      <c r="A83" s="325"/>
      <c r="B83" s="341"/>
      <c r="C83" s="342"/>
      <c r="D83" s="341"/>
      <c r="E83" s="343"/>
      <c r="F83" s="326"/>
      <c r="G83" s="348">
        <v>27879120</v>
      </c>
      <c r="H83" s="348">
        <v>24805000</v>
      </c>
      <c r="I83" s="348">
        <v>19756000</v>
      </c>
      <c r="J83" s="348">
        <v>38789065</v>
      </c>
      <c r="K83" s="348">
        <v>16058000</v>
      </c>
      <c r="L83" s="348">
        <v>10560000</v>
      </c>
      <c r="M83" s="348">
        <v>29359000</v>
      </c>
      <c r="N83" s="348">
        <v>69638032</v>
      </c>
      <c r="O83" s="348">
        <v>30368000</v>
      </c>
      <c r="P83" s="348">
        <v>12860000</v>
      </c>
      <c r="Q83" s="335">
        <v>19616000</v>
      </c>
      <c r="R83" s="344">
        <v>24517000</v>
      </c>
      <c r="S83" s="348">
        <v>324205217</v>
      </c>
      <c r="T83" s="348">
        <v>452064000</v>
      </c>
      <c r="U83" s="351">
        <v>0.71716663348552412</v>
      </c>
      <c r="V83" s="348">
        <v>27017101.416666668</v>
      </c>
      <c r="W83" s="356" t="s">
        <v>34</v>
      </c>
    </row>
    <row r="84" spans="1:23" x14ac:dyDescent="0.25">
      <c r="A84" s="286"/>
      <c r="B84" s="287"/>
      <c r="C84" s="330"/>
      <c r="D84" s="345"/>
      <c r="E84" s="288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88"/>
      <c r="Q84" s="289"/>
      <c r="R84" s="287"/>
      <c r="S84" s="294"/>
      <c r="T84" s="294"/>
      <c r="U84" s="292"/>
      <c r="V84" s="295"/>
      <c r="W84" s="273"/>
    </row>
    <row r="85" spans="1:23" x14ac:dyDescent="0.25">
      <c r="A85" s="286">
        <v>8</v>
      </c>
      <c r="B85" s="287"/>
      <c r="C85" s="330"/>
      <c r="D85" s="274" t="s">
        <v>95</v>
      </c>
      <c r="E85" s="288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88"/>
      <c r="Q85" s="289"/>
      <c r="R85" s="287"/>
      <c r="S85" s="294"/>
      <c r="T85" s="392"/>
      <c r="U85" s="292"/>
      <c r="V85" s="295"/>
      <c r="W85" s="273"/>
    </row>
    <row r="86" spans="1:23" x14ac:dyDescent="0.25">
      <c r="A86" s="286"/>
      <c r="B86" s="287"/>
      <c r="C86" s="330"/>
      <c r="D86" s="287"/>
      <c r="E86" s="312" t="s">
        <v>96</v>
      </c>
      <c r="F86" s="290"/>
      <c r="G86" s="293">
        <v>9949000</v>
      </c>
      <c r="H86" s="293">
        <v>7772250</v>
      </c>
      <c r="I86" s="293">
        <v>5462000</v>
      </c>
      <c r="J86" s="293">
        <v>15402000</v>
      </c>
      <c r="K86" s="293">
        <v>8729000</v>
      </c>
      <c r="L86" s="293">
        <v>16607500</v>
      </c>
      <c r="M86" s="293">
        <v>3689500</v>
      </c>
      <c r="N86" s="293">
        <v>7478000</v>
      </c>
      <c r="O86" s="293">
        <v>2976500</v>
      </c>
      <c r="P86" s="369">
        <v>3420000</v>
      </c>
      <c r="Q86" s="361">
        <v>7438000</v>
      </c>
      <c r="R86" s="377">
        <v>6237500</v>
      </c>
      <c r="S86" s="294">
        <v>95161250</v>
      </c>
      <c r="T86" s="387">
        <v>189116991</v>
      </c>
      <c r="U86" s="292">
        <v>0.50318720436917275</v>
      </c>
      <c r="V86" s="295">
        <v>7930104.166666667</v>
      </c>
      <c r="W86" s="273"/>
    </row>
    <row r="87" spans="1:23" x14ac:dyDescent="0.25">
      <c r="A87" s="286"/>
      <c r="B87" s="287"/>
      <c r="C87" s="330"/>
      <c r="D87" s="287"/>
      <c r="E87" s="312" t="s">
        <v>97</v>
      </c>
      <c r="F87" s="290"/>
      <c r="G87" s="293">
        <v>0</v>
      </c>
      <c r="H87" s="293">
        <v>0</v>
      </c>
      <c r="I87" s="293">
        <v>0</v>
      </c>
      <c r="J87" s="293">
        <v>0</v>
      </c>
      <c r="K87" s="293">
        <v>0</v>
      </c>
      <c r="L87" s="293">
        <v>1075000</v>
      </c>
      <c r="M87" s="293">
        <v>160000</v>
      </c>
      <c r="N87" s="293">
        <v>0</v>
      </c>
      <c r="O87" s="293">
        <v>40000</v>
      </c>
      <c r="P87" s="369">
        <v>230000</v>
      </c>
      <c r="Q87" s="361">
        <v>1740000</v>
      </c>
      <c r="R87" s="377">
        <v>660000</v>
      </c>
      <c r="S87" s="294">
        <v>3905000</v>
      </c>
      <c r="T87" s="387">
        <v>2190000</v>
      </c>
      <c r="U87" s="292">
        <v>1.7831050228310503</v>
      </c>
      <c r="V87" s="295">
        <v>325416.66666666669</v>
      </c>
      <c r="W87" s="273"/>
    </row>
    <row r="88" spans="1:23" x14ac:dyDescent="0.25">
      <c r="A88" s="286"/>
      <c r="B88" s="287"/>
      <c r="C88" s="330"/>
      <c r="D88" s="287"/>
      <c r="E88" s="312" t="s">
        <v>98</v>
      </c>
      <c r="F88" s="290"/>
      <c r="G88" s="293">
        <v>0</v>
      </c>
      <c r="H88" s="293">
        <v>0</v>
      </c>
      <c r="I88" s="293">
        <v>0</v>
      </c>
      <c r="J88" s="293">
        <v>0</v>
      </c>
      <c r="K88" s="293">
        <v>0</v>
      </c>
      <c r="L88" s="293">
        <v>0</v>
      </c>
      <c r="M88" s="293">
        <v>0</v>
      </c>
      <c r="N88" s="293">
        <v>0</v>
      </c>
      <c r="O88" s="293">
        <v>0</v>
      </c>
      <c r="P88" s="369">
        <v>0</v>
      </c>
      <c r="Q88" s="361">
        <v>0</v>
      </c>
      <c r="R88" s="377">
        <v>0</v>
      </c>
      <c r="S88" s="294">
        <v>0</v>
      </c>
      <c r="T88" s="387">
        <v>0</v>
      </c>
      <c r="U88" s="292" t="e">
        <v>#DIV/0!</v>
      </c>
      <c r="V88" s="295">
        <v>0</v>
      </c>
      <c r="W88" s="273"/>
    </row>
    <row r="89" spans="1:23" x14ac:dyDescent="0.25">
      <c r="A89" s="286"/>
      <c r="B89" s="287"/>
      <c r="C89" s="330"/>
      <c r="D89" s="287"/>
      <c r="E89" s="312" t="s">
        <v>99</v>
      </c>
      <c r="F89" s="290"/>
      <c r="G89" s="293">
        <v>0</v>
      </c>
      <c r="H89" s="293">
        <v>0</v>
      </c>
      <c r="I89" s="293">
        <v>0</v>
      </c>
      <c r="J89" s="293">
        <v>0</v>
      </c>
      <c r="K89" s="293">
        <v>0</v>
      </c>
      <c r="L89" s="293">
        <v>0</v>
      </c>
      <c r="M89" s="293">
        <v>0</v>
      </c>
      <c r="N89" s="293">
        <v>0</v>
      </c>
      <c r="O89" s="293">
        <v>0</v>
      </c>
      <c r="P89" s="369">
        <v>0</v>
      </c>
      <c r="Q89" s="361">
        <v>0</v>
      </c>
      <c r="R89" s="377">
        <v>0</v>
      </c>
      <c r="S89" s="294">
        <v>0</v>
      </c>
      <c r="T89" s="387">
        <v>0</v>
      </c>
      <c r="U89" s="292" t="e">
        <v>#DIV/0!</v>
      </c>
      <c r="V89" s="295">
        <v>0</v>
      </c>
      <c r="W89" s="273"/>
    </row>
    <row r="90" spans="1:23" x14ac:dyDescent="0.25">
      <c r="A90" s="286"/>
      <c r="B90" s="287"/>
      <c r="C90" s="330"/>
      <c r="D90" s="287"/>
      <c r="E90" s="312" t="s">
        <v>100</v>
      </c>
      <c r="F90" s="290"/>
      <c r="G90" s="293">
        <v>0</v>
      </c>
      <c r="H90" s="293">
        <v>0</v>
      </c>
      <c r="I90" s="293">
        <v>0</v>
      </c>
      <c r="J90" s="293">
        <v>0</v>
      </c>
      <c r="K90" s="293">
        <v>0</v>
      </c>
      <c r="L90" s="293">
        <v>0</v>
      </c>
      <c r="M90" s="293">
        <v>0</v>
      </c>
      <c r="N90" s="293">
        <v>0</v>
      </c>
      <c r="O90" s="293">
        <v>0</v>
      </c>
      <c r="P90" s="369">
        <v>0</v>
      </c>
      <c r="Q90" s="361">
        <v>0</v>
      </c>
      <c r="R90" s="377">
        <v>0</v>
      </c>
      <c r="S90" s="294">
        <v>0</v>
      </c>
      <c r="T90" s="389">
        <v>0</v>
      </c>
      <c r="U90" s="292" t="e">
        <v>#DIV/0!</v>
      </c>
      <c r="V90" s="295">
        <v>0</v>
      </c>
      <c r="W90" s="273"/>
    </row>
    <row r="91" spans="1:23" x14ac:dyDescent="0.25">
      <c r="A91" s="286"/>
      <c r="B91" s="287"/>
      <c r="C91" s="330"/>
      <c r="D91" s="287"/>
      <c r="E91" s="312" t="s">
        <v>101</v>
      </c>
      <c r="F91" s="290"/>
      <c r="G91" s="293">
        <v>0</v>
      </c>
      <c r="H91" s="293">
        <v>0</v>
      </c>
      <c r="I91" s="293">
        <v>0</v>
      </c>
      <c r="J91" s="293">
        <v>0</v>
      </c>
      <c r="K91" s="293">
        <v>0</v>
      </c>
      <c r="L91" s="293">
        <v>0</v>
      </c>
      <c r="M91" s="293">
        <v>0</v>
      </c>
      <c r="N91" s="293">
        <v>0</v>
      </c>
      <c r="O91" s="293">
        <v>0</v>
      </c>
      <c r="P91" s="369">
        <v>0</v>
      </c>
      <c r="Q91" s="361">
        <v>0</v>
      </c>
      <c r="R91" s="377">
        <v>0</v>
      </c>
      <c r="S91" s="294">
        <v>0</v>
      </c>
      <c r="T91" s="393">
        <v>0</v>
      </c>
      <c r="U91" s="292" t="e">
        <v>#DIV/0!</v>
      </c>
      <c r="V91" s="295">
        <v>0</v>
      </c>
      <c r="W91" s="273"/>
    </row>
    <row r="92" spans="1:23" x14ac:dyDescent="0.25">
      <c r="A92" s="286"/>
      <c r="B92" s="287"/>
      <c r="C92" s="330"/>
      <c r="D92" s="287"/>
      <c r="E92" s="312" t="s">
        <v>102</v>
      </c>
      <c r="F92" s="290"/>
      <c r="G92" s="293">
        <v>0</v>
      </c>
      <c r="H92" s="293">
        <v>0</v>
      </c>
      <c r="I92" s="293">
        <v>0</v>
      </c>
      <c r="J92" s="293">
        <v>0</v>
      </c>
      <c r="K92" s="293">
        <v>0</v>
      </c>
      <c r="L92" s="293">
        <v>0</v>
      </c>
      <c r="M92" s="293">
        <v>0</v>
      </c>
      <c r="N92" s="293">
        <v>0</v>
      </c>
      <c r="O92" s="293">
        <v>0</v>
      </c>
      <c r="P92" s="369">
        <v>0</v>
      </c>
      <c r="Q92" s="361">
        <v>0</v>
      </c>
      <c r="R92" s="377">
        <v>0</v>
      </c>
      <c r="S92" s="294">
        <v>0</v>
      </c>
      <c r="T92" s="387">
        <v>0</v>
      </c>
      <c r="U92" s="292" t="e">
        <v>#DIV/0!</v>
      </c>
      <c r="V92" s="295">
        <v>0</v>
      </c>
      <c r="W92" s="273"/>
    </row>
    <row r="93" spans="1:23" x14ac:dyDescent="0.25">
      <c r="A93" s="286"/>
      <c r="B93" s="287"/>
      <c r="C93" s="330"/>
      <c r="D93" s="287"/>
      <c r="E93" s="312" t="s">
        <v>103</v>
      </c>
      <c r="F93" s="290"/>
      <c r="G93" s="293">
        <v>0</v>
      </c>
      <c r="H93" s="293">
        <v>0</v>
      </c>
      <c r="I93" s="293">
        <v>0</v>
      </c>
      <c r="J93" s="293">
        <v>0</v>
      </c>
      <c r="K93" s="293">
        <v>0</v>
      </c>
      <c r="L93" s="293">
        <v>0</v>
      </c>
      <c r="M93" s="293">
        <v>0</v>
      </c>
      <c r="N93" s="293">
        <v>0</v>
      </c>
      <c r="O93" s="293">
        <v>0</v>
      </c>
      <c r="P93" s="369">
        <v>0</v>
      </c>
      <c r="Q93" s="361">
        <v>0</v>
      </c>
      <c r="R93" s="377">
        <v>0</v>
      </c>
      <c r="S93" s="294">
        <v>0</v>
      </c>
      <c r="T93" s="387">
        <v>0</v>
      </c>
      <c r="U93" s="292" t="e">
        <v>#DIV/0!</v>
      </c>
      <c r="V93" s="295">
        <v>0</v>
      </c>
      <c r="W93" s="273"/>
    </row>
    <row r="94" spans="1:23" x14ac:dyDescent="0.25">
      <c r="A94" s="286"/>
      <c r="B94" s="287"/>
      <c r="C94" s="330"/>
      <c r="D94" s="287"/>
      <c r="E94" s="312" t="s">
        <v>104</v>
      </c>
      <c r="F94" s="290"/>
      <c r="G94" s="293">
        <v>2190000</v>
      </c>
      <c r="H94" s="293">
        <v>875000</v>
      </c>
      <c r="I94" s="293">
        <v>140000</v>
      </c>
      <c r="J94" s="293">
        <v>0</v>
      </c>
      <c r="K94" s="293">
        <v>1485000</v>
      </c>
      <c r="L94" s="293">
        <v>200000</v>
      </c>
      <c r="M94" s="293">
        <v>100000</v>
      </c>
      <c r="N94" s="293">
        <v>50000</v>
      </c>
      <c r="O94" s="293">
        <v>400000</v>
      </c>
      <c r="P94" s="369">
        <v>100000</v>
      </c>
      <c r="Q94" s="361">
        <v>0</v>
      </c>
      <c r="R94" s="377">
        <v>150000</v>
      </c>
      <c r="S94" s="294">
        <v>5690000</v>
      </c>
      <c r="T94" s="389">
        <v>705000</v>
      </c>
      <c r="U94" s="292">
        <v>8.0709219858156036</v>
      </c>
      <c r="V94" s="295">
        <v>474166.66666666669</v>
      </c>
      <c r="W94" s="273"/>
    </row>
    <row r="95" spans="1:23" x14ac:dyDescent="0.25">
      <c r="A95" s="286"/>
      <c r="B95" s="287"/>
      <c r="C95" s="330"/>
      <c r="D95" s="287"/>
      <c r="E95" s="312" t="s">
        <v>105</v>
      </c>
      <c r="F95" s="290"/>
      <c r="G95" s="293">
        <v>550000</v>
      </c>
      <c r="H95" s="293">
        <v>0</v>
      </c>
      <c r="I95" s="293">
        <v>0</v>
      </c>
      <c r="J95" s="293">
        <v>0</v>
      </c>
      <c r="K95" s="293">
        <v>200000</v>
      </c>
      <c r="L95" s="293">
        <v>0</v>
      </c>
      <c r="M95" s="293">
        <v>0</v>
      </c>
      <c r="N95" s="293">
        <v>0</v>
      </c>
      <c r="O95" s="293">
        <v>0</v>
      </c>
      <c r="P95" s="369">
        <v>0</v>
      </c>
      <c r="Q95" s="361">
        <v>0</v>
      </c>
      <c r="R95" s="377">
        <v>0</v>
      </c>
      <c r="S95" s="294">
        <v>750000</v>
      </c>
      <c r="T95" s="389">
        <v>0</v>
      </c>
      <c r="U95" s="292" t="e">
        <v>#DIV/0!</v>
      </c>
      <c r="V95" s="295">
        <v>62500</v>
      </c>
      <c r="W95" s="273"/>
    </row>
    <row r="96" spans="1:23" x14ac:dyDescent="0.25">
      <c r="A96" s="286"/>
      <c r="B96" s="287"/>
      <c r="C96" s="330"/>
      <c r="D96" s="287"/>
      <c r="E96" s="312" t="s">
        <v>106</v>
      </c>
      <c r="F96" s="290"/>
      <c r="G96" s="293">
        <v>100000</v>
      </c>
      <c r="H96" s="293">
        <v>0</v>
      </c>
      <c r="I96" s="293">
        <v>0</v>
      </c>
      <c r="J96" s="293">
        <v>0</v>
      </c>
      <c r="K96" s="293">
        <v>0</v>
      </c>
      <c r="L96" s="293">
        <v>0</v>
      </c>
      <c r="M96" s="293">
        <v>0</v>
      </c>
      <c r="N96" s="293">
        <v>0</v>
      </c>
      <c r="O96" s="293">
        <v>0</v>
      </c>
      <c r="P96" s="369">
        <v>0</v>
      </c>
      <c r="Q96" s="361">
        <v>0</v>
      </c>
      <c r="R96" s="377">
        <v>0</v>
      </c>
      <c r="S96" s="294">
        <v>100000</v>
      </c>
      <c r="T96" s="393">
        <v>101694</v>
      </c>
      <c r="U96" s="292">
        <v>0.98334218341298407</v>
      </c>
      <c r="V96" s="295">
        <v>8333.3333333333339</v>
      </c>
      <c r="W96" s="273"/>
    </row>
    <row r="97" spans="1:28" x14ac:dyDescent="0.25">
      <c r="A97" s="286"/>
      <c r="B97" s="287"/>
      <c r="C97" s="330"/>
      <c r="D97" s="287"/>
      <c r="E97" s="312" t="s">
        <v>107</v>
      </c>
      <c r="F97" s="290"/>
      <c r="G97" s="293">
        <v>150000</v>
      </c>
      <c r="H97" s="293">
        <v>0</v>
      </c>
      <c r="I97" s="293">
        <v>0</v>
      </c>
      <c r="J97" s="293">
        <v>0</v>
      </c>
      <c r="K97" s="293">
        <v>32500</v>
      </c>
      <c r="L97" s="293">
        <v>0</v>
      </c>
      <c r="M97" s="293">
        <v>0</v>
      </c>
      <c r="N97" s="293">
        <v>0</v>
      </c>
      <c r="O97" s="293">
        <v>0</v>
      </c>
      <c r="P97" s="369">
        <v>0</v>
      </c>
      <c r="Q97" s="361">
        <v>0</v>
      </c>
      <c r="R97" s="377">
        <v>0</v>
      </c>
      <c r="S97" s="294">
        <v>182500</v>
      </c>
      <c r="T97" s="389">
        <v>245000</v>
      </c>
      <c r="U97" s="292">
        <v>0.74489795918367352</v>
      </c>
      <c r="V97" s="295">
        <v>15208.333333333334</v>
      </c>
      <c r="W97" s="273"/>
      <c r="X97" s="273"/>
      <c r="Y97" s="273"/>
      <c r="Z97" s="273"/>
      <c r="AA97" s="273"/>
      <c r="AB97" s="273"/>
    </row>
    <row r="98" spans="1:28" x14ac:dyDescent="0.25">
      <c r="A98" s="286"/>
      <c r="B98" s="287"/>
      <c r="C98" s="330"/>
      <c r="D98" s="287"/>
      <c r="E98" s="312" t="s">
        <v>108</v>
      </c>
      <c r="F98" s="290"/>
      <c r="G98" s="293">
        <v>0</v>
      </c>
      <c r="H98" s="293">
        <v>0</v>
      </c>
      <c r="I98" s="293">
        <v>0</v>
      </c>
      <c r="J98" s="293">
        <v>0</v>
      </c>
      <c r="K98" s="293">
        <v>0</v>
      </c>
      <c r="L98" s="293">
        <v>0</v>
      </c>
      <c r="M98" s="293">
        <v>0</v>
      </c>
      <c r="N98" s="293">
        <v>0</v>
      </c>
      <c r="O98" s="293">
        <v>0</v>
      </c>
      <c r="P98" s="369">
        <v>0</v>
      </c>
      <c r="Q98" s="361">
        <v>0</v>
      </c>
      <c r="R98" s="377">
        <v>0</v>
      </c>
      <c r="S98" s="294">
        <v>0</v>
      </c>
      <c r="T98" s="393">
        <v>0</v>
      </c>
      <c r="U98" s="292" t="e">
        <v>#DIV/0!</v>
      </c>
      <c r="V98" s="295">
        <v>0</v>
      </c>
      <c r="W98" s="273"/>
      <c r="X98" s="273"/>
      <c r="Y98" s="273"/>
      <c r="Z98" s="273"/>
      <c r="AA98" s="273"/>
      <c r="AB98" s="273"/>
    </row>
    <row r="99" spans="1:28" x14ac:dyDescent="0.25">
      <c r="A99" s="286"/>
      <c r="B99" s="287"/>
      <c r="C99" s="330"/>
      <c r="D99" s="287"/>
      <c r="E99" s="312" t="s">
        <v>109</v>
      </c>
      <c r="F99" s="290"/>
      <c r="G99" s="293">
        <v>4530000</v>
      </c>
      <c r="H99" s="293">
        <v>3200000</v>
      </c>
      <c r="I99" s="293">
        <v>4215000</v>
      </c>
      <c r="J99" s="293">
        <v>5620000</v>
      </c>
      <c r="K99" s="293">
        <v>2885000</v>
      </c>
      <c r="L99" s="293">
        <v>3350000</v>
      </c>
      <c r="M99" s="293">
        <v>5900000</v>
      </c>
      <c r="N99" s="293">
        <v>5006000</v>
      </c>
      <c r="O99" s="293">
        <v>6261000</v>
      </c>
      <c r="P99" s="369">
        <v>2575000</v>
      </c>
      <c r="Q99" s="361">
        <v>7180000</v>
      </c>
      <c r="R99" s="377">
        <v>2776000</v>
      </c>
      <c r="S99" s="294">
        <v>53498000</v>
      </c>
      <c r="T99" s="389">
        <v>47719805</v>
      </c>
      <c r="U99" s="292">
        <v>1.1210858887625379</v>
      </c>
      <c r="V99" s="295">
        <v>4458166.666666667</v>
      </c>
      <c r="W99" s="273"/>
      <c r="X99" s="273"/>
      <c r="Y99" s="273"/>
      <c r="Z99" s="273"/>
      <c r="AA99" s="273"/>
      <c r="AB99" s="273"/>
    </row>
    <row r="100" spans="1:28" ht="15.75" thickBot="1" x14ac:dyDescent="0.3">
      <c r="A100" s="306"/>
      <c r="B100" s="307"/>
      <c r="C100" s="333"/>
      <c r="D100" s="307"/>
      <c r="E100" s="313" t="s">
        <v>110</v>
      </c>
      <c r="F100" s="308"/>
      <c r="G100" s="303">
        <v>0</v>
      </c>
      <c r="H100" s="303">
        <v>0</v>
      </c>
      <c r="I100" s="303">
        <v>350000</v>
      </c>
      <c r="J100" s="303">
        <v>2723000</v>
      </c>
      <c r="K100" s="303">
        <v>50000</v>
      </c>
      <c r="L100" s="303">
        <v>0</v>
      </c>
      <c r="M100" s="303">
        <v>100000</v>
      </c>
      <c r="N100" s="303">
        <v>0</v>
      </c>
      <c r="O100" s="303">
        <v>150000</v>
      </c>
      <c r="P100" s="373">
        <v>0</v>
      </c>
      <c r="Q100" s="364">
        <v>90000</v>
      </c>
      <c r="R100" s="383">
        <v>0</v>
      </c>
      <c r="S100" s="294">
        <v>3463000</v>
      </c>
      <c r="T100" s="399">
        <v>1150000</v>
      </c>
      <c r="U100" s="292">
        <v>3.011304347826087</v>
      </c>
      <c r="V100" s="295">
        <v>288583.33333333331</v>
      </c>
      <c r="W100" s="273"/>
      <c r="X100" s="273"/>
      <c r="Y100" s="273"/>
      <c r="Z100" s="273"/>
      <c r="AA100" s="273"/>
      <c r="AB100" s="273"/>
    </row>
    <row r="101" spans="1:28" ht="15.75" thickBot="1" x14ac:dyDescent="0.3">
      <c r="A101" s="325"/>
      <c r="B101" s="326"/>
      <c r="C101" s="335"/>
      <c r="D101" s="326"/>
      <c r="E101" s="326"/>
      <c r="F101" s="326"/>
      <c r="G101" s="346">
        <v>17469000</v>
      </c>
      <c r="H101" s="346">
        <v>11847250</v>
      </c>
      <c r="I101" s="346">
        <v>10167000</v>
      </c>
      <c r="J101" s="346">
        <v>23745000</v>
      </c>
      <c r="K101" s="346">
        <v>13381500</v>
      </c>
      <c r="L101" s="346">
        <v>21232500</v>
      </c>
      <c r="M101" s="346">
        <v>9949500</v>
      </c>
      <c r="N101" s="346">
        <v>12534000</v>
      </c>
      <c r="O101" s="346">
        <v>9827500</v>
      </c>
      <c r="P101" s="346">
        <v>6325000</v>
      </c>
      <c r="Q101" s="346">
        <v>16448000</v>
      </c>
      <c r="R101" s="346">
        <v>9823500</v>
      </c>
      <c r="S101" s="327">
        <v>162749750</v>
      </c>
      <c r="T101" s="350">
        <v>241228490</v>
      </c>
      <c r="U101" s="351">
        <v>0.67467051673705702</v>
      </c>
      <c r="V101" s="346">
        <v>13562479.16666667</v>
      </c>
      <c r="W101" s="322"/>
      <c r="X101" s="322"/>
      <c r="Y101" s="402"/>
      <c r="Z101" s="402"/>
      <c r="AA101" s="402"/>
      <c r="AB101" s="402"/>
    </row>
    <row r="102" spans="1:28" ht="15.75" thickBot="1" x14ac:dyDescent="0.3">
      <c r="A102" s="314"/>
      <c r="B102" s="317"/>
      <c r="C102" s="334"/>
      <c r="D102" s="317"/>
      <c r="E102" s="317"/>
      <c r="F102" s="317"/>
      <c r="G102" s="354">
        <v>329118271</v>
      </c>
      <c r="H102" s="354">
        <v>278243850</v>
      </c>
      <c r="I102" s="354">
        <v>307287000</v>
      </c>
      <c r="J102" s="354">
        <v>277046465</v>
      </c>
      <c r="K102" s="354">
        <v>280788700</v>
      </c>
      <c r="L102" s="354">
        <v>249963500</v>
      </c>
      <c r="M102" s="354">
        <v>243397550</v>
      </c>
      <c r="N102" s="354">
        <v>263341032</v>
      </c>
      <c r="O102" s="354">
        <v>212544090</v>
      </c>
      <c r="P102" s="354">
        <v>235866500</v>
      </c>
      <c r="Q102" s="354">
        <v>244300458</v>
      </c>
      <c r="R102" s="354">
        <v>224709500</v>
      </c>
      <c r="S102" s="354">
        <v>3146606916</v>
      </c>
      <c r="T102" s="354">
        <v>5128125880.1999998</v>
      </c>
      <c r="U102" s="347">
        <v>0.61359783076878771</v>
      </c>
      <c r="V102" s="354">
        <v>262217242.99999997</v>
      </c>
      <c r="W102" s="322"/>
      <c r="X102" s="322"/>
      <c r="Y102" s="402"/>
      <c r="Z102" s="402"/>
      <c r="AA102" s="402"/>
      <c r="AB102" s="402"/>
    </row>
    <row r="103" spans="1:28" x14ac:dyDescent="0.25">
      <c r="A103" s="276"/>
      <c r="B103" s="277"/>
      <c r="C103" s="328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8"/>
      <c r="V103" s="277"/>
      <c r="W103" s="273"/>
      <c r="X103" s="273"/>
      <c r="Y103" s="273"/>
      <c r="Z103" s="273"/>
      <c r="AA103" s="273"/>
      <c r="AB103" s="273"/>
    </row>
    <row r="104" spans="1:28" x14ac:dyDescent="0.25">
      <c r="A104" s="273"/>
      <c r="B104" s="273"/>
      <c r="C104" s="273"/>
      <c r="D104" s="273"/>
      <c r="E104" s="273"/>
      <c r="F104" s="273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127"/>
      <c r="V104" s="127"/>
      <c r="W104" s="273"/>
      <c r="X104" s="273"/>
      <c r="Y104" s="273"/>
      <c r="Z104" s="273"/>
      <c r="AA104" s="273"/>
      <c r="AB104" s="273"/>
    </row>
    <row r="105" spans="1:28" x14ac:dyDescent="0.25">
      <c r="A105" s="273"/>
      <c r="B105" s="338" t="s">
        <v>130</v>
      </c>
      <c r="C105" s="328"/>
      <c r="D105" s="277"/>
      <c r="E105" s="273"/>
      <c r="F105" s="273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357"/>
      <c r="V105" s="357"/>
      <c r="W105" s="273"/>
      <c r="X105" s="273"/>
      <c r="Y105" s="273"/>
      <c r="Z105" s="273"/>
      <c r="AA105" s="273"/>
      <c r="AB105" s="273"/>
    </row>
    <row r="106" spans="1:28" x14ac:dyDescent="0.25">
      <c r="A106" s="273"/>
      <c r="B106" s="277" t="s">
        <v>113</v>
      </c>
      <c r="C106" s="328">
        <v>299775369</v>
      </c>
      <c r="D106" s="277"/>
      <c r="E106" s="336"/>
      <c r="F106" s="273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357"/>
      <c r="V106" s="357"/>
      <c r="W106" s="273"/>
      <c r="X106" s="273"/>
      <c r="Y106" s="273"/>
      <c r="Z106" s="273"/>
      <c r="AA106" s="273"/>
      <c r="AB106" s="273"/>
    </row>
    <row r="107" spans="1:28" ht="15.75" thickBot="1" x14ac:dyDescent="0.3">
      <c r="A107" s="273"/>
      <c r="B107" s="277" t="s">
        <v>114</v>
      </c>
      <c r="C107" s="337">
        <v>2941444</v>
      </c>
      <c r="D107" s="277"/>
      <c r="E107" s="273"/>
      <c r="F107" s="273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357"/>
      <c r="V107" s="357"/>
      <c r="W107" s="273"/>
      <c r="X107" s="273"/>
      <c r="Y107" s="273"/>
      <c r="Z107" s="273"/>
      <c r="AA107" s="273"/>
      <c r="AB107" s="273"/>
    </row>
    <row r="108" spans="1:28" ht="15.75" thickTop="1" x14ac:dyDescent="0.25">
      <c r="A108" s="273"/>
      <c r="B108" s="277"/>
      <c r="C108" s="339">
        <v>302716813</v>
      </c>
      <c r="D108" s="277"/>
      <c r="E108" s="273"/>
      <c r="F108" s="273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357"/>
      <c r="V108" s="357"/>
      <c r="W108" s="273"/>
      <c r="X108" s="273"/>
      <c r="Y108" s="273"/>
      <c r="Z108" s="273"/>
      <c r="AA108" s="273"/>
      <c r="AB108" s="273"/>
    </row>
    <row r="109" spans="1:28" x14ac:dyDescent="0.25">
      <c r="A109" s="273"/>
      <c r="B109" s="277"/>
      <c r="C109" s="328"/>
      <c r="D109" s="277"/>
      <c r="E109" s="273"/>
      <c r="F109" s="273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357"/>
      <c r="V109" s="357"/>
      <c r="W109" s="273"/>
      <c r="X109" s="273"/>
      <c r="Y109" s="273"/>
      <c r="Z109" s="273"/>
      <c r="AA109" s="273"/>
      <c r="AB109" s="273"/>
    </row>
    <row r="110" spans="1:28" x14ac:dyDescent="0.25">
      <c r="A110" s="273"/>
      <c r="B110" s="277"/>
      <c r="C110" s="340">
        <v>78007313</v>
      </c>
      <c r="D110" s="277"/>
      <c r="E110" s="273"/>
      <c r="F110" s="273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357"/>
      <c r="V110" s="357"/>
      <c r="W110" s="273"/>
      <c r="X110" s="273"/>
      <c r="Y110" s="273"/>
      <c r="Z110" s="273"/>
      <c r="AA110" s="273"/>
      <c r="AB110" s="273"/>
    </row>
    <row r="111" spans="1:28" x14ac:dyDescent="0.25">
      <c r="A111" s="273"/>
      <c r="B111" s="338" t="s">
        <v>182</v>
      </c>
      <c r="C111" s="328"/>
      <c r="D111" s="277"/>
      <c r="E111" s="273"/>
      <c r="F111" s="273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357"/>
      <c r="V111" s="357"/>
      <c r="W111" s="273"/>
      <c r="X111" s="273"/>
      <c r="Y111" s="273"/>
      <c r="Z111" s="273"/>
      <c r="AA111" s="273"/>
      <c r="AB111" s="273"/>
    </row>
    <row r="112" spans="1:28" x14ac:dyDescent="0.25">
      <c r="A112" s="273"/>
      <c r="B112" s="277" t="s">
        <v>113</v>
      </c>
      <c r="C112" s="328">
        <v>0</v>
      </c>
      <c r="D112" s="277"/>
      <c r="E112" s="336"/>
      <c r="F112" s="273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357"/>
      <c r="V112" s="357"/>
      <c r="W112" s="273"/>
      <c r="X112" s="273"/>
      <c r="Y112" s="273"/>
      <c r="Z112" s="273"/>
      <c r="AA112" s="273"/>
      <c r="AB112" s="273"/>
    </row>
    <row r="113" spans="2:22" ht="15.75" thickBot="1" x14ac:dyDescent="0.3">
      <c r="B113" s="277" t="s">
        <v>114</v>
      </c>
      <c r="C113" s="337">
        <v>0</v>
      </c>
      <c r="D113" s="277"/>
      <c r="E113" s="273"/>
      <c r="F113" s="273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357"/>
      <c r="V113" s="357"/>
    </row>
    <row r="114" spans="2:22" ht="15.75" thickTop="1" x14ac:dyDescent="0.25">
      <c r="B114" s="277"/>
      <c r="C114" s="339">
        <v>0</v>
      </c>
      <c r="D114" s="277"/>
      <c r="E114" s="273"/>
      <c r="F114" s="273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357"/>
      <c r="V114" s="357"/>
    </row>
    <row r="115" spans="2:22" x14ac:dyDescent="0.25">
      <c r="B115" s="277"/>
      <c r="C115" s="328"/>
      <c r="D115" s="277"/>
      <c r="E115" s="273"/>
      <c r="F115" s="273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357"/>
      <c r="V115" s="357"/>
    </row>
    <row r="116" spans="2:22" x14ac:dyDescent="0.25">
      <c r="B116" s="277"/>
      <c r="C116" s="340">
        <v>-244300458</v>
      </c>
      <c r="D116" s="277"/>
      <c r="E116" s="273"/>
      <c r="F116" s="273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357"/>
      <c r="V116" s="357"/>
    </row>
    <row r="117" spans="2:22" x14ac:dyDescent="0.25">
      <c r="B117" s="338" t="s">
        <v>183</v>
      </c>
      <c r="C117" s="328"/>
      <c r="D117" s="277"/>
      <c r="E117" s="273"/>
      <c r="F117" s="273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357"/>
      <c r="V117" s="357"/>
    </row>
    <row r="118" spans="2:22" x14ac:dyDescent="0.25">
      <c r="B118" s="277" t="s">
        <v>113</v>
      </c>
      <c r="C118" s="328">
        <v>235451500</v>
      </c>
      <c r="D118" s="277"/>
      <c r="E118" s="336"/>
      <c r="F118" s="273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357"/>
      <c r="V118" s="357"/>
    </row>
    <row r="119" spans="2:22" ht="15.75" thickBot="1" x14ac:dyDescent="0.3">
      <c r="B119" s="277" t="s">
        <v>114</v>
      </c>
      <c r="C119" s="337">
        <v>415000</v>
      </c>
      <c r="D119" s="277"/>
      <c r="E119" s="273"/>
      <c r="F119" s="273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357"/>
      <c r="V119" s="357"/>
    </row>
    <row r="120" spans="2:22" ht="15.75" thickTop="1" x14ac:dyDescent="0.25">
      <c r="B120" s="277"/>
      <c r="C120" s="339">
        <v>235866500</v>
      </c>
      <c r="D120" s="277"/>
      <c r="E120" s="273"/>
      <c r="F120" s="273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357"/>
      <c r="V120" s="357"/>
    </row>
    <row r="121" spans="2:22" x14ac:dyDescent="0.25">
      <c r="B121" s="277"/>
      <c r="C121" s="328"/>
      <c r="D121" s="277"/>
      <c r="E121" s="273"/>
      <c r="F121" s="273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357"/>
      <c r="V121" s="357"/>
    </row>
    <row r="122" spans="2:22" x14ac:dyDescent="0.25">
      <c r="B122" s="277"/>
      <c r="C122" s="340">
        <v>0</v>
      </c>
      <c r="D122" s="277"/>
      <c r="E122" s="273"/>
      <c r="F122" s="273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357"/>
      <c r="V122" s="357"/>
    </row>
    <row r="123" spans="2:22" x14ac:dyDescent="0.25">
      <c r="B123" s="338" t="s">
        <v>184</v>
      </c>
      <c r="C123" s="328"/>
      <c r="D123" s="277"/>
      <c r="E123" s="273"/>
      <c r="F123" s="273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357"/>
      <c r="V123" s="357"/>
    </row>
    <row r="124" spans="2:22" x14ac:dyDescent="0.25">
      <c r="B124" s="277" t="s">
        <v>113</v>
      </c>
      <c r="C124" s="328">
        <v>211947090</v>
      </c>
      <c r="D124" s="277"/>
      <c r="E124" s="336"/>
      <c r="F124" s="273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357"/>
      <c r="V124" s="357"/>
    </row>
    <row r="125" spans="2:22" ht="15.75" thickBot="1" x14ac:dyDescent="0.3">
      <c r="B125" s="277" t="s">
        <v>114</v>
      </c>
      <c r="C125" s="337">
        <v>597000</v>
      </c>
      <c r="D125" s="277"/>
      <c r="E125" s="273"/>
      <c r="F125" s="273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357"/>
      <c r="V125" s="357"/>
    </row>
    <row r="126" spans="2:22" ht="15.75" thickTop="1" x14ac:dyDescent="0.25">
      <c r="B126" s="277"/>
      <c r="C126" s="339">
        <v>212544090</v>
      </c>
      <c r="D126" s="277"/>
      <c r="E126" s="273"/>
      <c r="F126" s="273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357"/>
      <c r="V126" s="357"/>
    </row>
    <row r="127" spans="2:22" x14ac:dyDescent="0.25">
      <c r="B127" s="277"/>
      <c r="C127" s="328"/>
      <c r="D127" s="277"/>
      <c r="E127" s="273"/>
      <c r="F127" s="273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357"/>
      <c r="V127" s="357"/>
    </row>
    <row r="128" spans="2:22" x14ac:dyDescent="0.25">
      <c r="B128" s="277"/>
      <c r="C128" s="340">
        <v>0</v>
      </c>
      <c r="D128" s="277"/>
      <c r="E128" s="273"/>
      <c r="F128" s="273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357"/>
      <c r="V128" s="357"/>
    </row>
    <row r="129" spans="2:22" x14ac:dyDescent="0.25">
      <c r="B129" s="338" t="s">
        <v>185</v>
      </c>
      <c r="C129" s="328"/>
      <c r="D129" s="277"/>
      <c r="E129" s="273"/>
      <c r="F129" s="273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357"/>
      <c r="V129" s="357"/>
    </row>
    <row r="130" spans="2:22" x14ac:dyDescent="0.25">
      <c r="B130" s="277" t="s">
        <v>113</v>
      </c>
      <c r="C130" s="328">
        <v>262329032</v>
      </c>
      <c r="D130" s="277"/>
      <c r="E130" s="336"/>
      <c r="F130" s="273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357"/>
      <c r="V130" s="357"/>
    </row>
    <row r="131" spans="2:22" ht="15.75" thickBot="1" x14ac:dyDescent="0.3">
      <c r="B131" s="277" t="s">
        <v>114</v>
      </c>
      <c r="C131" s="337">
        <v>1012000</v>
      </c>
      <c r="D131" s="277"/>
      <c r="E131" s="273"/>
      <c r="F131" s="273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357"/>
      <c r="V131" s="357"/>
    </row>
    <row r="132" spans="2:22" ht="15.75" thickTop="1" x14ac:dyDescent="0.25">
      <c r="B132" s="277"/>
      <c r="C132" s="339">
        <v>263341032</v>
      </c>
      <c r="D132" s="277"/>
      <c r="E132" s="273"/>
      <c r="F132" s="273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357"/>
      <c r="V132" s="357"/>
    </row>
    <row r="133" spans="2:22" x14ac:dyDescent="0.25">
      <c r="B133" s="277"/>
      <c r="C133" s="328"/>
      <c r="D133" s="277"/>
      <c r="E133" s="273"/>
      <c r="F133" s="273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357"/>
      <c r="V133" s="357"/>
    </row>
    <row r="134" spans="2:22" x14ac:dyDescent="0.25">
      <c r="B134" s="277"/>
      <c r="C134" s="340">
        <v>0</v>
      </c>
      <c r="D134" s="277"/>
      <c r="E134" s="273"/>
      <c r="F134" s="273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357"/>
      <c r="V134" s="357"/>
    </row>
    <row r="135" spans="2:22" x14ac:dyDescent="0.25">
      <c r="B135" s="338" t="s">
        <v>186</v>
      </c>
      <c r="C135" s="328"/>
      <c r="D135" s="277"/>
      <c r="E135" s="273"/>
      <c r="F135" s="273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357"/>
      <c r="V135" s="357"/>
    </row>
    <row r="136" spans="2:22" x14ac:dyDescent="0.25">
      <c r="B136" s="277" t="s">
        <v>113</v>
      </c>
      <c r="C136" s="328">
        <v>242017050</v>
      </c>
      <c r="D136" s="277"/>
      <c r="E136" s="336"/>
      <c r="F136" s="273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357"/>
      <c r="V136" s="357"/>
    </row>
    <row r="137" spans="2:22" ht="15.75" thickBot="1" x14ac:dyDescent="0.3">
      <c r="B137" s="277" t="s">
        <v>114</v>
      </c>
      <c r="C137" s="337">
        <v>1380500</v>
      </c>
      <c r="D137" s="277"/>
      <c r="E137" s="273"/>
      <c r="F137" s="273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357"/>
      <c r="V137" s="357"/>
    </row>
    <row r="138" spans="2:22" ht="15.75" thickTop="1" x14ac:dyDescent="0.25">
      <c r="B138" s="277"/>
      <c r="C138" s="339">
        <v>243397550</v>
      </c>
      <c r="D138" s="277"/>
      <c r="E138" s="273"/>
      <c r="F138" s="273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357"/>
      <c r="V138" s="357"/>
    </row>
    <row r="139" spans="2:22" x14ac:dyDescent="0.25">
      <c r="B139" s="277"/>
      <c r="C139" s="328"/>
      <c r="D139" s="277"/>
      <c r="E139" s="273"/>
      <c r="F139" s="273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357"/>
      <c r="V139" s="357"/>
    </row>
    <row r="140" spans="2:22" x14ac:dyDescent="0.25">
      <c r="B140" s="277"/>
      <c r="C140" s="340">
        <v>0</v>
      </c>
      <c r="D140" s="277"/>
      <c r="E140" s="273"/>
      <c r="F140" s="273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357"/>
      <c r="V140" s="357"/>
    </row>
    <row r="141" spans="2:22" x14ac:dyDescent="0.25">
      <c r="B141" s="338" t="s">
        <v>187</v>
      </c>
      <c r="C141" s="328"/>
      <c r="D141" s="277"/>
      <c r="E141" s="273"/>
      <c r="F141" s="273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357"/>
      <c r="V141" s="357"/>
    </row>
    <row r="142" spans="2:22" x14ac:dyDescent="0.25">
      <c r="B142" s="277" t="s">
        <v>113</v>
      </c>
      <c r="C142" s="328">
        <v>249253500</v>
      </c>
      <c r="D142" s="277"/>
      <c r="E142" s="336"/>
      <c r="F142" s="273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357"/>
      <c r="V142" s="357"/>
    </row>
    <row r="143" spans="2:22" ht="15.75" thickBot="1" x14ac:dyDescent="0.3">
      <c r="B143" s="277" t="s">
        <v>114</v>
      </c>
      <c r="C143" s="337">
        <v>710000</v>
      </c>
      <c r="D143" s="277"/>
      <c r="E143" s="273"/>
      <c r="F143" s="273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357"/>
      <c r="V143" s="357"/>
    </row>
    <row r="144" spans="2:22" ht="15.75" thickTop="1" x14ac:dyDescent="0.25">
      <c r="B144" s="277"/>
      <c r="C144" s="339">
        <v>249963500</v>
      </c>
      <c r="D144" s="277"/>
      <c r="E144" s="273"/>
      <c r="F144" s="273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357"/>
      <c r="V144" s="357"/>
    </row>
    <row r="145" spans="2:22" x14ac:dyDescent="0.25">
      <c r="B145" s="277"/>
      <c r="C145" s="328"/>
      <c r="D145" s="277"/>
      <c r="E145" s="273"/>
      <c r="F145" s="273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357"/>
      <c r="V145" s="357"/>
    </row>
    <row r="146" spans="2:22" x14ac:dyDescent="0.25">
      <c r="B146" s="277"/>
      <c r="C146" s="340">
        <v>0</v>
      </c>
      <c r="D146" s="277"/>
      <c r="E146" s="273"/>
      <c r="F146" s="273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357"/>
      <c r="V146" s="357"/>
    </row>
    <row r="147" spans="2:22" x14ac:dyDescent="0.25">
      <c r="B147" s="338" t="s">
        <v>188</v>
      </c>
      <c r="C147" s="328"/>
      <c r="D147" s="277"/>
      <c r="E147" s="273"/>
      <c r="F147" s="273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357"/>
      <c r="V147" s="357"/>
    </row>
    <row r="148" spans="2:22" x14ac:dyDescent="0.25">
      <c r="B148" s="277" t="s">
        <v>113</v>
      </c>
      <c r="C148" s="328">
        <v>278921700</v>
      </c>
      <c r="D148" s="277"/>
      <c r="E148" s="336"/>
      <c r="F148" s="273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357"/>
      <c r="V148" s="357"/>
    </row>
    <row r="149" spans="2:22" ht="15.75" thickBot="1" x14ac:dyDescent="0.3">
      <c r="B149" s="277" t="s">
        <v>114</v>
      </c>
      <c r="C149" s="337">
        <v>1867000</v>
      </c>
      <c r="D149" s="277"/>
      <c r="E149" s="273"/>
      <c r="F149" s="273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357"/>
      <c r="V149" s="357"/>
    </row>
    <row r="150" spans="2:22" ht="15.75" thickTop="1" x14ac:dyDescent="0.25">
      <c r="B150" s="277"/>
      <c r="C150" s="339">
        <v>280788700</v>
      </c>
      <c r="D150" s="277"/>
      <c r="E150" s="273"/>
      <c r="F150" s="273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357"/>
      <c r="V150" s="357"/>
    </row>
    <row r="151" spans="2:22" x14ac:dyDescent="0.25">
      <c r="B151" s="277"/>
      <c r="C151" s="328"/>
      <c r="D151" s="277"/>
      <c r="E151" s="273"/>
      <c r="F151" s="273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357"/>
      <c r="V151" s="357"/>
    </row>
    <row r="152" spans="2:22" x14ac:dyDescent="0.25">
      <c r="B152" s="277"/>
      <c r="C152" s="340">
        <v>0</v>
      </c>
      <c r="D152" s="277"/>
      <c r="E152" s="273"/>
      <c r="F152" s="273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357"/>
      <c r="V152" s="357"/>
    </row>
    <row r="153" spans="2:22" x14ac:dyDescent="0.25">
      <c r="B153" s="338" t="s">
        <v>189</v>
      </c>
      <c r="C153" s="328"/>
      <c r="D153" s="277"/>
      <c r="E153" s="273"/>
      <c r="F153" s="273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357"/>
      <c r="V153" s="357"/>
    </row>
    <row r="154" spans="2:22" x14ac:dyDescent="0.25">
      <c r="B154" s="277" t="s">
        <v>113</v>
      </c>
      <c r="C154" s="328">
        <v>274646065</v>
      </c>
      <c r="D154" s="277"/>
      <c r="E154" s="336"/>
      <c r="F154" s="273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357"/>
      <c r="V154" s="357"/>
    </row>
    <row r="155" spans="2:22" ht="15.75" thickBot="1" x14ac:dyDescent="0.3">
      <c r="B155" s="277" t="s">
        <v>114</v>
      </c>
      <c r="C155" s="337">
        <v>2400400</v>
      </c>
      <c r="D155" s="277"/>
      <c r="E155" s="273"/>
      <c r="F155" s="273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357"/>
      <c r="V155" s="357"/>
    </row>
    <row r="156" spans="2:22" ht="15.75" thickTop="1" x14ac:dyDescent="0.25">
      <c r="B156" s="277"/>
      <c r="C156" s="339">
        <v>277046465</v>
      </c>
      <c r="D156" s="277"/>
      <c r="E156" s="273"/>
      <c r="F156" s="273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357"/>
      <c r="V156" s="357"/>
    </row>
    <row r="157" spans="2:22" x14ac:dyDescent="0.25">
      <c r="B157" s="277"/>
      <c r="C157" s="328"/>
      <c r="D157" s="277"/>
      <c r="E157" s="273"/>
      <c r="F157" s="273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357"/>
      <c r="V157" s="357"/>
    </row>
    <row r="158" spans="2:22" x14ac:dyDescent="0.25">
      <c r="B158" s="277"/>
      <c r="C158" s="340">
        <v>0</v>
      </c>
      <c r="D158" s="277"/>
      <c r="E158" s="273"/>
      <c r="F158" s="273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357"/>
      <c r="V158" s="357"/>
    </row>
    <row r="159" spans="2:22" x14ac:dyDescent="0.25">
      <c r="B159" s="338" t="s">
        <v>190</v>
      </c>
      <c r="C159" s="328"/>
      <c r="D159" s="277"/>
      <c r="E159" s="273"/>
      <c r="F159" s="273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357"/>
      <c r="V159" s="357"/>
    </row>
    <row r="160" spans="2:22" x14ac:dyDescent="0.25">
      <c r="B160" s="277" t="s">
        <v>113</v>
      </c>
      <c r="C160" s="328">
        <v>304986400</v>
      </c>
      <c r="D160" s="277"/>
      <c r="E160" s="336"/>
      <c r="F160" s="273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357"/>
      <c r="V160" s="357"/>
    </row>
    <row r="161" spans="2:22" ht="15.75" thickBot="1" x14ac:dyDescent="0.3">
      <c r="B161" s="277" t="s">
        <v>114</v>
      </c>
      <c r="C161" s="337">
        <v>2300600</v>
      </c>
      <c r="D161" s="277"/>
      <c r="E161" s="273"/>
      <c r="F161" s="273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357"/>
      <c r="V161" s="357"/>
    </row>
    <row r="162" spans="2:22" ht="15.75" thickTop="1" x14ac:dyDescent="0.25">
      <c r="B162" s="277"/>
      <c r="C162" s="339">
        <v>307287000</v>
      </c>
      <c r="D162" s="277"/>
      <c r="E162" s="273"/>
      <c r="F162" s="273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357"/>
      <c r="V162" s="357"/>
    </row>
    <row r="163" spans="2:22" x14ac:dyDescent="0.25">
      <c r="B163" s="277"/>
      <c r="C163" s="328"/>
      <c r="D163" s="277"/>
      <c r="E163" s="273"/>
      <c r="F163" s="273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357"/>
      <c r="V163" s="357"/>
    </row>
    <row r="164" spans="2:22" x14ac:dyDescent="0.25">
      <c r="B164" s="277"/>
      <c r="C164" s="340">
        <v>0</v>
      </c>
      <c r="D164" s="277"/>
      <c r="E164" s="273"/>
      <c r="F164" s="273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357"/>
      <c r="V164" s="357"/>
    </row>
    <row r="165" spans="2:22" x14ac:dyDescent="0.25">
      <c r="B165" s="338" t="s">
        <v>191</v>
      </c>
      <c r="C165" s="328"/>
      <c r="D165" s="277"/>
      <c r="E165" s="273"/>
      <c r="F165" s="273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357"/>
      <c r="V165" s="357"/>
    </row>
    <row r="166" spans="2:22" x14ac:dyDescent="0.25">
      <c r="B166" s="277" t="s">
        <v>113</v>
      </c>
      <c r="C166" s="328">
        <v>276617850</v>
      </c>
      <c r="D166" s="277"/>
      <c r="E166" s="336"/>
      <c r="F166" s="273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357"/>
      <c r="V166" s="357"/>
    </row>
    <row r="167" spans="2:22" ht="15.75" thickBot="1" x14ac:dyDescent="0.3">
      <c r="B167" s="277" t="s">
        <v>114</v>
      </c>
      <c r="C167" s="337">
        <v>1626000</v>
      </c>
      <c r="D167" s="277"/>
      <c r="E167" s="273"/>
      <c r="F167" s="273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357"/>
      <c r="V167" s="357"/>
    </row>
    <row r="168" spans="2:22" ht="15.75" thickTop="1" x14ac:dyDescent="0.25">
      <c r="B168" s="277"/>
      <c r="C168" s="339">
        <v>278243850</v>
      </c>
      <c r="D168" s="277"/>
      <c r="E168" s="273"/>
      <c r="F168" s="273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357"/>
      <c r="V168" s="357"/>
    </row>
    <row r="169" spans="2:22" x14ac:dyDescent="0.25">
      <c r="B169" s="277"/>
      <c r="C169" s="328"/>
      <c r="D169" s="277"/>
      <c r="E169" s="273"/>
      <c r="F169" s="273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357"/>
      <c r="V169" s="357"/>
    </row>
    <row r="170" spans="2:22" x14ac:dyDescent="0.25">
      <c r="B170" s="277"/>
      <c r="C170" s="340">
        <v>0</v>
      </c>
      <c r="D170" s="277"/>
      <c r="E170" s="273"/>
      <c r="F170" s="273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357"/>
      <c r="V170" s="357"/>
    </row>
    <row r="171" spans="2:22" x14ac:dyDescent="0.25">
      <c r="B171" s="338" t="s">
        <v>192</v>
      </c>
      <c r="C171" s="328"/>
      <c r="D171" s="277"/>
      <c r="E171" s="273"/>
      <c r="F171" s="273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357"/>
      <c r="V171" s="357"/>
    </row>
    <row r="172" spans="2:22" x14ac:dyDescent="0.25">
      <c r="B172" s="277" t="s">
        <v>113</v>
      </c>
      <c r="C172" s="328">
        <v>326557071</v>
      </c>
      <c r="D172" s="277"/>
      <c r="E172" s="336"/>
      <c r="F172" s="273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357"/>
      <c r="V172" s="357"/>
    </row>
    <row r="173" spans="2:22" ht="15.75" thickBot="1" x14ac:dyDescent="0.3">
      <c r="B173" s="277" t="s">
        <v>114</v>
      </c>
      <c r="C173" s="337">
        <v>2561200</v>
      </c>
      <c r="D173" s="277"/>
      <c r="E173" s="273"/>
      <c r="F173" s="273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357"/>
      <c r="V173" s="357"/>
    </row>
    <row r="174" spans="2:22" ht="15.75" thickTop="1" x14ac:dyDescent="0.25">
      <c r="B174" s="277"/>
      <c r="C174" s="339">
        <v>329118271</v>
      </c>
      <c r="D174" s="277"/>
      <c r="E174" s="273"/>
      <c r="F174" s="273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357"/>
      <c r="V174" s="357"/>
    </row>
    <row r="175" spans="2:22" x14ac:dyDescent="0.25">
      <c r="B175" s="277"/>
      <c r="C175" s="328"/>
      <c r="D175" s="277"/>
      <c r="E175" s="273"/>
      <c r="F175" s="273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357"/>
      <c r="V175" s="357"/>
    </row>
    <row r="176" spans="2:22" x14ac:dyDescent="0.25">
      <c r="B176" s="277"/>
      <c r="C176" s="340">
        <v>0</v>
      </c>
      <c r="D176" s="277"/>
      <c r="E176" s="273"/>
      <c r="F176" s="273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357"/>
      <c r="V176" s="357"/>
    </row>
    <row r="177" spans="1:28" x14ac:dyDescent="0.25">
      <c r="A177" s="276"/>
      <c r="B177" s="277"/>
      <c r="C177" s="328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8"/>
      <c r="V177" s="277"/>
      <c r="W177" s="277"/>
      <c r="X177" s="277"/>
      <c r="Y177" s="403"/>
      <c r="Z177" s="403"/>
      <c r="AA177" s="403"/>
      <c r="AB177" s="403"/>
    </row>
    <row r="178" spans="1:28" x14ac:dyDescent="0.25">
      <c r="A178" s="276"/>
      <c r="B178" s="277"/>
      <c r="C178" s="328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8"/>
      <c r="V178" s="277"/>
      <c r="W178" s="277"/>
      <c r="X178" s="277"/>
      <c r="Y178" s="403"/>
      <c r="Z178" s="403"/>
      <c r="AA178" s="403"/>
      <c r="AB178" s="403"/>
    </row>
    <row r="179" spans="1:28" x14ac:dyDescent="0.25">
      <c r="A179" s="276"/>
      <c r="B179" s="277"/>
      <c r="C179" s="328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8"/>
      <c r="V179" s="277"/>
      <c r="W179" s="277"/>
      <c r="X179" s="277"/>
      <c r="Y179" s="403"/>
      <c r="Z179" s="403"/>
      <c r="AA179" s="403"/>
      <c r="AB179" s="403"/>
    </row>
  </sheetData>
  <mergeCells count="12">
    <mergeCell ref="U104:V104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9306-A77A-48F8-9585-DF3D77497604}">
  <dimension ref="A1:AB184"/>
  <sheetViews>
    <sheetView tabSelected="1" topLeftCell="C1" zoomScale="80" workbookViewId="0">
      <selection activeCell="E12" sqref="E12"/>
    </sheetView>
  </sheetViews>
  <sheetFormatPr defaultRowHeight="15" x14ac:dyDescent="0.25"/>
  <cols>
    <col min="1" max="1" width="3.85546875" bestFit="1" customWidth="1"/>
    <col min="2" max="2" width="14.85546875" customWidth="1"/>
    <col min="3" max="3" width="22.7109375" bestFit="1" customWidth="1"/>
    <col min="4" max="4" width="30.28515625" bestFit="1" customWidth="1"/>
    <col min="5" max="5" width="29.42578125" bestFit="1" customWidth="1"/>
    <col min="6" max="6" width="12" bestFit="1" customWidth="1"/>
    <col min="7" max="18" width="14" bestFit="1" customWidth="1"/>
    <col min="19" max="20" width="15.7109375" bestFit="1" customWidth="1"/>
    <col min="21" max="21" width="13.28515625" bestFit="1" customWidth="1"/>
    <col min="22" max="22" width="14" bestFit="1" customWidth="1"/>
    <col min="23" max="23" width="1.42578125" bestFit="1" customWidth="1"/>
    <col min="25" max="25" width="14.28515625" bestFit="1" customWidth="1"/>
    <col min="26" max="26" width="12.5703125" bestFit="1" customWidth="1"/>
    <col min="27" max="27" width="14.28515625" bestFit="1" customWidth="1"/>
  </cols>
  <sheetData>
    <row r="1" spans="1:28" ht="18" x14ac:dyDescent="0.25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04"/>
      <c r="X1" s="404"/>
      <c r="Y1" s="404"/>
      <c r="Z1" s="404"/>
      <c r="AA1" s="404"/>
      <c r="AB1" s="404"/>
    </row>
    <row r="2" spans="1:28" ht="18.75" thickBot="1" x14ac:dyDescent="0.3">
      <c r="A2" s="2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04"/>
      <c r="X2" s="404"/>
      <c r="Y2" s="404"/>
      <c r="Z2" s="404"/>
      <c r="AA2" s="404"/>
      <c r="AB2" s="404"/>
    </row>
    <row r="3" spans="1:28" ht="16.5" thickTop="1" thickBot="1" x14ac:dyDescent="0.3">
      <c r="A3" s="407"/>
      <c r="B3" s="408"/>
      <c r="C3" s="459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9"/>
      <c r="V3" s="408"/>
      <c r="W3" s="404"/>
      <c r="X3" s="404"/>
      <c r="Y3" s="404"/>
      <c r="Z3" s="404"/>
      <c r="AA3" s="404"/>
      <c r="AB3" s="404"/>
    </row>
    <row r="4" spans="1:28" ht="15.75" thickBot="1" x14ac:dyDescent="0.3">
      <c r="A4" s="7" t="s">
        <v>2</v>
      </c>
      <c r="B4" s="7" t="s">
        <v>3</v>
      </c>
      <c r="C4" s="8"/>
      <c r="D4" s="7" t="s">
        <v>4</v>
      </c>
      <c r="E4" s="8"/>
      <c r="F4" s="9" t="s">
        <v>5</v>
      </c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13" t="s">
        <v>7</v>
      </c>
      <c r="T4" s="13" t="s">
        <v>8</v>
      </c>
      <c r="U4" s="14" t="s">
        <v>9</v>
      </c>
      <c r="V4" s="15" t="s">
        <v>10</v>
      </c>
      <c r="W4" s="441"/>
      <c r="X4" s="441"/>
      <c r="Y4" s="520"/>
      <c r="Z4" s="520"/>
      <c r="AA4" s="520"/>
      <c r="AB4" s="520"/>
    </row>
    <row r="5" spans="1:28" ht="15.75" thickBot="1" x14ac:dyDescent="0.3">
      <c r="A5" s="17"/>
      <c r="B5" s="17"/>
      <c r="C5" s="18"/>
      <c r="D5" s="17"/>
      <c r="E5" s="18"/>
      <c r="F5" s="19"/>
      <c r="G5" s="482" t="s">
        <v>11</v>
      </c>
      <c r="H5" s="482" t="s">
        <v>12</v>
      </c>
      <c r="I5" s="482" t="s">
        <v>13</v>
      </c>
      <c r="J5" s="482" t="s">
        <v>14</v>
      </c>
      <c r="K5" s="482" t="s">
        <v>15</v>
      </c>
      <c r="L5" s="482" t="s">
        <v>16</v>
      </c>
      <c r="M5" s="482" t="s">
        <v>17</v>
      </c>
      <c r="N5" s="482" t="s">
        <v>18</v>
      </c>
      <c r="O5" s="482" t="s">
        <v>19</v>
      </c>
      <c r="P5" s="489" t="s">
        <v>20</v>
      </c>
      <c r="Q5" s="489" t="s">
        <v>21</v>
      </c>
      <c r="R5" s="489" t="s">
        <v>22</v>
      </c>
      <c r="S5" s="22"/>
      <c r="T5" s="22"/>
      <c r="U5" s="23"/>
      <c r="V5" s="24"/>
      <c r="W5" s="441"/>
      <c r="X5" s="441"/>
      <c r="Y5" s="520"/>
      <c r="Z5" s="520"/>
      <c r="AA5" s="520"/>
      <c r="AB5" s="520"/>
    </row>
    <row r="6" spans="1:28" x14ac:dyDescent="0.25">
      <c r="A6" s="410"/>
      <c r="B6" s="411"/>
      <c r="C6" s="460"/>
      <c r="D6" s="411"/>
      <c r="E6" s="412"/>
      <c r="F6" s="413"/>
      <c r="G6" s="414"/>
      <c r="H6" s="414"/>
      <c r="I6" s="414"/>
      <c r="J6" s="414"/>
      <c r="K6" s="414"/>
      <c r="L6" s="414"/>
      <c r="M6" s="414"/>
      <c r="N6" s="414"/>
      <c r="O6" s="414"/>
      <c r="P6" s="497"/>
      <c r="Q6" s="413"/>
      <c r="R6" s="504"/>
      <c r="S6" s="415"/>
      <c r="T6" s="415"/>
      <c r="U6" s="416"/>
      <c r="V6" s="415"/>
      <c r="W6" s="404"/>
      <c r="X6" s="404"/>
      <c r="Y6" s="404"/>
      <c r="Z6" s="404"/>
      <c r="AA6" s="404"/>
      <c r="AB6" s="404"/>
    </row>
    <row r="7" spans="1:28" x14ac:dyDescent="0.25">
      <c r="A7" s="417">
        <v>1</v>
      </c>
      <c r="B7" s="418" t="s">
        <v>23</v>
      </c>
      <c r="C7" s="461" t="s">
        <v>50</v>
      </c>
      <c r="D7" s="440" t="s">
        <v>25</v>
      </c>
      <c r="E7" s="419"/>
      <c r="F7" s="420" t="s">
        <v>26</v>
      </c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0"/>
      <c r="R7" s="418"/>
      <c r="S7" s="422"/>
      <c r="T7" s="422"/>
      <c r="U7" s="423"/>
      <c r="V7" s="422"/>
      <c r="W7" s="404"/>
      <c r="X7" s="404"/>
      <c r="Y7" s="404"/>
      <c r="Z7" s="404"/>
      <c r="AA7" s="404"/>
      <c r="AB7" s="404"/>
    </row>
    <row r="8" spans="1:28" x14ac:dyDescent="0.25">
      <c r="A8" s="417"/>
      <c r="B8" s="418" t="s">
        <v>27</v>
      </c>
      <c r="C8" s="461" t="s">
        <v>162</v>
      </c>
      <c r="D8" s="418"/>
      <c r="E8" s="419" t="s">
        <v>29</v>
      </c>
      <c r="F8" s="420" t="s">
        <v>30</v>
      </c>
      <c r="G8" s="424">
        <v>2425000</v>
      </c>
      <c r="H8" s="424">
        <v>1410000</v>
      </c>
      <c r="I8" s="424">
        <v>595000</v>
      </c>
      <c r="J8" s="424">
        <v>2820000</v>
      </c>
      <c r="K8" s="424">
        <v>2524000</v>
      </c>
      <c r="L8" s="424">
        <v>3190000</v>
      </c>
      <c r="M8" s="424">
        <v>4316000</v>
      </c>
      <c r="N8" s="424">
        <v>1580000</v>
      </c>
      <c r="O8" s="424">
        <v>470000</v>
      </c>
      <c r="P8" s="424">
        <v>518000</v>
      </c>
      <c r="Q8" s="490">
        <v>0</v>
      </c>
      <c r="R8" s="505">
        <v>300000</v>
      </c>
      <c r="S8" s="425">
        <v>20148000</v>
      </c>
      <c r="T8" s="518">
        <v>30148250</v>
      </c>
      <c r="U8" s="423">
        <v>0.66829749653794168</v>
      </c>
      <c r="V8" s="426">
        <v>1679000</v>
      </c>
      <c r="W8" s="404"/>
      <c r="X8" s="404"/>
      <c r="Y8" s="519">
        <v>27648250</v>
      </c>
      <c r="Z8" s="519">
        <v>2500000</v>
      </c>
      <c r="AA8" s="519">
        <v>30148250</v>
      </c>
      <c r="AB8" s="404"/>
    </row>
    <row r="9" spans="1:28" x14ac:dyDescent="0.25">
      <c r="A9" s="417"/>
      <c r="B9" s="418"/>
      <c r="C9" s="461"/>
      <c r="D9" s="418"/>
      <c r="E9" s="419" t="s">
        <v>32</v>
      </c>
      <c r="F9" s="420"/>
      <c r="G9" s="424">
        <v>4251500</v>
      </c>
      <c r="H9" s="424">
        <v>4292500</v>
      </c>
      <c r="I9" s="424">
        <v>4047000</v>
      </c>
      <c r="J9" s="424">
        <v>3183500</v>
      </c>
      <c r="K9" s="424">
        <v>3392500</v>
      </c>
      <c r="L9" s="424">
        <v>2330500</v>
      </c>
      <c r="M9" s="424">
        <v>2369500</v>
      </c>
      <c r="N9" s="424">
        <v>3267000</v>
      </c>
      <c r="O9" s="424">
        <v>3976000</v>
      </c>
      <c r="P9" s="424">
        <v>1473000</v>
      </c>
      <c r="Q9" s="490">
        <v>2927000</v>
      </c>
      <c r="R9" s="505">
        <v>3576500</v>
      </c>
      <c r="S9" s="425">
        <v>39086500</v>
      </c>
      <c r="T9" s="518">
        <v>71221885</v>
      </c>
      <c r="U9" s="423">
        <v>0.5487990103042063</v>
      </c>
      <c r="V9" s="426">
        <v>3257208.3333333335</v>
      </c>
      <c r="W9" s="404"/>
      <c r="X9" s="404"/>
      <c r="Y9" s="519">
        <v>65621885</v>
      </c>
      <c r="Z9" s="519">
        <v>5600000</v>
      </c>
      <c r="AA9" s="519">
        <v>71221885</v>
      </c>
      <c r="AB9" s="404"/>
    </row>
    <row r="10" spans="1:28" x14ac:dyDescent="0.25">
      <c r="A10" s="417"/>
      <c r="B10" s="418"/>
      <c r="C10" s="461"/>
      <c r="D10" s="418" t="s">
        <v>34</v>
      </c>
      <c r="E10" s="419" t="s">
        <v>35</v>
      </c>
      <c r="F10" s="420"/>
      <c r="G10" s="424">
        <v>5985000</v>
      </c>
      <c r="H10" s="424">
        <v>6206000</v>
      </c>
      <c r="I10" s="424">
        <v>2050000</v>
      </c>
      <c r="J10" s="424">
        <v>1621000</v>
      </c>
      <c r="K10" s="424">
        <v>4045000</v>
      </c>
      <c r="L10" s="424">
        <v>5055000</v>
      </c>
      <c r="M10" s="424">
        <v>6170000</v>
      </c>
      <c r="N10" s="424">
        <v>3644000</v>
      </c>
      <c r="O10" s="424">
        <v>3792500</v>
      </c>
      <c r="P10" s="424">
        <v>800000</v>
      </c>
      <c r="Q10" s="490">
        <v>2055000</v>
      </c>
      <c r="R10" s="505">
        <v>2826500</v>
      </c>
      <c r="S10" s="425">
        <v>44250000</v>
      </c>
      <c r="T10" s="518">
        <v>85734950</v>
      </c>
      <c r="U10" s="423">
        <v>0.51612557072699061</v>
      </c>
      <c r="V10" s="426">
        <v>3687500</v>
      </c>
      <c r="W10" s="404"/>
      <c r="X10" s="404"/>
      <c r="Y10" s="519">
        <v>78734950</v>
      </c>
      <c r="Z10" s="519">
        <v>7000000</v>
      </c>
      <c r="AA10" s="519">
        <v>85734950</v>
      </c>
      <c r="AB10" s="404"/>
    </row>
    <row r="11" spans="1:28" x14ac:dyDescent="0.25">
      <c r="A11" s="417"/>
      <c r="B11" s="418"/>
      <c r="C11" s="461"/>
      <c r="D11" s="418"/>
      <c r="E11" s="419" t="s">
        <v>36</v>
      </c>
      <c r="F11" s="420"/>
      <c r="G11" s="424">
        <v>2676000</v>
      </c>
      <c r="H11" s="424">
        <v>2652500</v>
      </c>
      <c r="I11" s="424">
        <v>2580000</v>
      </c>
      <c r="J11" s="424">
        <v>1968000</v>
      </c>
      <c r="K11" s="424">
        <v>2493000</v>
      </c>
      <c r="L11" s="424">
        <v>1171000</v>
      </c>
      <c r="M11" s="424">
        <v>2789000</v>
      </c>
      <c r="N11" s="424">
        <v>3905000</v>
      </c>
      <c r="O11" s="424">
        <v>1230000</v>
      </c>
      <c r="P11" s="424">
        <v>450000</v>
      </c>
      <c r="Q11" s="490">
        <v>1440000</v>
      </c>
      <c r="R11" s="505">
        <v>1980500</v>
      </c>
      <c r="S11" s="425">
        <v>25335000</v>
      </c>
      <c r="T11" s="518">
        <v>57070850</v>
      </c>
      <c r="U11" s="423">
        <v>0.44392189708055863</v>
      </c>
      <c r="V11" s="426">
        <v>2111250</v>
      </c>
      <c r="W11" s="404"/>
      <c r="X11" s="404"/>
      <c r="Y11" s="519">
        <v>53070850</v>
      </c>
      <c r="Z11" s="519">
        <v>4000000</v>
      </c>
      <c r="AA11" s="519">
        <v>57070850</v>
      </c>
      <c r="AB11" s="404"/>
    </row>
    <row r="12" spans="1:28" x14ac:dyDescent="0.25">
      <c r="A12" s="417"/>
      <c r="B12" s="418"/>
      <c r="C12" s="461"/>
      <c r="D12" s="418"/>
      <c r="E12" s="419" t="s">
        <v>37</v>
      </c>
      <c r="F12" s="420"/>
      <c r="G12" s="424">
        <v>7716000</v>
      </c>
      <c r="H12" s="424">
        <v>7483000</v>
      </c>
      <c r="I12" s="424">
        <v>5379000</v>
      </c>
      <c r="J12" s="424">
        <v>4140000</v>
      </c>
      <c r="K12" s="424">
        <v>8151000</v>
      </c>
      <c r="L12" s="424">
        <v>4060500</v>
      </c>
      <c r="M12" s="424">
        <v>7220000</v>
      </c>
      <c r="N12" s="424">
        <v>5965000</v>
      </c>
      <c r="O12" s="424">
        <v>3975000</v>
      </c>
      <c r="P12" s="424">
        <v>4722000</v>
      </c>
      <c r="Q12" s="490">
        <v>7035500</v>
      </c>
      <c r="R12" s="505">
        <v>3220500</v>
      </c>
      <c r="S12" s="425">
        <v>69067500</v>
      </c>
      <c r="T12" s="518">
        <v>98359650</v>
      </c>
      <c r="U12" s="423">
        <v>0.70219342992782097</v>
      </c>
      <c r="V12" s="426">
        <v>5755625</v>
      </c>
      <c r="W12" s="404"/>
      <c r="X12" s="404"/>
      <c r="Y12" s="519">
        <v>90859650</v>
      </c>
      <c r="Z12" s="519">
        <v>7500000</v>
      </c>
      <c r="AA12" s="519">
        <v>98359650</v>
      </c>
      <c r="AB12" s="404"/>
    </row>
    <row r="13" spans="1:28" x14ac:dyDescent="0.25">
      <c r="A13" s="417"/>
      <c r="B13" s="418"/>
      <c r="C13" s="461"/>
      <c r="D13" s="418"/>
      <c r="E13" s="419" t="s">
        <v>38</v>
      </c>
      <c r="F13" s="420"/>
      <c r="G13" s="435">
        <v>8570000</v>
      </c>
      <c r="H13" s="424">
        <v>7899000</v>
      </c>
      <c r="I13" s="424">
        <v>3354000</v>
      </c>
      <c r="J13" s="424">
        <v>4110000</v>
      </c>
      <c r="K13" s="424">
        <v>7299500</v>
      </c>
      <c r="L13" s="424">
        <v>4348000</v>
      </c>
      <c r="M13" s="424">
        <v>4138000</v>
      </c>
      <c r="N13" s="424">
        <v>6336000</v>
      </c>
      <c r="O13" s="424">
        <v>3684000</v>
      </c>
      <c r="P13" s="424">
        <v>15965000</v>
      </c>
      <c r="Q13" s="490">
        <v>11382000</v>
      </c>
      <c r="R13" s="505">
        <v>3471000</v>
      </c>
      <c r="S13" s="425">
        <v>80556500</v>
      </c>
      <c r="T13" s="518">
        <v>94067380</v>
      </c>
      <c r="U13" s="416">
        <v>0.85637018911337814</v>
      </c>
      <c r="V13" s="426">
        <v>6713041.666666667</v>
      </c>
      <c r="W13" s="404"/>
      <c r="X13" s="404"/>
      <c r="Y13" s="519">
        <v>86067380</v>
      </c>
      <c r="Z13" s="519">
        <v>8000000</v>
      </c>
      <c r="AA13" s="519">
        <v>94067380</v>
      </c>
      <c r="AB13" s="404"/>
    </row>
    <row r="14" spans="1:28" ht="15.75" thickBot="1" x14ac:dyDescent="0.3">
      <c r="A14" s="417"/>
      <c r="B14" s="418"/>
      <c r="C14" s="461"/>
      <c r="D14" s="418"/>
      <c r="E14" s="419" t="s">
        <v>39</v>
      </c>
      <c r="F14" s="420"/>
      <c r="G14" s="427">
        <v>170000</v>
      </c>
      <c r="H14" s="427">
        <v>465000</v>
      </c>
      <c r="I14" s="427">
        <v>153000</v>
      </c>
      <c r="J14" s="427">
        <v>300000</v>
      </c>
      <c r="K14" s="427">
        <v>350000</v>
      </c>
      <c r="L14" s="427">
        <v>170000</v>
      </c>
      <c r="M14" s="427">
        <v>0</v>
      </c>
      <c r="N14" s="427">
        <v>75000</v>
      </c>
      <c r="O14" s="427">
        <v>545000</v>
      </c>
      <c r="P14" s="427">
        <v>20000</v>
      </c>
      <c r="Q14" s="491">
        <v>9500</v>
      </c>
      <c r="R14" s="506">
        <v>0</v>
      </c>
      <c r="S14" s="425">
        <v>2257500</v>
      </c>
      <c r="T14" s="518">
        <v>6850850</v>
      </c>
      <c r="U14" s="423">
        <v>0.32952115430931928</v>
      </c>
      <c r="V14" s="426">
        <v>188125</v>
      </c>
      <c r="W14" s="404"/>
      <c r="X14" s="404"/>
      <c r="Y14" s="519">
        <v>6450850</v>
      </c>
      <c r="Z14" s="519">
        <v>400000</v>
      </c>
      <c r="AA14" s="519">
        <v>6850850</v>
      </c>
      <c r="AB14" s="404"/>
    </row>
    <row r="15" spans="1:28" ht="15.75" thickBot="1" x14ac:dyDescent="0.3">
      <c r="A15" s="445"/>
      <c r="B15" s="446"/>
      <c r="C15" s="462"/>
      <c r="D15" s="446"/>
      <c r="E15" s="447"/>
      <c r="F15" s="448"/>
      <c r="G15" s="449">
        <v>31793500</v>
      </c>
      <c r="H15" s="449">
        <v>30408000</v>
      </c>
      <c r="I15" s="449">
        <v>18158000</v>
      </c>
      <c r="J15" s="449">
        <v>18142500</v>
      </c>
      <c r="K15" s="449">
        <v>28255000</v>
      </c>
      <c r="L15" s="449">
        <v>20325000</v>
      </c>
      <c r="M15" s="449">
        <v>27002500</v>
      </c>
      <c r="N15" s="449">
        <v>24772000</v>
      </c>
      <c r="O15" s="449">
        <v>17672500</v>
      </c>
      <c r="P15" s="449">
        <v>23948000</v>
      </c>
      <c r="Q15" s="503">
        <v>24849000</v>
      </c>
      <c r="R15" s="449">
        <v>15375000</v>
      </c>
      <c r="S15" s="450">
        <v>280701000</v>
      </c>
      <c r="T15" s="450">
        <v>443453815</v>
      </c>
      <c r="U15" s="451">
        <v>0.6329881275234942</v>
      </c>
      <c r="V15" s="452">
        <v>23391750</v>
      </c>
      <c r="W15" s="453"/>
      <c r="X15" s="453"/>
      <c r="Y15" s="521">
        <v>0</v>
      </c>
      <c r="Z15" s="521"/>
      <c r="AA15" s="519">
        <v>0</v>
      </c>
      <c r="AB15" s="521"/>
    </row>
    <row r="16" spans="1:28" x14ac:dyDescent="0.25">
      <c r="A16" s="410"/>
      <c r="B16" s="411"/>
      <c r="C16" s="460"/>
      <c r="D16" s="411"/>
      <c r="E16" s="412"/>
      <c r="F16" s="413"/>
      <c r="G16" s="433"/>
      <c r="H16" s="433"/>
      <c r="I16" s="433"/>
      <c r="J16" s="433"/>
      <c r="K16" s="433"/>
      <c r="L16" s="433"/>
      <c r="M16" s="433"/>
      <c r="N16" s="433"/>
      <c r="O16" s="433"/>
      <c r="P16" s="433"/>
      <c r="Q16" s="492"/>
      <c r="R16" s="507"/>
      <c r="S16" s="415"/>
      <c r="T16" s="415"/>
      <c r="U16" s="416"/>
      <c r="V16" s="415"/>
      <c r="W16" s="404"/>
      <c r="X16" s="404"/>
      <c r="Y16" s="519">
        <v>0</v>
      </c>
      <c r="Z16" s="404"/>
      <c r="AA16" s="519">
        <v>0</v>
      </c>
      <c r="AB16" s="404"/>
    </row>
    <row r="17" spans="1:28" x14ac:dyDescent="0.25">
      <c r="A17" s="417">
        <v>2</v>
      </c>
      <c r="B17" s="418" t="s">
        <v>23</v>
      </c>
      <c r="C17" s="461" t="s">
        <v>42</v>
      </c>
      <c r="D17" s="440" t="s">
        <v>41</v>
      </c>
      <c r="E17" s="419"/>
      <c r="F17" s="420" t="s">
        <v>26</v>
      </c>
      <c r="G17" s="421"/>
      <c r="H17" s="421"/>
      <c r="I17" s="421"/>
      <c r="J17" s="421"/>
      <c r="K17" s="421"/>
      <c r="L17" s="421"/>
      <c r="M17" s="421"/>
      <c r="N17" s="421"/>
      <c r="O17" s="421"/>
      <c r="P17" s="421"/>
      <c r="Q17" s="420"/>
      <c r="R17" s="418"/>
      <c r="S17" s="422"/>
      <c r="T17" s="514"/>
      <c r="U17" s="423"/>
      <c r="V17" s="422"/>
      <c r="W17" s="404"/>
      <c r="X17" s="404"/>
      <c r="Y17" s="519">
        <v>0</v>
      </c>
      <c r="Z17" s="404"/>
      <c r="AA17" s="519">
        <v>0</v>
      </c>
      <c r="AB17" s="404"/>
    </row>
    <row r="18" spans="1:28" x14ac:dyDescent="0.25">
      <c r="A18" s="417"/>
      <c r="B18" s="418"/>
      <c r="C18" s="461"/>
      <c r="D18" s="418"/>
      <c r="E18" s="419" t="s">
        <v>43</v>
      </c>
      <c r="F18" s="420" t="s">
        <v>30</v>
      </c>
      <c r="G18" s="424">
        <v>9318000</v>
      </c>
      <c r="H18" s="424">
        <v>10155000</v>
      </c>
      <c r="I18" s="424">
        <v>7720000</v>
      </c>
      <c r="J18" s="424">
        <v>4055000</v>
      </c>
      <c r="K18" s="424">
        <v>9050000</v>
      </c>
      <c r="L18" s="424">
        <v>15395000</v>
      </c>
      <c r="M18" s="512">
        <v>12741000</v>
      </c>
      <c r="N18" s="424">
        <v>6540000</v>
      </c>
      <c r="O18" s="424">
        <v>5031000</v>
      </c>
      <c r="P18" s="498">
        <v>7541000</v>
      </c>
      <c r="Q18" s="490">
        <v>681400</v>
      </c>
      <c r="R18" s="505">
        <v>2748350</v>
      </c>
      <c r="S18" s="425">
        <v>90975750</v>
      </c>
      <c r="T18" s="518">
        <v>168273549</v>
      </c>
      <c r="U18" s="423">
        <v>0.54064201141915658</v>
      </c>
      <c r="V18" s="426">
        <v>7581312.5</v>
      </c>
      <c r="W18" s="404"/>
      <c r="X18" s="404"/>
      <c r="Y18" s="519">
        <v>158273549</v>
      </c>
      <c r="Z18" s="519">
        <v>10000000</v>
      </c>
      <c r="AA18" s="519">
        <v>168273549</v>
      </c>
      <c r="AB18" s="404"/>
    </row>
    <row r="19" spans="1:28" x14ac:dyDescent="0.25">
      <c r="A19" s="417"/>
      <c r="B19" s="418"/>
      <c r="C19" s="461"/>
      <c r="D19" s="418"/>
      <c r="E19" s="419" t="s">
        <v>45</v>
      </c>
      <c r="F19" s="420"/>
      <c r="G19" s="424">
        <v>8301500</v>
      </c>
      <c r="H19" s="424">
        <v>10072000</v>
      </c>
      <c r="I19" s="424">
        <v>1147000</v>
      </c>
      <c r="J19" s="424">
        <v>7612500</v>
      </c>
      <c r="K19" s="424">
        <v>4650000</v>
      </c>
      <c r="L19" s="424">
        <v>4357000</v>
      </c>
      <c r="M19" s="424">
        <v>6213500</v>
      </c>
      <c r="N19" s="424">
        <v>6350000</v>
      </c>
      <c r="O19" s="424">
        <v>9479000</v>
      </c>
      <c r="P19" s="498">
        <v>2130000</v>
      </c>
      <c r="Q19" s="490">
        <v>16065000</v>
      </c>
      <c r="R19" s="505">
        <v>23194000</v>
      </c>
      <c r="S19" s="425">
        <v>99571500</v>
      </c>
      <c r="T19" s="518">
        <v>225457250</v>
      </c>
      <c r="U19" s="423">
        <v>0.44164248432906905</v>
      </c>
      <c r="V19" s="426">
        <v>8297625</v>
      </c>
      <c r="W19" s="404"/>
      <c r="X19" s="404"/>
      <c r="Y19" s="519">
        <v>209457250</v>
      </c>
      <c r="Z19" s="519">
        <v>16000000</v>
      </c>
      <c r="AA19" s="519">
        <v>225457250</v>
      </c>
      <c r="AB19" s="404"/>
    </row>
    <row r="20" spans="1:28" x14ac:dyDescent="0.25">
      <c r="A20" s="417"/>
      <c r="B20" s="418"/>
      <c r="C20" s="461"/>
      <c r="D20" s="418"/>
      <c r="E20" s="419" t="s">
        <v>46</v>
      </c>
      <c r="F20" s="420" t="s">
        <v>30</v>
      </c>
      <c r="G20" s="424">
        <v>281000</v>
      </c>
      <c r="H20" s="424">
        <v>430000</v>
      </c>
      <c r="I20" s="424">
        <v>0</v>
      </c>
      <c r="J20" s="424">
        <v>1650000</v>
      </c>
      <c r="K20" s="424">
        <v>200000</v>
      </c>
      <c r="L20" s="424">
        <v>0</v>
      </c>
      <c r="M20" s="424">
        <v>0</v>
      </c>
      <c r="N20" s="424">
        <v>485000</v>
      </c>
      <c r="O20" s="424">
        <v>235000</v>
      </c>
      <c r="P20" s="498">
        <v>0</v>
      </c>
      <c r="Q20" s="490">
        <v>0</v>
      </c>
      <c r="R20" s="505">
        <v>0</v>
      </c>
      <c r="S20" s="425">
        <v>3281000</v>
      </c>
      <c r="T20" s="518">
        <v>11147250</v>
      </c>
      <c r="U20" s="423">
        <v>0.29433268294870935</v>
      </c>
      <c r="V20" s="426">
        <v>273416.66666666669</v>
      </c>
      <c r="W20" s="404"/>
      <c r="X20" s="404"/>
      <c r="Y20" s="519">
        <v>10647250</v>
      </c>
      <c r="Z20" s="519">
        <v>500000</v>
      </c>
      <c r="AA20" s="519">
        <v>11147250</v>
      </c>
      <c r="AB20" s="404"/>
    </row>
    <row r="21" spans="1:28" x14ac:dyDescent="0.25">
      <c r="A21" s="417"/>
      <c r="B21" s="418"/>
      <c r="C21" s="461"/>
      <c r="D21" s="418"/>
      <c r="E21" s="419" t="s">
        <v>127</v>
      </c>
      <c r="F21" s="420"/>
      <c r="G21" s="424">
        <v>0</v>
      </c>
      <c r="H21" s="424">
        <v>0</v>
      </c>
      <c r="I21" s="424">
        <v>0</v>
      </c>
      <c r="J21" s="424">
        <v>0</v>
      </c>
      <c r="K21" s="424">
        <v>0</v>
      </c>
      <c r="L21" s="424">
        <v>0</v>
      </c>
      <c r="M21" s="424">
        <v>0</v>
      </c>
      <c r="N21" s="424">
        <v>0</v>
      </c>
      <c r="O21" s="424">
        <v>0</v>
      </c>
      <c r="P21" s="498">
        <v>0</v>
      </c>
      <c r="Q21" s="490">
        <v>0</v>
      </c>
      <c r="R21" s="505">
        <v>0</v>
      </c>
      <c r="S21" s="425">
        <v>0</v>
      </c>
      <c r="T21" s="518">
        <v>594000</v>
      </c>
      <c r="U21" s="423">
        <v>0</v>
      </c>
      <c r="V21" s="426">
        <v>0</v>
      </c>
      <c r="W21" s="404"/>
      <c r="X21" s="404"/>
      <c r="Y21" s="519">
        <v>594000</v>
      </c>
      <c r="Z21" s="519">
        <v>0</v>
      </c>
      <c r="AA21" s="519">
        <v>594000</v>
      </c>
      <c r="AB21" s="404"/>
    </row>
    <row r="22" spans="1:28" x14ac:dyDescent="0.25">
      <c r="A22" s="417"/>
      <c r="B22" s="418"/>
      <c r="C22" s="461"/>
      <c r="D22" s="418"/>
      <c r="E22" s="419" t="s">
        <v>47</v>
      </c>
      <c r="F22" s="420"/>
      <c r="G22" s="424">
        <v>14411300</v>
      </c>
      <c r="H22" s="424">
        <v>10657000</v>
      </c>
      <c r="I22" s="424">
        <v>10835000</v>
      </c>
      <c r="J22" s="424">
        <v>7655000</v>
      </c>
      <c r="K22" s="424">
        <v>13044800</v>
      </c>
      <c r="L22" s="424">
        <v>14449000</v>
      </c>
      <c r="M22" s="424">
        <v>11066000</v>
      </c>
      <c r="N22" s="424">
        <v>9584700</v>
      </c>
      <c r="O22" s="424">
        <v>7174700</v>
      </c>
      <c r="P22" s="498">
        <v>2000000</v>
      </c>
      <c r="Q22" s="490">
        <v>6305000</v>
      </c>
      <c r="R22" s="505">
        <v>7463624</v>
      </c>
      <c r="S22" s="425">
        <v>114646124</v>
      </c>
      <c r="T22" s="518">
        <v>222656850</v>
      </c>
      <c r="U22" s="423">
        <v>0.51490050272425936</v>
      </c>
      <c r="V22" s="426">
        <v>9553843.666666666</v>
      </c>
      <c r="W22" s="404"/>
      <c r="X22" s="404"/>
      <c r="Y22" s="519">
        <v>206956850</v>
      </c>
      <c r="Z22" s="519">
        <v>15700000</v>
      </c>
      <c r="AA22" s="519">
        <v>222656850</v>
      </c>
      <c r="AB22" s="404"/>
    </row>
    <row r="23" spans="1:28" x14ac:dyDescent="0.25">
      <c r="A23" s="417"/>
      <c r="B23" s="418"/>
      <c r="C23" s="461"/>
      <c r="D23" s="418"/>
      <c r="E23" s="419" t="s">
        <v>48</v>
      </c>
      <c r="F23" s="420"/>
      <c r="G23" s="424">
        <v>0</v>
      </c>
      <c r="H23" s="424">
        <v>300000</v>
      </c>
      <c r="I23" s="424">
        <v>0</v>
      </c>
      <c r="J23" s="424">
        <v>0</v>
      </c>
      <c r="K23" s="424">
        <v>100000</v>
      </c>
      <c r="L23" s="424">
        <v>95000</v>
      </c>
      <c r="M23" s="424">
        <v>0</v>
      </c>
      <c r="N23" s="424">
        <v>0</v>
      </c>
      <c r="O23" s="424">
        <v>478000</v>
      </c>
      <c r="P23" s="498">
        <v>500000</v>
      </c>
      <c r="Q23" s="490">
        <v>0</v>
      </c>
      <c r="R23" s="505">
        <v>0</v>
      </c>
      <c r="S23" s="425">
        <v>1473000</v>
      </c>
      <c r="T23" s="518">
        <v>6426500</v>
      </c>
      <c r="U23" s="423">
        <v>0.22920718898311679</v>
      </c>
      <c r="V23" s="426">
        <v>122750</v>
      </c>
      <c r="W23" s="404"/>
      <c r="X23" s="404"/>
      <c r="Y23" s="519">
        <v>6326500</v>
      </c>
      <c r="Z23" s="519">
        <v>100000</v>
      </c>
      <c r="AA23" s="519">
        <v>6426500</v>
      </c>
      <c r="AB23" s="404"/>
    </row>
    <row r="24" spans="1:28" x14ac:dyDescent="0.25">
      <c r="A24" s="428"/>
      <c r="B24" s="429"/>
      <c r="C24" s="463"/>
      <c r="D24" s="429"/>
      <c r="E24" s="430" t="s">
        <v>49</v>
      </c>
      <c r="F24" s="431"/>
      <c r="G24" s="434">
        <v>2851000</v>
      </c>
      <c r="H24" s="434">
        <v>1834000</v>
      </c>
      <c r="I24" s="434">
        <v>1834000</v>
      </c>
      <c r="J24" s="434">
        <v>1016000</v>
      </c>
      <c r="K24" s="434">
        <v>1371000</v>
      </c>
      <c r="L24" s="434">
        <v>1345000</v>
      </c>
      <c r="M24" s="434">
        <v>1425000</v>
      </c>
      <c r="N24" s="434">
        <v>2520000</v>
      </c>
      <c r="O24" s="434">
        <v>387500</v>
      </c>
      <c r="P24" s="499">
        <v>1000000</v>
      </c>
      <c r="Q24" s="493">
        <v>771000</v>
      </c>
      <c r="R24" s="508">
        <v>1050000</v>
      </c>
      <c r="S24" s="425">
        <v>17404500</v>
      </c>
      <c r="T24" s="518">
        <v>36614850</v>
      </c>
      <c r="U24" s="423">
        <v>0.47533992355560656</v>
      </c>
      <c r="V24" s="426">
        <v>1450375</v>
      </c>
      <c r="W24" s="404"/>
      <c r="X24" s="404"/>
      <c r="Y24" s="519">
        <v>34514850</v>
      </c>
      <c r="Z24" s="519">
        <v>2100000</v>
      </c>
      <c r="AA24" s="519">
        <v>36614850</v>
      </c>
      <c r="AB24" s="404"/>
    </row>
    <row r="25" spans="1:28" ht="15.75" thickBot="1" x14ac:dyDescent="0.3">
      <c r="A25" s="428"/>
      <c r="B25" s="429"/>
      <c r="C25" s="463"/>
      <c r="D25" s="429"/>
      <c r="E25" s="430" t="s">
        <v>93</v>
      </c>
      <c r="F25" s="431"/>
      <c r="G25" s="434">
        <v>625000</v>
      </c>
      <c r="H25" s="434">
        <v>540500</v>
      </c>
      <c r="I25" s="434">
        <v>475000</v>
      </c>
      <c r="J25" s="434">
        <v>55000</v>
      </c>
      <c r="K25" s="434">
        <v>162500</v>
      </c>
      <c r="L25" s="434">
        <v>80000</v>
      </c>
      <c r="M25" s="434">
        <v>365000</v>
      </c>
      <c r="N25" s="434">
        <v>170000</v>
      </c>
      <c r="O25" s="434">
        <v>615000</v>
      </c>
      <c r="P25" s="499">
        <v>245000</v>
      </c>
      <c r="Q25" s="493">
        <v>185000</v>
      </c>
      <c r="R25" s="508">
        <v>0</v>
      </c>
      <c r="S25" s="425">
        <v>3518000</v>
      </c>
      <c r="T25" s="518">
        <v>6807500</v>
      </c>
      <c r="U25" s="423">
        <v>0.51678295997062063</v>
      </c>
      <c r="V25" s="426">
        <v>293166.66666666669</v>
      </c>
      <c r="W25" s="404"/>
      <c r="X25" s="404"/>
      <c r="Y25" s="519">
        <v>6207500</v>
      </c>
      <c r="Z25" s="519">
        <v>600000</v>
      </c>
      <c r="AA25" s="519">
        <v>6807500</v>
      </c>
      <c r="AB25" s="404"/>
    </row>
    <row r="26" spans="1:28" ht="15.75" thickBot="1" x14ac:dyDescent="0.3">
      <c r="A26" s="445"/>
      <c r="B26" s="446"/>
      <c r="C26" s="462"/>
      <c r="D26" s="446"/>
      <c r="E26" s="447"/>
      <c r="F26" s="448"/>
      <c r="G26" s="479">
        <v>35787800</v>
      </c>
      <c r="H26" s="479">
        <v>33988500</v>
      </c>
      <c r="I26" s="479">
        <v>22011000</v>
      </c>
      <c r="J26" s="479">
        <v>22043500</v>
      </c>
      <c r="K26" s="479">
        <v>28578300</v>
      </c>
      <c r="L26" s="479">
        <v>35721000</v>
      </c>
      <c r="M26" s="479">
        <v>31810500</v>
      </c>
      <c r="N26" s="479">
        <v>25649700</v>
      </c>
      <c r="O26" s="479">
        <v>23400200</v>
      </c>
      <c r="P26" s="454">
        <v>13416000</v>
      </c>
      <c r="Q26" s="496">
        <v>24007400</v>
      </c>
      <c r="R26" s="479">
        <v>34455974</v>
      </c>
      <c r="S26" s="450">
        <v>330869874</v>
      </c>
      <c r="T26" s="450">
        <v>677977749</v>
      </c>
      <c r="U26" s="451">
        <v>0.48802467999580323</v>
      </c>
      <c r="V26" s="450">
        <v>27572489.5</v>
      </c>
      <c r="W26" s="453"/>
      <c r="X26" s="453"/>
      <c r="Y26" s="521">
        <v>0</v>
      </c>
      <c r="Z26" s="521"/>
      <c r="AA26" s="519">
        <v>0</v>
      </c>
      <c r="AB26" s="521"/>
    </row>
    <row r="27" spans="1:28" ht="15.75" thickBot="1" x14ac:dyDescent="0.3">
      <c r="A27" s="456"/>
      <c r="B27" s="472"/>
      <c r="C27" s="473"/>
      <c r="D27" s="472"/>
      <c r="E27" s="474"/>
      <c r="F27" s="457"/>
      <c r="G27" s="475">
        <v>67581300</v>
      </c>
      <c r="H27" s="475">
        <v>64396500</v>
      </c>
      <c r="I27" s="475">
        <v>40169000</v>
      </c>
      <c r="J27" s="475">
        <v>40186000</v>
      </c>
      <c r="K27" s="475">
        <v>56833300</v>
      </c>
      <c r="L27" s="475">
        <v>56046000</v>
      </c>
      <c r="M27" s="475">
        <v>58813000</v>
      </c>
      <c r="N27" s="475">
        <v>50421700</v>
      </c>
      <c r="O27" s="475">
        <v>41072700</v>
      </c>
      <c r="P27" s="475">
        <v>37364000</v>
      </c>
      <c r="Q27" s="475">
        <v>48856400</v>
      </c>
      <c r="R27" s="523">
        <v>49830974</v>
      </c>
      <c r="S27" s="487">
        <v>611570874</v>
      </c>
      <c r="T27" s="524">
        <v>1121431564</v>
      </c>
      <c r="U27" s="481">
        <v>0.54534836866781822</v>
      </c>
      <c r="V27" s="475">
        <v>50964239.5</v>
      </c>
      <c r="W27" s="453"/>
      <c r="X27" s="453"/>
      <c r="Y27" s="521">
        <v>0</v>
      </c>
      <c r="Z27" s="521"/>
      <c r="AA27" s="519">
        <v>0</v>
      </c>
      <c r="AB27" s="521"/>
    </row>
    <row r="28" spans="1:28" x14ac:dyDescent="0.25">
      <c r="A28" s="410">
        <v>4</v>
      </c>
      <c r="B28" s="411" t="s">
        <v>195</v>
      </c>
      <c r="C28" s="461" t="s">
        <v>196</v>
      </c>
      <c r="D28" s="442" t="s">
        <v>72</v>
      </c>
      <c r="E28" s="412"/>
      <c r="F28" s="413" t="s">
        <v>30</v>
      </c>
      <c r="G28" s="414"/>
      <c r="H28" s="414"/>
      <c r="I28" s="414"/>
      <c r="J28" s="414"/>
      <c r="K28" s="414"/>
      <c r="L28" s="414"/>
      <c r="M28" s="414"/>
      <c r="N28" s="414"/>
      <c r="O28" s="414"/>
      <c r="P28" s="412"/>
      <c r="Q28" s="413"/>
      <c r="R28" s="411"/>
      <c r="S28" s="415"/>
      <c r="T28" s="517"/>
      <c r="U28" s="416"/>
      <c r="V28" s="415"/>
      <c r="W28" s="404"/>
      <c r="X28" s="404"/>
      <c r="Y28" s="519">
        <v>0</v>
      </c>
      <c r="Z28" s="404"/>
      <c r="AA28" s="519">
        <v>0</v>
      </c>
      <c r="AB28" s="404"/>
    </row>
    <row r="29" spans="1:28" x14ac:dyDescent="0.25">
      <c r="A29" s="417"/>
      <c r="B29" s="418"/>
      <c r="C29" s="461"/>
      <c r="D29" s="418"/>
      <c r="E29" s="419" t="s">
        <v>74</v>
      </c>
      <c r="F29" s="420"/>
      <c r="G29" s="424">
        <v>87000</v>
      </c>
      <c r="H29" s="424">
        <v>210000</v>
      </c>
      <c r="I29" s="424">
        <v>225000</v>
      </c>
      <c r="J29" s="424">
        <v>245000</v>
      </c>
      <c r="K29" s="424">
        <v>115000</v>
      </c>
      <c r="L29" s="424">
        <v>70000</v>
      </c>
      <c r="M29" s="424">
        <v>90000</v>
      </c>
      <c r="N29" s="424">
        <v>150000</v>
      </c>
      <c r="O29" s="424">
        <v>16000</v>
      </c>
      <c r="P29" s="498">
        <v>140000</v>
      </c>
      <c r="Q29" s="490">
        <v>40000</v>
      </c>
      <c r="R29" s="505">
        <v>0</v>
      </c>
      <c r="S29" s="425">
        <v>1388000</v>
      </c>
      <c r="T29" s="518">
        <v>1537000</v>
      </c>
      <c r="U29" s="423">
        <v>0.90305790500975924</v>
      </c>
      <c r="V29" s="426">
        <v>115666.66666666667</v>
      </c>
      <c r="W29" s="404"/>
      <c r="X29" s="404"/>
      <c r="Y29" s="519">
        <v>1437000</v>
      </c>
      <c r="Z29" s="519">
        <v>100000</v>
      </c>
      <c r="AA29" s="519">
        <v>1537000</v>
      </c>
      <c r="AB29" s="404"/>
    </row>
    <row r="30" spans="1:28" x14ac:dyDescent="0.25">
      <c r="A30" s="417"/>
      <c r="B30" s="418"/>
      <c r="C30" s="461"/>
      <c r="D30" s="418"/>
      <c r="E30" s="419" t="s">
        <v>75</v>
      </c>
      <c r="F30" s="420"/>
      <c r="G30" s="424">
        <v>3602500</v>
      </c>
      <c r="H30" s="424">
        <v>5696000</v>
      </c>
      <c r="I30" s="424">
        <v>3444500</v>
      </c>
      <c r="J30" s="424">
        <v>3915000</v>
      </c>
      <c r="K30" s="424">
        <v>5418500</v>
      </c>
      <c r="L30" s="424">
        <v>4699500</v>
      </c>
      <c r="M30" s="424">
        <v>5896500</v>
      </c>
      <c r="N30" s="424">
        <v>5425500</v>
      </c>
      <c r="O30" s="424">
        <v>8677000</v>
      </c>
      <c r="P30" s="498">
        <v>6554500</v>
      </c>
      <c r="Q30" s="490">
        <v>7107000</v>
      </c>
      <c r="R30" s="505">
        <v>1982000</v>
      </c>
      <c r="S30" s="425">
        <v>62418500</v>
      </c>
      <c r="T30" s="518">
        <v>60108290</v>
      </c>
      <c r="U30" s="423">
        <v>1.0384341327959921</v>
      </c>
      <c r="V30" s="426">
        <v>5201541.666666667</v>
      </c>
      <c r="W30" s="404"/>
      <c r="X30" s="404"/>
      <c r="Y30" s="519">
        <v>54608290</v>
      </c>
      <c r="Z30" s="519">
        <v>5500000</v>
      </c>
      <c r="AA30" s="519">
        <v>60108290</v>
      </c>
      <c r="AB30" s="404"/>
    </row>
    <row r="31" spans="1:28" x14ac:dyDescent="0.25">
      <c r="A31" s="417"/>
      <c r="B31" s="418"/>
      <c r="C31" s="461"/>
      <c r="D31" s="418"/>
      <c r="E31" s="419" t="s">
        <v>76</v>
      </c>
      <c r="F31" s="420"/>
      <c r="G31" s="424">
        <v>6594000</v>
      </c>
      <c r="H31" s="424">
        <v>8255000</v>
      </c>
      <c r="I31" s="424">
        <v>6124000</v>
      </c>
      <c r="J31" s="424">
        <v>4606000</v>
      </c>
      <c r="K31" s="424">
        <v>7195000</v>
      </c>
      <c r="L31" s="424">
        <v>5327000</v>
      </c>
      <c r="M31" s="424">
        <v>6413000</v>
      </c>
      <c r="N31" s="424">
        <v>4882000</v>
      </c>
      <c r="O31" s="424">
        <v>3131000</v>
      </c>
      <c r="P31" s="498">
        <v>2501000</v>
      </c>
      <c r="Q31" s="490">
        <v>8990000</v>
      </c>
      <c r="R31" s="505">
        <v>4146000</v>
      </c>
      <c r="S31" s="425">
        <v>68164000</v>
      </c>
      <c r="T31" s="518">
        <v>78010000</v>
      </c>
      <c r="U31" s="423">
        <v>0.8737854121266504</v>
      </c>
      <c r="V31" s="426">
        <v>5680333.333333333</v>
      </c>
      <c r="W31" s="404"/>
      <c r="X31" s="404"/>
      <c r="Y31" s="519">
        <v>70610000</v>
      </c>
      <c r="Z31" s="519">
        <v>7400000</v>
      </c>
      <c r="AA31" s="519">
        <v>78010000</v>
      </c>
      <c r="AB31" s="404"/>
    </row>
    <row r="32" spans="1:28" ht="15.75" thickBot="1" x14ac:dyDescent="0.3">
      <c r="A32" s="428"/>
      <c r="B32" s="429"/>
      <c r="C32" s="463"/>
      <c r="D32" s="429"/>
      <c r="E32" s="430" t="s">
        <v>77</v>
      </c>
      <c r="F32" s="431"/>
      <c r="G32" s="434">
        <v>6571000</v>
      </c>
      <c r="H32" s="434">
        <v>5505500</v>
      </c>
      <c r="I32" s="434">
        <v>4013000</v>
      </c>
      <c r="J32" s="434">
        <v>2872500</v>
      </c>
      <c r="K32" s="434">
        <v>7630000</v>
      </c>
      <c r="L32" s="434">
        <v>3284000</v>
      </c>
      <c r="M32" s="434">
        <v>6662000</v>
      </c>
      <c r="N32" s="434">
        <v>5849000</v>
      </c>
      <c r="O32" s="434">
        <v>5286000</v>
      </c>
      <c r="P32" s="499">
        <v>2788000</v>
      </c>
      <c r="Q32" s="493">
        <v>3747500</v>
      </c>
      <c r="R32" s="508">
        <v>200000</v>
      </c>
      <c r="S32" s="425">
        <v>54408500</v>
      </c>
      <c r="T32" s="518">
        <v>69780000</v>
      </c>
      <c r="U32" s="423">
        <v>0.77971481799942677</v>
      </c>
      <c r="V32" s="426">
        <v>4534041.666666667</v>
      </c>
      <c r="W32" s="404"/>
      <c r="X32" s="404"/>
      <c r="Y32" s="519">
        <v>63780000</v>
      </c>
      <c r="Z32" s="519">
        <v>6000000</v>
      </c>
      <c r="AA32" s="519">
        <v>69780000</v>
      </c>
      <c r="AB32" s="404"/>
    </row>
    <row r="33" spans="1:28" ht="15.75" thickBot="1" x14ac:dyDescent="0.3">
      <c r="A33" s="445"/>
      <c r="B33" s="446"/>
      <c r="C33" s="462"/>
      <c r="D33" s="446"/>
      <c r="E33" s="447"/>
      <c r="F33" s="448"/>
      <c r="G33" s="454">
        <v>16854500</v>
      </c>
      <c r="H33" s="454">
        <v>19666500</v>
      </c>
      <c r="I33" s="454">
        <v>13806500</v>
      </c>
      <c r="J33" s="454">
        <v>11638500</v>
      </c>
      <c r="K33" s="454">
        <v>20358500</v>
      </c>
      <c r="L33" s="454">
        <v>13380500</v>
      </c>
      <c r="M33" s="454">
        <v>19061500</v>
      </c>
      <c r="N33" s="454">
        <v>16306500</v>
      </c>
      <c r="O33" s="454">
        <v>17110000</v>
      </c>
      <c r="P33" s="454">
        <v>11983500</v>
      </c>
      <c r="Q33" s="496">
        <v>19884500</v>
      </c>
      <c r="R33" s="454">
        <v>6328000</v>
      </c>
      <c r="S33" s="450">
        <v>186379000</v>
      </c>
      <c r="T33" s="450">
        <v>209435290</v>
      </c>
      <c r="U33" s="451">
        <v>0.8899121060256846</v>
      </c>
      <c r="V33" s="450">
        <v>15531583.333333336</v>
      </c>
      <c r="W33" s="453"/>
      <c r="X33" s="453"/>
      <c r="Y33" s="521">
        <v>0</v>
      </c>
      <c r="Z33" s="521"/>
      <c r="AA33" s="519">
        <v>0</v>
      </c>
      <c r="AB33" s="521"/>
    </row>
    <row r="34" spans="1:28" x14ac:dyDescent="0.25">
      <c r="A34" s="410"/>
      <c r="B34" s="411"/>
      <c r="C34" s="460"/>
      <c r="D34" s="411"/>
      <c r="E34" s="412"/>
      <c r="F34" s="413"/>
      <c r="G34" s="414"/>
      <c r="H34" s="414"/>
      <c r="I34" s="414"/>
      <c r="J34" s="414"/>
      <c r="K34" s="414"/>
      <c r="L34" s="414"/>
      <c r="M34" s="414"/>
      <c r="N34" s="414"/>
      <c r="O34" s="414"/>
      <c r="P34" s="412"/>
      <c r="Q34" s="413"/>
      <c r="R34" s="411"/>
      <c r="S34" s="415"/>
      <c r="T34" s="415"/>
      <c r="U34" s="416"/>
      <c r="V34" s="415"/>
      <c r="W34" s="404"/>
      <c r="X34" s="404"/>
      <c r="Y34" s="519">
        <v>0</v>
      </c>
      <c r="Z34" s="404"/>
      <c r="AA34" s="519">
        <v>0</v>
      </c>
      <c r="AB34" s="404"/>
    </row>
    <row r="35" spans="1:28" x14ac:dyDescent="0.25">
      <c r="A35" s="417">
        <v>5</v>
      </c>
      <c r="B35" s="418" t="s">
        <v>23</v>
      </c>
      <c r="C35" s="461" t="s">
        <v>78</v>
      </c>
      <c r="D35" s="440" t="s">
        <v>72</v>
      </c>
      <c r="E35" s="419"/>
      <c r="F35" s="420" t="s">
        <v>30</v>
      </c>
      <c r="G35" s="421"/>
      <c r="H35" s="421"/>
      <c r="I35" s="421"/>
      <c r="J35" s="421"/>
      <c r="K35" s="421"/>
      <c r="L35" s="421"/>
      <c r="M35" s="421"/>
      <c r="N35" s="421"/>
      <c r="O35" s="421"/>
      <c r="P35" s="419"/>
      <c r="Q35" s="420"/>
      <c r="R35" s="418"/>
      <c r="S35" s="422"/>
      <c r="T35" s="422"/>
      <c r="U35" s="423"/>
      <c r="V35" s="422"/>
      <c r="W35" s="404"/>
      <c r="X35" s="404"/>
      <c r="Y35" s="519">
        <v>0</v>
      </c>
      <c r="Z35" s="404"/>
      <c r="AA35" s="519">
        <v>0</v>
      </c>
      <c r="AB35" s="404"/>
    </row>
    <row r="36" spans="1:28" x14ac:dyDescent="0.25">
      <c r="A36" s="417"/>
      <c r="B36" s="418"/>
      <c r="C36" s="461"/>
      <c r="D36" s="418"/>
      <c r="E36" s="419" t="s">
        <v>80</v>
      </c>
      <c r="F36" s="420"/>
      <c r="G36" s="424">
        <v>14738500</v>
      </c>
      <c r="H36" s="424">
        <v>10764000</v>
      </c>
      <c r="I36" s="424">
        <v>14016000</v>
      </c>
      <c r="J36" s="424">
        <v>9947000</v>
      </c>
      <c r="K36" s="424">
        <v>8432500</v>
      </c>
      <c r="L36" s="424">
        <v>10747500</v>
      </c>
      <c r="M36" s="424">
        <v>12494500</v>
      </c>
      <c r="N36" s="424">
        <v>11859500</v>
      </c>
      <c r="O36" s="424">
        <v>5456000</v>
      </c>
      <c r="P36" s="498">
        <v>3345000</v>
      </c>
      <c r="Q36" s="490">
        <v>7278000</v>
      </c>
      <c r="R36" s="505">
        <v>9384500</v>
      </c>
      <c r="S36" s="425">
        <v>118463000</v>
      </c>
      <c r="T36" s="518">
        <v>234182700</v>
      </c>
      <c r="U36" s="423">
        <v>0.50585717903158511</v>
      </c>
      <c r="V36" s="426">
        <v>9871916.666666666</v>
      </c>
      <c r="W36" s="404"/>
      <c r="X36" s="404"/>
      <c r="Y36" s="519">
        <v>217182700</v>
      </c>
      <c r="Z36" s="519">
        <v>17000000</v>
      </c>
      <c r="AA36" s="519">
        <v>234182700</v>
      </c>
      <c r="AB36" s="404"/>
    </row>
    <row r="37" spans="1:28" x14ac:dyDescent="0.25">
      <c r="A37" s="417"/>
      <c r="B37" s="418"/>
      <c r="C37" s="461"/>
      <c r="D37" s="418"/>
      <c r="E37" s="419" t="s">
        <v>81</v>
      </c>
      <c r="F37" s="420"/>
      <c r="G37" s="424">
        <v>13117000</v>
      </c>
      <c r="H37" s="424">
        <v>12179000</v>
      </c>
      <c r="I37" s="424">
        <v>8008845</v>
      </c>
      <c r="J37" s="424">
        <v>7118000</v>
      </c>
      <c r="K37" s="424">
        <v>5188000</v>
      </c>
      <c r="L37" s="424">
        <v>6322500</v>
      </c>
      <c r="M37" s="424">
        <v>10627000</v>
      </c>
      <c r="N37" s="424">
        <v>19532000</v>
      </c>
      <c r="O37" s="424">
        <v>11421000</v>
      </c>
      <c r="P37" s="498">
        <v>8463000</v>
      </c>
      <c r="Q37" s="490">
        <v>11327000</v>
      </c>
      <c r="R37" s="505">
        <v>12520000</v>
      </c>
      <c r="S37" s="425">
        <v>125823345</v>
      </c>
      <c r="T37" s="518">
        <v>320210600</v>
      </c>
      <c r="U37" s="423">
        <v>0.39293934991533697</v>
      </c>
      <c r="V37" s="426">
        <v>10485278.75</v>
      </c>
      <c r="W37" s="404"/>
      <c r="X37" s="404"/>
      <c r="Y37" s="519">
        <v>300210600</v>
      </c>
      <c r="Z37" s="519">
        <v>20000000</v>
      </c>
      <c r="AA37" s="519">
        <v>320210600</v>
      </c>
      <c r="AB37" s="404"/>
    </row>
    <row r="38" spans="1:28" x14ac:dyDescent="0.25">
      <c r="A38" s="417"/>
      <c r="B38" s="418"/>
      <c r="C38" s="461"/>
      <c r="D38" s="418"/>
      <c r="E38" s="419" t="s">
        <v>82</v>
      </c>
      <c r="F38" s="420"/>
      <c r="G38" s="424">
        <v>0</v>
      </c>
      <c r="H38" s="424">
        <v>70000</v>
      </c>
      <c r="I38" s="424">
        <v>0</v>
      </c>
      <c r="J38" s="424">
        <v>0</v>
      </c>
      <c r="K38" s="424">
        <v>0</v>
      </c>
      <c r="L38" s="424">
        <v>0</v>
      </c>
      <c r="M38" s="424">
        <v>800000</v>
      </c>
      <c r="N38" s="424">
        <v>0</v>
      </c>
      <c r="O38" s="424">
        <v>0</v>
      </c>
      <c r="P38" s="498">
        <v>0</v>
      </c>
      <c r="Q38" s="490">
        <v>0</v>
      </c>
      <c r="R38" s="505">
        <v>0</v>
      </c>
      <c r="S38" s="425">
        <v>870000</v>
      </c>
      <c r="T38" s="518">
        <v>0</v>
      </c>
      <c r="U38" s="423" t="e">
        <v>#DIV/0!</v>
      </c>
      <c r="V38" s="426">
        <v>72500</v>
      </c>
      <c r="W38" s="404"/>
      <c r="X38" s="404"/>
      <c r="Y38" s="519">
        <v>0</v>
      </c>
      <c r="Z38" s="519">
        <v>0</v>
      </c>
      <c r="AA38" s="519">
        <v>0</v>
      </c>
      <c r="AB38" s="404"/>
    </row>
    <row r="39" spans="1:28" ht="15.75" thickBot="1" x14ac:dyDescent="0.3">
      <c r="A39" s="417"/>
      <c r="B39" s="418"/>
      <c r="C39" s="461"/>
      <c r="D39" s="418"/>
      <c r="E39" s="430" t="s">
        <v>83</v>
      </c>
      <c r="F39" s="420"/>
      <c r="G39" s="424">
        <v>2885000</v>
      </c>
      <c r="H39" s="424">
        <v>6291000</v>
      </c>
      <c r="I39" s="424">
        <v>1180000</v>
      </c>
      <c r="J39" s="424">
        <v>1190000</v>
      </c>
      <c r="K39" s="424">
        <v>740000</v>
      </c>
      <c r="L39" s="424">
        <v>680000</v>
      </c>
      <c r="M39" s="424">
        <v>1955000</v>
      </c>
      <c r="N39" s="424">
        <v>4874000</v>
      </c>
      <c r="O39" s="424">
        <v>3014000</v>
      </c>
      <c r="P39" s="498">
        <v>448000</v>
      </c>
      <c r="Q39" s="490">
        <v>2940000</v>
      </c>
      <c r="R39" s="505">
        <v>1260000</v>
      </c>
      <c r="S39" s="425">
        <v>27457000</v>
      </c>
      <c r="T39" s="518">
        <v>35935000</v>
      </c>
      <c r="U39" s="423">
        <v>0.76407402254069845</v>
      </c>
      <c r="V39" s="426">
        <v>2288083.3333333335</v>
      </c>
      <c r="W39" s="404"/>
      <c r="X39" s="404"/>
      <c r="Y39" s="519">
        <v>32935000</v>
      </c>
      <c r="Z39" s="519">
        <v>3000000</v>
      </c>
      <c r="AA39" s="519">
        <v>35935000</v>
      </c>
      <c r="AB39" s="404"/>
    </row>
    <row r="40" spans="1:28" ht="15.75" thickBot="1" x14ac:dyDescent="0.3">
      <c r="A40" s="445"/>
      <c r="B40" s="446"/>
      <c r="C40" s="462"/>
      <c r="D40" s="446"/>
      <c r="E40" s="447"/>
      <c r="F40" s="448"/>
      <c r="G40" s="454">
        <v>30740500</v>
      </c>
      <c r="H40" s="454">
        <v>29304000</v>
      </c>
      <c r="I40" s="454">
        <v>23204845</v>
      </c>
      <c r="J40" s="454">
        <v>18255000</v>
      </c>
      <c r="K40" s="454">
        <v>14360500</v>
      </c>
      <c r="L40" s="454">
        <v>17750000</v>
      </c>
      <c r="M40" s="454">
        <v>25876500</v>
      </c>
      <c r="N40" s="454">
        <v>36265500</v>
      </c>
      <c r="O40" s="454">
        <v>19891000</v>
      </c>
      <c r="P40" s="454">
        <v>12256000</v>
      </c>
      <c r="Q40" s="496">
        <v>21545000</v>
      </c>
      <c r="R40" s="454">
        <v>23164500</v>
      </c>
      <c r="S40" s="525">
        <v>272613345</v>
      </c>
      <c r="T40" s="455">
        <v>590328300</v>
      </c>
      <c r="U40" s="451">
        <v>0.4617995528928564</v>
      </c>
      <c r="V40" s="454">
        <v>22717778.749999996</v>
      </c>
      <c r="W40" s="453"/>
      <c r="X40" s="453"/>
      <c r="Y40" s="521">
        <v>0</v>
      </c>
      <c r="Z40" s="521"/>
      <c r="AA40" s="519">
        <v>0</v>
      </c>
      <c r="AB40" s="521"/>
    </row>
    <row r="41" spans="1:28" x14ac:dyDescent="0.25">
      <c r="A41" s="410"/>
      <c r="B41" s="411"/>
      <c r="C41" s="460"/>
      <c r="D41" s="411"/>
      <c r="E41" s="412"/>
      <c r="F41" s="413"/>
      <c r="G41" s="414"/>
      <c r="H41" s="414"/>
      <c r="I41" s="414"/>
      <c r="J41" s="414"/>
      <c r="K41" s="414"/>
      <c r="L41" s="414"/>
      <c r="M41" s="414"/>
      <c r="N41" s="414"/>
      <c r="O41" s="414"/>
      <c r="P41" s="412"/>
      <c r="Q41" s="413"/>
      <c r="R41" s="411"/>
      <c r="S41" s="415"/>
      <c r="T41" s="415"/>
      <c r="U41" s="416"/>
      <c r="V41" s="415"/>
      <c r="W41" s="404"/>
      <c r="X41" s="404"/>
      <c r="Y41" s="519">
        <v>0</v>
      </c>
      <c r="Z41" s="404"/>
      <c r="AA41" s="519">
        <v>0</v>
      </c>
      <c r="AB41" s="404"/>
    </row>
    <row r="42" spans="1:28" x14ac:dyDescent="0.25">
      <c r="A42" s="417">
        <v>3</v>
      </c>
      <c r="B42" s="418" t="s">
        <v>23</v>
      </c>
      <c r="C42" s="461" t="s">
        <v>71</v>
      </c>
      <c r="D42" s="440" t="s">
        <v>59</v>
      </c>
      <c r="E42" s="419"/>
      <c r="F42" s="420" t="s">
        <v>26</v>
      </c>
      <c r="G42" s="421"/>
      <c r="H42" s="421"/>
      <c r="I42" s="421"/>
      <c r="J42" s="421"/>
      <c r="K42" s="421"/>
      <c r="L42" s="421"/>
      <c r="M42" s="421"/>
      <c r="N42" s="421"/>
      <c r="O42" s="421"/>
      <c r="P42" s="419"/>
      <c r="Q42" s="420"/>
      <c r="R42" s="418"/>
      <c r="S42" s="422"/>
      <c r="T42" s="514"/>
      <c r="U42" s="423"/>
      <c r="V42" s="422"/>
      <c r="W42" s="404"/>
      <c r="X42" s="404"/>
      <c r="Y42" s="519">
        <v>0</v>
      </c>
      <c r="Z42" s="404"/>
      <c r="AA42" s="519">
        <v>0</v>
      </c>
      <c r="AB42" s="404"/>
    </row>
    <row r="43" spans="1:28" x14ac:dyDescent="0.25">
      <c r="A43" s="417"/>
      <c r="B43" s="418"/>
      <c r="C43" s="461"/>
      <c r="D43" s="418"/>
      <c r="E43" s="419" t="s">
        <v>61</v>
      </c>
      <c r="F43" s="420" t="s">
        <v>30</v>
      </c>
      <c r="G43" s="424">
        <v>5870000</v>
      </c>
      <c r="H43" s="424">
        <v>4117000</v>
      </c>
      <c r="I43" s="424">
        <v>5080000</v>
      </c>
      <c r="J43" s="424">
        <v>5870000</v>
      </c>
      <c r="K43" s="424">
        <v>4453500</v>
      </c>
      <c r="L43" s="424">
        <v>4362500</v>
      </c>
      <c r="M43" s="424">
        <v>4703000</v>
      </c>
      <c r="N43" s="424">
        <v>3018000</v>
      </c>
      <c r="O43" s="424">
        <v>6973000</v>
      </c>
      <c r="P43" s="498">
        <v>4089000</v>
      </c>
      <c r="Q43" s="490">
        <v>8184000</v>
      </c>
      <c r="R43" s="505">
        <v>2761000</v>
      </c>
      <c r="S43" s="425">
        <v>59481000</v>
      </c>
      <c r="T43" s="518">
        <v>129857250</v>
      </c>
      <c r="U43" s="423">
        <v>0.45804912702217243</v>
      </c>
      <c r="V43" s="426">
        <v>4956750</v>
      </c>
      <c r="W43" s="404"/>
      <c r="X43" s="404"/>
      <c r="Y43" s="519">
        <v>122857250</v>
      </c>
      <c r="Z43" s="519">
        <v>7000000</v>
      </c>
      <c r="AA43" s="519">
        <v>129857250</v>
      </c>
      <c r="AB43" s="404"/>
    </row>
    <row r="44" spans="1:28" x14ac:dyDescent="0.25">
      <c r="A44" s="417"/>
      <c r="B44" s="418"/>
      <c r="C44" s="461"/>
      <c r="D44" s="418"/>
      <c r="E44" s="419" t="s">
        <v>63</v>
      </c>
      <c r="F44" s="420" t="s">
        <v>30</v>
      </c>
      <c r="G44" s="424">
        <v>7354000</v>
      </c>
      <c r="H44" s="424">
        <v>4903500</v>
      </c>
      <c r="I44" s="424">
        <v>5059000</v>
      </c>
      <c r="J44" s="424">
        <v>4845000</v>
      </c>
      <c r="K44" s="424">
        <v>4016500</v>
      </c>
      <c r="L44" s="424">
        <v>3603000</v>
      </c>
      <c r="M44" s="424">
        <v>5156000</v>
      </c>
      <c r="N44" s="424">
        <v>3101500</v>
      </c>
      <c r="O44" s="424">
        <v>7374500</v>
      </c>
      <c r="P44" s="498">
        <v>2500000</v>
      </c>
      <c r="Q44" s="490">
        <v>3765000</v>
      </c>
      <c r="R44" s="505">
        <v>1415000</v>
      </c>
      <c r="S44" s="425">
        <v>53093000</v>
      </c>
      <c r="T44" s="518">
        <v>102981098</v>
      </c>
      <c r="U44" s="423">
        <v>0.5155606323016676</v>
      </c>
      <c r="V44" s="426">
        <v>4424416.666666667</v>
      </c>
      <c r="W44" s="404"/>
      <c r="X44" s="404"/>
      <c r="Y44" s="519">
        <v>94981098</v>
      </c>
      <c r="Z44" s="519">
        <v>8000000</v>
      </c>
      <c r="AA44" s="519">
        <v>102981098</v>
      </c>
      <c r="AB44" s="404"/>
    </row>
    <row r="45" spans="1:28" x14ac:dyDescent="0.25">
      <c r="A45" s="417"/>
      <c r="B45" s="418"/>
      <c r="C45" s="461"/>
      <c r="D45" s="418"/>
      <c r="E45" s="419" t="s">
        <v>65</v>
      </c>
      <c r="F45" s="420" t="s">
        <v>30</v>
      </c>
      <c r="G45" s="424">
        <v>545000</v>
      </c>
      <c r="H45" s="424">
        <v>386000</v>
      </c>
      <c r="I45" s="424">
        <v>1200000</v>
      </c>
      <c r="J45" s="424">
        <v>555000</v>
      </c>
      <c r="K45" s="424">
        <v>1536000</v>
      </c>
      <c r="L45" s="424">
        <v>486000</v>
      </c>
      <c r="M45" s="424">
        <v>0</v>
      </c>
      <c r="N45" s="424">
        <v>700000</v>
      </c>
      <c r="O45" s="424">
        <v>0</v>
      </c>
      <c r="P45" s="498">
        <v>0</v>
      </c>
      <c r="Q45" s="490">
        <v>1630000</v>
      </c>
      <c r="R45" s="505">
        <v>2663000</v>
      </c>
      <c r="S45" s="425">
        <v>9701000</v>
      </c>
      <c r="T45" s="518">
        <v>62083600</v>
      </c>
      <c r="U45" s="423">
        <v>0.15625704694959699</v>
      </c>
      <c r="V45" s="426">
        <v>808416.66666666663</v>
      </c>
      <c r="W45" s="404"/>
      <c r="X45" s="404"/>
      <c r="Y45" s="519">
        <v>57083600</v>
      </c>
      <c r="Z45" s="519">
        <v>5000000</v>
      </c>
      <c r="AA45" s="519">
        <v>62083600</v>
      </c>
      <c r="AB45" s="404"/>
    </row>
    <row r="46" spans="1:28" x14ac:dyDescent="0.25">
      <c r="A46" s="417"/>
      <c r="B46" s="418"/>
      <c r="C46" s="461"/>
      <c r="D46" s="418"/>
      <c r="E46" s="419" t="s">
        <v>66</v>
      </c>
      <c r="F46" s="420"/>
      <c r="G46" s="424">
        <v>0</v>
      </c>
      <c r="H46" s="424">
        <v>0</v>
      </c>
      <c r="I46" s="424">
        <v>0</v>
      </c>
      <c r="J46" s="424">
        <v>0</v>
      </c>
      <c r="K46" s="424">
        <v>363500</v>
      </c>
      <c r="L46" s="424">
        <v>860000</v>
      </c>
      <c r="M46" s="424">
        <v>0</v>
      </c>
      <c r="N46" s="424">
        <v>0</v>
      </c>
      <c r="O46" s="424">
        <v>0</v>
      </c>
      <c r="P46" s="498">
        <v>0</v>
      </c>
      <c r="Q46" s="490">
        <v>0</v>
      </c>
      <c r="R46" s="505">
        <v>500000</v>
      </c>
      <c r="S46" s="425">
        <v>1723500</v>
      </c>
      <c r="T46" s="518">
        <v>0</v>
      </c>
      <c r="U46" s="423" t="e">
        <v>#DIV/0!</v>
      </c>
      <c r="V46" s="426">
        <v>143625</v>
      </c>
      <c r="W46" s="404"/>
      <c r="X46" s="404"/>
      <c r="Y46" s="519">
        <v>0</v>
      </c>
      <c r="Z46" s="519">
        <v>0</v>
      </c>
      <c r="AA46" s="519">
        <v>0</v>
      </c>
      <c r="AB46" s="404"/>
    </row>
    <row r="47" spans="1:28" x14ac:dyDescent="0.25">
      <c r="A47" s="417"/>
      <c r="B47" s="418"/>
      <c r="C47" s="461"/>
      <c r="D47" s="418"/>
      <c r="E47" s="419" t="s">
        <v>67</v>
      </c>
      <c r="F47" s="420"/>
      <c r="G47" s="424">
        <v>5844000</v>
      </c>
      <c r="H47" s="424">
        <v>5469000</v>
      </c>
      <c r="I47" s="424">
        <v>5090000</v>
      </c>
      <c r="J47" s="424">
        <v>6641000</v>
      </c>
      <c r="K47" s="424">
        <v>5498500</v>
      </c>
      <c r="L47" s="424">
        <v>5176000</v>
      </c>
      <c r="M47" s="424">
        <v>5386000</v>
      </c>
      <c r="N47" s="424">
        <v>3959000</v>
      </c>
      <c r="O47" s="424">
        <v>3346000</v>
      </c>
      <c r="P47" s="498">
        <v>425000</v>
      </c>
      <c r="Q47" s="490">
        <v>4054000</v>
      </c>
      <c r="R47" s="505">
        <v>1340000</v>
      </c>
      <c r="S47" s="425">
        <v>52228500</v>
      </c>
      <c r="T47" s="518">
        <v>103744899</v>
      </c>
      <c r="U47" s="423">
        <v>0.50343198078586981</v>
      </c>
      <c r="V47" s="426">
        <v>4352375</v>
      </c>
      <c r="W47" s="404"/>
      <c r="X47" s="404"/>
      <c r="Y47" s="519">
        <v>96744899</v>
      </c>
      <c r="Z47" s="519">
        <v>7000000</v>
      </c>
      <c r="AA47" s="519">
        <v>103744899</v>
      </c>
      <c r="AB47" s="404"/>
    </row>
    <row r="48" spans="1:28" x14ac:dyDescent="0.25">
      <c r="A48" s="417"/>
      <c r="B48" s="418"/>
      <c r="C48" s="461"/>
      <c r="D48" s="418"/>
      <c r="E48" s="419" t="s">
        <v>68</v>
      </c>
      <c r="F48" s="420"/>
      <c r="G48" s="424">
        <v>818000</v>
      </c>
      <c r="H48" s="424">
        <v>2358000</v>
      </c>
      <c r="I48" s="424">
        <v>0</v>
      </c>
      <c r="J48" s="424">
        <v>395000</v>
      </c>
      <c r="K48" s="424">
        <v>0</v>
      </c>
      <c r="L48" s="424">
        <v>0</v>
      </c>
      <c r="M48" s="424">
        <v>0</v>
      </c>
      <c r="N48" s="424">
        <v>573000</v>
      </c>
      <c r="O48" s="424">
        <v>0</v>
      </c>
      <c r="P48" s="498">
        <v>0</v>
      </c>
      <c r="Q48" s="490">
        <v>1500000</v>
      </c>
      <c r="R48" s="505">
        <v>455000</v>
      </c>
      <c r="S48" s="425">
        <v>6099000</v>
      </c>
      <c r="T48" s="518">
        <v>10226000</v>
      </c>
      <c r="U48" s="423">
        <v>0.59642088793272052</v>
      </c>
      <c r="V48" s="426">
        <v>508250</v>
      </c>
      <c r="W48" s="404"/>
      <c r="X48" s="404"/>
      <c r="Y48" s="519">
        <v>9176000</v>
      </c>
      <c r="Z48" s="519">
        <v>1050000</v>
      </c>
      <c r="AA48" s="519">
        <v>10226000</v>
      </c>
      <c r="AB48" s="404"/>
    </row>
    <row r="49" spans="1:28" x14ac:dyDescent="0.25">
      <c r="A49" s="417"/>
      <c r="B49" s="418"/>
      <c r="C49" s="461"/>
      <c r="D49" s="418"/>
      <c r="E49" s="419" t="s">
        <v>69</v>
      </c>
      <c r="F49" s="420"/>
      <c r="G49" s="424">
        <v>1864000</v>
      </c>
      <c r="H49" s="424">
        <v>245000</v>
      </c>
      <c r="I49" s="424">
        <v>1762000</v>
      </c>
      <c r="J49" s="424">
        <v>0</v>
      </c>
      <c r="K49" s="424">
        <v>0</v>
      </c>
      <c r="L49" s="424">
        <v>0</v>
      </c>
      <c r="M49" s="424">
        <v>0</v>
      </c>
      <c r="N49" s="424">
        <v>0</v>
      </c>
      <c r="O49" s="424">
        <v>0</v>
      </c>
      <c r="P49" s="498">
        <v>0</v>
      </c>
      <c r="Q49" s="490">
        <v>2900000</v>
      </c>
      <c r="R49" s="505">
        <v>0</v>
      </c>
      <c r="S49" s="425">
        <v>6771000</v>
      </c>
      <c r="T49" s="518">
        <v>18831800</v>
      </c>
      <c r="U49" s="423">
        <v>0.35955139710489703</v>
      </c>
      <c r="V49" s="426">
        <v>564250</v>
      </c>
      <c r="W49" s="404"/>
      <c r="X49" s="404"/>
      <c r="Y49" s="519">
        <v>16881800</v>
      </c>
      <c r="Z49" s="519">
        <v>1950000</v>
      </c>
      <c r="AA49" s="519">
        <v>18831800</v>
      </c>
      <c r="AB49" s="404"/>
    </row>
    <row r="50" spans="1:28" ht="15.75" thickBot="1" x14ac:dyDescent="0.3">
      <c r="A50" s="428"/>
      <c r="B50" s="429"/>
      <c r="C50" s="463"/>
      <c r="D50" s="429"/>
      <c r="E50" s="430" t="s">
        <v>70</v>
      </c>
      <c r="F50" s="431"/>
      <c r="G50" s="434">
        <v>0</v>
      </c>
      <c r="H50" s="434">
        <v>0</v>
      </c>
      <c r="I50" s="434">
        <v>0</v>
      </c>
      <c r="J50" s="434">
        <v>0</v>
      </c>
      <c r="K50" s="434">
        <v>0</v>
      </c>
      <c r="L50" s="434">
        <v>0</v>
      </c>
      <c r="M50" s="434">
        <v>118000</v>
      </c>
      <c r="N50" s="434">
        <v>0</v>
      </c>
      <c r="O50" s="434">
        <v>20000</v>
      </c>
      <c r="P50" s="499">
        <v>0</v>
      </c>
      <c r="Q50" s="493">
        <v>0</v>
      </c>
      <c r="R50" s="508">
        <v>364000</v>
      </c>
      <c r="S50" s="425">
        <v>502000</v>
      </c>
      <c r="T50" s="518">
        <v>0</v>
      </c>
      <c r="U50" s="423" t="e">
        <v>#DIV/0!</v>
      </c>
      <c r="V50" s="426">
        <v>41833.333333333336</v>
      </c>
      <c r="W50" s="404"/>
      <c r="X50" s="404"/>
      <c r="Y50" s="519">
        <v>0</v>
      </c>
      <c r="Z50" s="519">
        <v>0</v>
      </c>
      <c r="AA50" s="519">
        <v>0</v>
      </c>
      <c r="AB50" s="404"/>
    </row>
    <row r="51" spans="1:28" ht="15.75" thickBot="1" x14ac:dyDescent="0.3">
      <c r="A51" s="445"/>
      <c r="B51" s="446"/>
      <c r="C51" s="462"/>
      <c r="D51" s="446"/>
      <c r="E51" s="447"/>
      <c r="F51" s="448"/>
      <c r="G51" s="454">
        <v>22295000</v>
      </c>
      <c r="H51" s="454">
        <v>17478500</v>
      </c>
      <c r="I51" s="454">
        <v>18191000</v>
      </c>
      <c r="J51" s="454">
        <v>18306000</v>
      </c>
      <c r="K51" s="454">
        <v>15868000</v>
      </c>
      <c r="L51" s="454">
        <v>14487500</v>
      </c>
      <c r="M51" s="454">
        <v>15363000</v>
      </c>
      <c r="N51" s="454">
        <v>11351500</v>
      </c>
      <c r="O51" s="454">
        <v>17713500</v>
      </c>
      <c r="P51" s="454">
        <v>7014000</v>
      </c>
      <c r="Q51" s="496">
        <v>22033000</v>
      </c>
      <c r="R51" s="454">
        <v>9498000</v>
      </c>
      <c r="S51" s="455">
        <v>189599000</v>
      </c>
      <c r="T51" s="455">
        <v>427724647</v>
      </c>
      <c r="U51" s="451">
        <v>0.4432734969327124</v>
      </c>
      <c r="V51" s="455">
        <v>15799916.666666668</v>
      </c>
      <c r="W51" s="453"/>
      <c r="X51" s="453"/>
      <c r="Y51" s="521">
        <v>0</v>
      </c>
      <c r="Z51" s="521"/>
      <c r="AA51" s="519">
        <v>0</v>
      </c>
      <c r="AB51" s="521"/>
    </row>
    <row r="52" spans="1:28" x14ac:dyDescent="0.25">
      <c r="A52" s="410"/>
      <c r="B52" s="411"/>
      <c r="C52" s="460"/>
      <c r="D52" s="411"/>
      <c r="E52" s="412"/>
      <c r="F52" s="413"/>
      <c r="G52" s="435"/>
      <c r="H52" s="435"/>
      <c r="I52" s="435"/>
      <c r="J52" s="435"/>
      <c r="K52" s="435"/>
      <c r="L52" s="435"/>
      <c r="M52" s="435"/>
      <c r="N52" s="435"/>
      <c r="O52" s="435"/>
      <c r="P52" s="500"/>
      <c r="Q52" s="494"/>
      <c r="R52" s="509"/>
      <c r="S52" s="415"/>
      <c r="T52" s="415"/>
      <c r="U52" s="416"/>
      <c r="V52" s="415"/>
      <c r="W52" s="404"/>
      <c r="X52" s="404"/>
      <c r="Y52" s="519">
        <v>0</v>
      </c>
      <c r="Z52" s="404"/>
      <c r="AA52" s="519">
        <v>0</v>
      </c>
      <c r="AB52" s="404"/>
    </row>
    <row r="53" spans="1:28" x14ac:dyDescent="0.25">
      <c r="A53" s="417">
        <v>6</v>
      </c>
      <c r="B53" s="418" t="s">
        <v>23</v>
      </c>
      <c r="C53" s="461" t="s">
        <v>71</v>
      </c>
      <c r="D53" s="440" t="s">
        <v>197</v>
      </c>
      <c r="E53" s="419"/>
      <c r="F53" s="436" t="s">
        <v>26</v>
      </c>
      <c r="G53" s="421"/>
      <c r="H53" s="421"/>
      <c r="I53" s="421"/>
      <c r="J53" s="421"/>
      <c r="K53" s="421"/>
      <c r="L53" s="421"/>
      <c r="M53" s="421"/>
      <c r="N53" s="421"/>
      <c r="O53" s="421"/>
      <c r="P53" s="419"/>
      <c r="Q53" s="420"/>
      <c r="R53" s="418"/>
      <c r="S53" s="422"/>
      <c r="T53" s="514"/>
      <c r="U53" s="423"/>
      <c r="V53" s="422"/>
      <c r="W53" s="404"/>
      <c r="X53" s="404"/>
      <c r="Y53" s="519">
        <v>0</v>
      </c>
      <c r="Z53" s="404"/>
      <c r="AA53" s="519">
        <v>0</v>
      </c>
      <c r="AB53" s="404"/>
    </row>
    <row r="54" spans="1:28" x14ac:dyDescent="0.25">
      <c r="A54" s="417"/>
      <c r="B54" s="418"/>
      <c r="C54" s="461"/>
      <c r="D54" s="418"/>
      <c r="E54" s="419" t="s">
        <v>53</v>
      </c>
      <c r="F54" s="420" t="s">
        <v>30</v>
      </c>
      <c r="G54" s="424">
        <v>1980000</v>
      </c>
      <c r="H54" s="424">
        <v>2266000</v>
      </c>
      <c r="I54" s="424">
        <v>1655000</v>
      </c>
      <c r="J54" s="424">
        <v>1847000</v>
      </c>
      <c r="K54" s="424">
        <v>2954000</v>
      </c>
      <c r="L54" s="424">
        <v>2827000</v>
      </c>
      <c r="M54" s="424">
        <v>3184000</v>
      </c>
      <c r="N54" s="424">
        <v>3081000</v>
      </c>
      <c r="O54" s="424">
        <v>1505000</v>
      </c>
      <c r="P54" s="498">
        <v>400000</v>
      </c>
      <c r="Q54" s="490">
        <v>1570000</v>
      </c>
      <c r="R54" s="505">
        <v>3495000</v>
      </c>
      <c r="S54" s="425">
        <v>26764000</v>
      </c>
      <c r="T54" s="518">
        <v>45492500</v>
      </c>
      <c r="U54" s="423">
        <v>0.58831675550914986</v>
      </c>
      <c r="V54" s="426">
        <v>2230333.3333333335</v>
      </c>
      <c r="W54" s="404"/>
      <c r="X54" s="404"/>
      <c r="Y54" s="519">
        <v>42992500</v>
      </c>
      <c r="Z54" s="519">
        <v>2500000</v>
      </c>
      <c r="AA54" s="519">
        <v>45492500</v>
      </c>
      <c r="AB54" s="404"/>
    </row>
    <row r="55" spans="1:28" x14ac:dyDescent="0.25">
      <c r="A55" s="417"/>
      <c r="B55" s="418"/>
      <c r="C55" s="461"/>
      <c r="D55" s="418"/>
      <c r="E55" s="419" t="s">
        <v>54</v>
      </c>
      <c r="F55" s="420"/>
      <c r="G55" s="424">
        <v>6182000</v>
      </c>
      <c r="H55" s="424">
        <v>9137000</v>
      </c>
      <c r="I55" s="424">
        <v>6879000</v>
      </c>
      <c r="J55" s="424">
        <v>4270000</v>
      </c>
      <c r="K55" s="424">
        <v>10333000</v>
      </c>
      <c r="L55" s="424">
        <v>9311000</v>
      </c>
      <c r="M55" s="424">
        <v>7537000</v>
      </c>
      <c r="N55" s="424">
        <v>6263000</v>
      </c>
      <c r="O55" s="424">
        <v>2709000</v>
      </c>
      <c r="P55" s="498">
        <v>3090000</v>
      </c>
      <c r="Q55" s="490">
        <v>5471000</v>
      </c>
      <c r="R55" s="505">
        <v>10526000</v>
      </c>
      <c r="S55" s="425">
        <v>81708000</v>
      </c>
      <c r="T55" s="518">
        <v>121377900</v>
      </c>
      <c r="U55" s="423">
        <v>0.67317032178015934</v>
      </c>
      <c r="V55" s="426">
        <v>6809000</v>
      </c>
      <c r="W55" s="404"/>
      <c r="X55" s="404"/>
      <c r="Y55" s="519">
        <v>112377900</v>
      </c>
      <c r="Z55" s="519">
        <v>9000000</v>
      </c>
      <c r="AA55" s="519">
        <v>121377900</v>
      </c>
      <c r="AB55" s="404"/>
    </row>
    <row r="56" spans="1:28" ht="15.75" thickBot="1" x14ac:dyDescent="0.3">
      <c r="A56" s="428"/>
      <c r="B56" s="429"/>
      <c r="C56" s="463"/>
      <c r="D56" s="429"/>
      <c r="E56" s="430" t="s">
        <v>57</v>
      </c>
      <c r="F56" s="431"/>
      <c r="G56" s="432">
        <v>2030000</v>
      </c>
      <c r="H56" s="432">
        <v>3439000</v>
      </c>
      <c r="I56" s="432">
        <v>2659000</v>
      </c>
      <c r="J56" s="432">
        <v>3745000</v>
      </c>
      <c r="K56" s="432">
        <v>3510000</v>
      </c>
      <c r="L56" s="432">
        <v>2850000</v>
      </c>
      <c r="M56" s="432">
        <v>2728000</v>
      </c>
      <c r="N56" s="432">
        <v>1900000</v>
      </c>
      <c r="O56" s="432">
        <v>2950000</v>
      </c>
      <c r="P56" s="501">
        <v>4825000</v>
      </c>
      <c r="Q56" s="495">
        <v>4240000</v>
      </c>
      <c r="R56" s="510">
        <v>4915000</v>
      </c>
      <c r="S56" s="425">
        <v>39791000</v>
      </c>
      <c r="T56" s="518">
        <v>26763500</v>
      </c>
      <c r="U56" s="423">
        <v>1.4867636893530367</v>
      </c>
      <c r="V56" s="426">
        <v>3315916.6666666665</v>
      </c>
      <c r="W56" s="404"/>
      <c r="X56" s="404"/>
      <c r="Y56" s="519">
        <v>24763500</v>
      </c>
      <c r="Z56" s="519">
        <v>2000000</v>
      </c>
      <c r="AA56" s="519">
        <v>26763500</v>
      </c>
      <c r="AB56" s="404"/>
    </row>
    <row r="57" spans="1:28" ht="15.75" thickBot="1" x14ac:dyDescent="0.3">
      <c r="A57" s="445"/>
      <c r="B57" s="446"/>
      <c r="C57" s="462"/>
      <c r="D57" s="446"/>
      <c r="E57" s="447"/>
      <c r="F57" s="448"/>
      <c r="G57" s="454">
        <v>10192000</v>
      </c>
      <c r="H57" s="454">
        <v>14842000</v>
      </c>
      <c r="I57" s="454">
        <v>11193000</v>
      </c>
      <c r="J57" s="454">
        <v>9862000</v>
      </c>
      <c r="K57" s="454">
        <v>16797000</v>
      </c>
      <c r="L57" s="454">
        <v>14988000</v>
      </c>
      <c r="M57" s="454">
        <v>13449000</v>
      </c>
      <c r="N57" s="454">
        <v>11244000</v>
      </c>
      <c r="O57" s="454">
        <v>7164000</v>
      </c>
      <c r="P57" s="454">
        <v>8315000</v>
      </c>
      <c r="Q57" s="454">
        <v>11281000</v>
      </c>
      <c r="R57" s="454">
        <v>18936000</v>
      </c>
      <c r="S57" s="454">
        <v>148263000</v>
      </c>
      <c r="T57" s="454">
        <v>193633900</v>
      </c>
      <c r="U57" s="451">
        <v>0.76568720663065715</v>
      </c>
      <c r="V57" s="455">
        <v>12355250</v>
      </c>
      <c r="W57" s="453"/>
      <c r="X57" s="453"/>
      <c r="Y57" s="521">
        <v>0</v>
      </c>
      <c r="Z57" s="521"/>
      <c r="AA57" s="519">
        <v>0</v>
      </c>
      <c r="AB57" s="521"/>
    </row>
    <row r="58" spans="1:28" x14ac:dyDescent="0.25">
      <c r="A58" s="417">
        <v>6</v>
      </c>
      <c r="B58" s="418" t="s">
        <v>23</v>
      </c>
      <c r="C58" s="461" t="s">
        <v>78</v>
      </c>
      <c r="D58" s="440" t="s">
        <v>198</v>
      </c>
      <c r="E58" s="419"/>
      <c r="F58" s="436" t="s">
        <v>26</v>
      </c>
      <c r="G58" s="421"/>
      <c r="H58" s="421"/>
      <c r="I58" s="421"/>
      <c r="J58" s="421"/>
      <c r="K58" s="421"/>
      <c r="L58" s="421"/>
      <c r="M58" s="421"/>
      <c r="N58" s="421"/>
      <c r="O58" s="421"/>
      <c r="P58" s="419"/>
      <c r="Q58" s="420"/>
      <c r="R58" s="418"/>
      <c r="S58" s="422"/>
      <c r="T58" s="514"/>
      <c r="U58" s="423"/>
      <c r="V58" s="422"/>
      <c r="W58" s="404"/>
      <c r="X58" s="404"/>
      <c r="Y58" s="519">
        <v>0</v>
      </c>
      <c r="Z58" s="404"/>
      <c r="AA58" s="519">
        <v>0</v>
      </c>
      <c r="AB58" s="404"/>
    </row>
    <row r="59" spans="1:28" x14ac:dyDescent="0.25">
      <c r="A59" s="428"/>
      <c r="B59" s="429"/>
      <c r="C59" s="463"/>
      <c r="D59" s="429"/>
      <c r="E59" s="430" t="s">
        <v>56</v>
      </c>
      <c r="F59" s="431"/>
      <c r="G59" s="434">
        <v>2008000</v>
      </c>
      <c r="H59" s="434">
        <v>2421000</v>
      </c>
      <c r="I59" s="434">
        <v>4192000</v>
      </c>
      <c r="J59" s="434">
        <v>784500</v>
      </c>
      <c r="K59" s="434">
        <v>3566500</v>
      </c>
      <c r="L59" s="434">
        <v>5071000</v>
      </c>
      <c r="M59" s="434">
        <v>1828700</v>
      </c>
      <c r="N59" s="434">
        <v>3548500</v>
      </c>
      <c r="O59" s="434">
        <v>2267000</v>
      </c>
      <c r="P59" s="499">
        <v>5082000</v>
      </c>
      <c r="Q59" s="493">
        <v>1731000</v>
      </c>
      <c r="R59" s="508">
        <v>1730000</v>
      </c>
      <c r="S59" s="425">
        <v>34230200</v>
      </c>
      <c r="T59" s="518">
        <v>35400550</v>
      </c>
      <c r="U59" s="423">
        <v>0.96693977918422169</v>
      </c>
      <c r="V59" s="426">
        <v>2852516.6666666665</v>
      </c>
      <c r="W59" s="404"/>
      <c r="X59" s="404"/>
      <c r="Y59" s="519">
        <v>32900550</v>
      </c>
      <c r="Z59" s="519">
        <v>2500000</v>
      </c>
      <c r="AA59" s="519">
        <v>35400550</v>
      </c>
      <c r="AB59" s="404"/>
    </row>
    <row r="60" spans="1:28" ht="15.75" thickBot="1" x14ac:dyDescent="0.3">
      <c r="A60" s="417"/>
      <c r="B60" s="418"/>
      <c r="C60" s="461"/>
      <c r="D60" s="418"/>
      <c r="E60" s="419" t="s">
        <v>55</v>
      </c>
      <c r="F60" s="420"/>
      <c r="G60" s="424">
        <v>3497700</v>
      </c>
      <c r="H60" s="424">
        <v>4747500</v>
      </c>
      <c r="I60" s="424">
        <v>3379000</v>
      </c>
      <c r="J60" s="424">
        <v>1645000</v>
      </c>
      <c r="K60" s="424">
        <v>2755000</v>
      </c>
      <c r="L60" s="424">
        <v>2882000</v>
      </c>
      <c r="M60" s="424">
        <v>3061000</v>
      </c>
      <c r="N60" s="424">
        <v>4350000</v>
      </c>
      <c r="O60" s="424">
        <v>2068000</v>
      </c>
      <c r="P60" s="498">
        <v>137000</v>
      </c>
      <c r="Q60" s="490">
        <v>1199500</v>
      </c>
      <c r="R60" s="505">
        <v>3014000</v>
      </c>
      <c r="S60" s="425">
        <v>32735700</v>
      </c>
      <c r="T60" s="518">
        <v>45224200</v>
      </c>
      <c r="U60" s="423">
        <v>0.72385360050592384</v>
      </c>
      <c r="V60" s="426">
        <v>2727975</v>
      </c>
      <c r="W60" s="404"/>
      <c r="X60" s="404"/>
      <c r="Y60" s="519">
        <v>41224200</v>
      </c>
      <c r="Z60" s="519">
        <v>4000000</v>
      </c>
      <c r="AA60" s="519">
        <v>45224200</v>
      </c>
      <c r="AB60" s="404"/>
    </row>
    <row r="61" spans="1:28" ht="15.75" thickBot="1" x14ac:dyDescent="0.3">
      <c r="A61" s="445"/>
      <c r="B61" s="446"/>
      <c r="C61" s="462"/>
      <c r="D61" s="446"/>
      <c r="E61" s="447"/>
      <c r="F61" s="448"/>
      <c r="G61" s="484">
        <v>5505700</v>
      </c>
      <c r="H61" s="484">
        <v>7168500</v>
      </c>
      <c r="I61" s="484">
        <v>7571000</v>
      </c>
      <c r="J61" s="484">
        <v>2429500</v>
      </c>
      <c r="K61" s="484">
        <v>6321500</v>
      </c>
      <c r="L61" s="484">
        <v>7953000</v>
      </c>
      <c r="M61" s="484">
        <v>4889700</v>
      </c>
      <c r="N61" s="484">
        <v>7898500</v>
      </c>
      <c r="O61" s="484">
        <v>4335000</v>
      </c>
      <c r="P61" s="484">
        <v>5219000</v>
      </c>
      <c r="Q61" s="484">
        <v>2930500</v>
      </c>
      <c r="R61" s="484">
        <v>4744000</v>
      </c>
      <c r="S61" s="484">
        <v>66965900</v>
      </c>
      <c r="T61" s="484">
        <v>80624750</v>
      </c>
      <c r="U61" s="451">
        <v>0.83058738166629975</v>
      </c>
      <c r="V61" s="450">
        <v>5580491.666666666</v>
      </c>
      <c r="W61" s="453"/>
      <c r="X61" s="453"/>
      <c r="Y61" s="521">
        <v>0</v>
      </c>
      <c r="Z61" s="521"/>
      <c r="AA61" s="519">
        <v>0</v>
      </c>
      <c r="AB61" s="521"/>
    </row>
    <row r="62" spans="1:28" ht="15.75" thickBot="1" x14ac:dyDescent="0.3">
      <c r="A62" s="456"/>
      <c r="B62" s="472"/>
      <c r="C62" s="473"/>
      <c r="D62" s="472"/>
      <c r="E62" s="474"/>
      <c r="F62" s="457"/>
      <c r="G62" s="475">
        <v>85587700</v>
      </c>
      <c r="H62" s="475">
        <v>88459500</v>
      </c>
      <c r="I62" s="475">
        <v>73966345</v>
      </c>
      <c r="J62" s="475">
        <v>60491000</v>
      </c>
      <c r="K62" s="475">
        <v>73705500</v>
      </c>
      <c r="L62" s="475">
        <v>68559000</v>
      </c>
      <c r="M62" s="475">
        <v>78639700</v>
      </c>
      <c r="N62" s="475">
        <v>83066000</v>
      </c>
      <c r="O62" s="475">
        <v>66213500</v>
      </c>
      <c r="P62" s="475">
        <v>44787500</v>
      </c>
      <c r="Q62" s="475">
        <v>77674000</v>
      </c>
      <c r="R62" s="475">
        <v>62670500</v>
      </c>
      <c r="S62" s="475">
        <v>863820245</v>
      </c>
      <c r="T62" s="475">
        <v>1501746887</v>
      </c>
      <c r="U62" s="481">
        <v>0.57521027842823158</v>
      </c>
      <c r="V62" s="475">
        <v>71985020.416666672</v>
      </c>
      <c r="W62" s="453"/>
      <c r="X62" s="453"/>
      <c r="Y62" s="521">
        <v>0</v>
      </c>
      <c r="Z62" s="521"/>
      <c r="AA62" s="519">
        <v>0</v>
      </c>
      <c r="AB62" s="521"/>
    </row>
    <row r="63" spans="1:28" x14ac:dyDescent="0.25">
      <c r="A63" s="410">
        <v>7</v>
      </c>
      <c r="B63" s="411"/>
      <c r="C63" s="460"/>
      <c r="D63" s="440" t="s">
        <v>199</v>
      </c>
      <c r="E63" s="412"/>
      <c r="F63" s="414"/>
      <c r="G63" s="414"/>
      <c r="H63" s="414"/>
      <c r="I63" s="414"/>
      <c r="J63" s="414"/>
      <c r="K63" s="414"/>
      <c r="L63" s="414"/>
      <c r="M63" s="414"/>
      <c r="N63" s="414"/>
      <c r="O63" s="414"/>
      <c r="P63" s="412"/>
      <c r="Q63" s="413"/>
      <c r="R63" s="411"/>
      <c r="S63" s="425"/>
      <c r="T63" s="515"/>
      <c r="U63" s="423"/>
      <c r="V63" s="425"/>
      <c r="W63" s="404"/>
      <c r="X63" s="404"/>
      <c r="Y63" s="519">
        <v>0</v>
      </c>
      <c r="Z63" s="404"/>
      <c r="AA63" s="519">
        <v>0</v>
      </c>
      <c r="AB63" s="404"/>
    </row>
    <row r="64" spans="1:28" x14ac:dyDescent="0.25">
      <c r="A64" s="410"/>
      <c r="B64" s="411"/>
      <c r="C64" s="460"/>
      <c r="D64" s="488"/>
      <c r="E64" s="419" t="s">
        <v>85</v>
      </c>
      <c r="F64" s="414"/>
      <c r="G64" s="424">
        <v>3800000</v>
      </c>
      <c r="H64" s="424">
        <v>1000000</v>
      </c>
      <c r="I64" s="424">
        <v>700000</v>
      </c>
      <c r="J64" s="424">
        <v>1400000</v>
      </c>
      <c r="K64" s="424">
        <v>1020000</v>
      </c>
      <c r="L64" s="424">
        <v>0</v>
      </c>
      <c r="M64" s="424">
        <v>2250000</v>
      </c>
      <c r="N64" s="424">
        <v>0</v>
      </c>
      <c r="O64" s="424">
        <v>0</v>
      </c>
      <c r="P64" s="498">
        <v>1000000</v>
      </c>
      <c r="Q64" s="490">
        <v>2350000</v>
      </c>
      <c r="R64" s="505">
        <v>1350000</v>
      </c>
      <c r="S64" s="425">
        <v>14870000</v>
      </c>
      <c r="T64" s="518">
        <v>11400000</v>
      </c>
      <c r="U64" s="423">
        <v>1.3043859649122806</v>
      </c>
      <c r="V64" s="426">
        <v>1239166.6666666667</v>
      </c>
      <c r="W64" s="404"/>
      <c r="X64" s="404"/>
      <c r="Y64" s="519">
        <v>10600000</v>
      </c>
      <c r="Z64" s="519">
        <v>800000</v>
      </c>
      <c r="AA64" s="519">
        <v>11400000</v>
      </c>
      <c r="AB64" s="404"/>
    </row>
    <row r="65" spans="1:27" x14ac:dyDescent="0.25">
      <c r="A65" s="428"/>
      <c r="B65" s="429"/>
      <c r="C65" s="463"/>
      <c r="D65" s="429"/>
      <c r="E65" s="419" t="s">
        <v>86</v>
      </c>
      <c r="F65" s="431"/>
      <c r="G65" s="434">
        <v>0</v>
      </c>
      <c r="H65" s="434">
        <v>0</v>
      </c>
      <c r="I65" s="434">
        <v>13253000</v>
      </c>
      <c r="J65" s="434">
        <v>2685000</v>
      </c>
      <c r="K65" s="434">
        <v>3000000</v>
      </c>
      <c r="L65" s="434">
        <v>0</v>
      </c>
      <c r="M65" s="434">
        <v>1350000</v>
      </c>
      <c r="N65" s="434">
        <v>5346150</v>
      </c>
      <c r="O65" s="434">
        <v>0</v>
      </c>
      <c r="P65" s="499">
        <v>6600000</v>
      </c>
      <c r="Q65" s="493">
        <v>6800000</v>
      </c>
      <c r="R65" s="508">
        <v>11636000</v>
      </c>
      <c r="S65" s="425">
        <v>50670150</v>
      </c>
      <c r="T65" s="518">
        <v>66000000</v>
      </c>
      <c r="U65" s="423">
        <v>0.76772954545454541</v>
      </c>
      <c r="V65" s="426">
        <v>4222512.5</v>
      </c>
      <c r="W65" s="404"/>
      <c r="X65" s="404"/>
      <c r="Y65" s="519">
        <v>62750000</v>
      </c>
      <c r="Z65" s="519">
        <v>3250000</v>
      </c>
      <c r="AA65" s="519">
        <v>66000000</v>
      </c>
    </row>
    <row r="66" spans="1:27" x14ac:dyDescent="0.25">
      <c r="A66" s="428"/>
      <c r="B66" s="429"/>
      <c r="C66" s="463"/>
      <c r="D66" s="429"/>
      <c r="E66" s="430" t="s">
        <v>167</v>
      </c>
      <c r="F66" s="431"/>
      <c r="G66" s="434">
        <v>0</v>
      </c>
      <c r="H66" s="434">
        <v>0</v>
      </c>
      <c r="I66" s="434">
        <v>4640000</v>
      </c>
      <c r="J66" s="434">
        <v>0</v>
      </c>
      <c r="K66" s="434">
        <v>0</v>
      </c>
      <c r="L66" s="434">
        <v>0</v>
      </c>
      <c r="M66" s="434">
        <v>2178825</v>
      </c>
      <c r="N66" s="434">
        <v>4442250</v>
      </c>
      <c r="O66" s="434">
        <v>0</v>
      </c>
      <c r="P66" s="499">
        <v>0</v>
      </c>
      <c r="Q66" s="493">
        <v>0</v>
      </c>
      <c r="R66" s="508">
        <v>0</v>
      </c>
      <c r="S66" s="425">
        <v>11261075</v>
      </c>
      <c r="T66" s="518">
        <v>16400000</v>
      </c>
      <c r="U66" s="423">
        <v>0.68665091463414629</v>
      </c>
      <c r="V66" s="426">
        <v>938422.91666666663</v>
      </c>
      <c r="W66" s="404"/>
      <c r="X66" s="404"/>
      <c r="Y66" s="519">
        <v>15600000</v>
      </c>
      <c r="Z66" s="519">
        <v>800000</v>
      </c>
      <c r="AA66" s="519">
        <v>16400000</v>
      </c>
    </row>
    <row r="67" spans="1:27" x14ac:dyDescent="0.25">
      <c r="A67" s="417"/>
      <c r="B67" s="418"/>
      <c r="C67" s="461"/>
      <c r="D67" s="418"/>
      <c r="E67" s="430" t="s">
        <v>87</v>
      </c>
      <c r="F67" s="420"/>
      <c r="G67" s="424">
        <v>550000</v>
      </c>
      <c r="H67" s="424">
        <v>0</v>
      </c>
      <c r="I67" s="424">
        <v>0</v>
      </c>
      <c r="J67" s="424">
        <v>880000</v>
      </c>
      <c r="K67" s="424">
        <v>3977100</v>
      </c>
      <c r="L67" s="424">
        <v>0</v>
      </c>
      <c r="M67" s="424">
        <v>4454800</v>
      </c>
      <c r="N67" s="424">
        <v>0</v>
      </c>
      <c r="O67" s="424">
        <v>1650000</v>
      </c>
      <c r="P67" s="498">
        <v>1000000</v>
      </c>
      <c r="Q67" s="490">
        <v>4157700</v>
      </c>
      <c r="R67" s="505">
        <v>8589700</v>
      </c>
      <c r="S67" s="425">
        <v>25259300</v>
      </c>
      <c r="T67" s="518">
        <v>1200000</v>
      </c>
      <c r="U67" s="423">
        <v>21.049416666666666</v>
      </c>
      <c r="V67" s="426">
        <v>2104941.6666666665</v>
      </c>
      <c r="W67" s="404"/>
      <c r="X67" s="404"/>
      <c r="Y67" s="519">
        <v>1050000</v>
      </c>
      <c r="Z67" s="519">
        <v>150000</v>
      </c>
      <c r="AA67" s="519">
        <v>1200000</v>
      </c>
    </row>
    <row r="68" spans="1:27" ht="15.75" thickBot="1" x14ac:dyDescent="0.3">
      <c r="A68" s="410"/>
      <c r="B68" s="411"/>
      <c r="C68" s="460"/>
      <c r="D68" s="404"/>
      <c r="E68" s="513" t="s">
        <v>94</v>
      </c>
      <c r="F68" s="414"/>
      <c r="G68" s="424">
        <v>0</v>
      </c>
      <c r="H68" s="424">
        <v>0</v>
      </c>
      <c r="I68" s="424">
        <v>0</v>
      </c>
      <c r="J68" s="424">
        <v>0</v>
      </c>
      <c r="K68" s="424">
        <v>0</v>
      </c>
      <c r="L68" s="424">
        <v>0</v>
      </c>
      <c r="M68" s="424">
        <v>120000</v>
      </c>
      <c r="N68" s="424">
        <v>75000</v>
      </c>
      <c r="O68" s="424">
        <v>0</v>
      </c>
      <c r="P68" s="498">
        <v>17300</v>
      </c>
      <c r="Q68" s="490">
        <v>0</v>
      </c>
      <c r="R68" s="505">
        <v>0</v>
      </c>
      <c r="S68" s="425">
        <v>212300</v>
      </c>
      <c r="T68" s="518">
        <v>0</v>
      </c>
      <c r="U68" s="423" t="e">
        <v>#DIV/0!</v>
      </c>
      <c r="V68" s="426">
        <v>17691.666666666668</v>
      </c>
      <c r="W68" s="404"/>
      <c r="X68" s="404"/>
      <c r="Y68" s="519">
        <v>0</v>
      </c>
      <c r="Z68" s="519">
        <v>0</v>
      </c>
      <c r="AA68" s="519">
        <v>0</v>
      </c>
    </row>
    <row r="69" spans="1:27" ht="15.75" thickBot="1" x14ac:dyDescent="0.3">
      <c r="A69" s="456"/>
      <c r="B69" s="472"/>
      <c r="C69" s="473"/>
      <c r="D69" s="472"/>
      <c r="E69" s="474"/>
      <c r="F69" s="457"/>
      <c r="G69" s="478">
        <v>4350000</v>
      </c>
      <c r="H69" s="478">
        <v>1000000</v>
      </c>
      <c r="I69" s="478">
        <v>18593000</v>
      </c>
      <c r="J69" s="478">
        <v>4965000</v>
      </c>
      <c r="K69" s="478">
        <v>7997100</v>
      </c>
      <c r="L69" s="478">
        <v>0</v>
      </c>
      <c r="M69" s="478">
        <v>10353625</v>
      </c>
      <c r="N69" s="478">
        <v>9863400</v>
      </c>
      <c r="O69" s="478">
        <v>1650000</v>
      </c>
      <c r="P69" s="478">
        <v>8617300</v>
      </c>
      <c r="Q69" s="478">
        <v>13307700</v>
      </c>
      <c r="R69" s="478">
        <v>21575700</v>
      </c>
      <c r="S69" s="478">
        <v>102272825</v>
      </c>
      <c r="T69" s="478">
        <v>95000000</v>
      </c>
      <c r="U69" s="481">
        <v>1.0765560526315789</v>
      </c>
      <c r="V69" s="478">
        <v>8522735.416666666</v>
      </c>
      <c r="W69" s="485" t="s">
        <v>34</v>
      </c>
      <c r="X69" s="404"/>
      <c r="Y69" s="519">
        <v>0</v>
      </c>
      <c r="Z69" s="404"/>
      <c r="AA69" s="519">
        <v>0</v>
      </c>
    </row>
    <row r="70" spans="1:27" x14ac:dyDescent="0.25">
      <c r="A70" s="410">
        <v>8</v>
      </c>
      <c r="B70" s="411"/>
      <c r="C70" s="460"/>
      <c r="D70" s="440" t="s">
        <v>200</v>
      </c>
      <c r="E70" s="412"/>
      <c r="F70" s="414"/>
      <c r="G70" s="414"/>
      <c r="H70" s="414"/>
      <c r="I70" s="414"/>
      <c r="J70" s="414"/>
      <c r="K70" s="414"/>
      <c r="L70" s="414"/>
      <c r="M70" s="414"/>
      <c r="N70" s="414"/>
      <c r="O70" s="414"/>
      <c r="P70" s="412"/>
      <c r="Q70" s="413"/>
      <c r="R70" s="411"/>
      <c r="S70" s="425"/>
      <c r="T70" s="515"/>
      <c r="U70" s="423"/>
      <c r="V70" s="425"/>
      <c r="W70" s="404"/>
      <c r="X70" s="404"/>
      <c r="Y70" s="519">
        <v>0</v>
      </c>
      <c r="Z70" s="404"/>
      <c r="AA70" s="519">
        <v>0</v>
      </c>
    </row>
    <row r="71" spans="1:27" x14ac:dyDescent="0.25">
      <c r="A71" s="410"/>
      <c r="B71" s="411"/>
      <c r="C71" s="460"/>
      <c r="D71" s="418"/>
      <c r="E71" s="430" t="s">
        <v>91</v>
      </c>
      <c r="F71" s="413"/>
      <c r="G71" s="424">
        <v>0</v>
      </c>
      <c r="H71" s="424">
        <v>1050000</v>
      </c>
      <c r="I71" s="424">
        <v>0</v>
      </c>
      <c r="J71" s="424">
        <v>0</v>
      </c>
      <c r="K71" s="424">
        <v>0</v>
      </c>
      <c r="L71" s="424">
        <v>0</v>
      </c>
      <c r="M71" s="512">
        <v>1050000</v>
      </c>
      <c r="N71" s="424">
        <v>0</v>
      </c>
      <c r="O71" s="424">
        <v>0</v>
      </c>
      <c r="P71" s="498">
        <v>0</v>
      </c>
      <c r="Q71" s="490">
        <v>0</v>
      </c>
      <c r="R71" s="505">
        <v>1050000</v>
      </c>
      <c r="S71" s="425">
        <v>3150000</v>
      </c>
      <c r="T71" s="518">
        <v>4600000</v>
      </c>
      <c r="U71" s="423">
        <v>0.68478260869565222</v>
      </c>
      <c r="V71" s="426">
        <v>262500</v>
      </c>
      <c r="W71" s="404"/>
      <c r="X71" s="404"/>
      <c r="Y71" s="519">
        <v>4250000</v>
      </c>
      <c r="Z71" s="519">
        <v>350000</v>
      </c>
      <c r="AA71" s="519">
        <v>4600000</v>
      </c>
    </row>
    <row r="72" spans="1:27" x14ac:dyDescent="0.25">
      <c r="A72" s="410"/>
      <c r="B72" s="411"/>
      <c r="C72" s="460"/>
      <c r="D72" s="418"/>
      <c r="E72" s="430" t="s">
        <v>168</v>
      </c>
      <c r="F72" s="413"/>
      <c r="G72" s="424">
        <v>0</v>
      </c>
      <c r="H72" s="424">
        <v>0</v>
      </c>
      <c r="I72" s="424">
        <v>9550000</v>
      </c>
      <c r="J72" s="424">
        <v>6900000</v>
      </c>
      <c r="K72" s="424">
        <v>8400000</v>
      </c>
      <c r="L72" s="424">
        <v>600000</v>
      </c>
      <c r="M72" s="424">
        <v>0</v>
      </c>
      <c r="N72" s="424">
        <v>0</v>
      </c>
      <c r="O72" s="424">
        <v>0</v>
      </c>
      <c r="P72" s="498">
        <v>3900000</v>
      </c>
      <c r="Q72" s="490">
        <v>19500000</v>
      </c>
      <c r="R72" s="505">
        <v>0</v>
      </c>
      <c r="S72" s="425">
        <v>48850000</v>
      </c>
      <c r="T72" s="518">
        <v>47300000</v>
      </c>
      <c r="U72" s="423">
        <v>1.03276955602537</v>
      </c>
      <c r="V72" s="426">
        <v>4070833.3333333335</v>
      </c>
      <c r="W72" s="404"/>
      <c r="X72" s="404"/>
      <c r="Y72" s="519">
        <v>44300000</v>
      </c>
      <c r="Z72" s="519">
        <v>3000000</v>
      </c>
      <c r="AA72" s="519">
        <v>47300000</v>
      </c>
    </row>
    <row r="73" spans="1:27" x14ac:dyDescent="0.25">
      <c r="A73" s="410"/>
      <c r="B73" s="411"/>
      <c r="C73" s="460"/>
      <c r="D73" s="418"/>
      <c r="E73" s="430" t="s">
        <v>169</v>
      </c>
      <c r="F73" s="413"/>
      <c r="G73" s="424">
        <v>10800000</v>
      </c>
      <c r="H73" s="424">
        <v>0</v>
      </c>
      <c r="I73" s="424">
        <v>21000000</v>
      </c>
      <c r="J73" s="424">
        <v>2100000</v>
      </c>
      <c r="K73" s="424">
        <v>0</v>
      </c>
      <c r="L73" s="424">
        <v>0</v>
      </c>
      <c r="M73" s="424">
        <v>0</v>
      </c>
      <c r="N73" s="424">
        <v>0</v>
      </c>
      <c r="O73" s="424">
        <v>10800000</v>
      </c>
      <c r="P73" s="498">
        <v>6600000</v>
      </c>
      <c r="Q73" s="490">
        <v>10800000</v>
      </c>
      <c r="R73" s="505">
        <v>0</v>
      </c>
      <c r="S73" s="425">
        <v>62100000</v>
      </c>
      <c r="T73" s="518">
        <v>97000000</v>
      </c>
      <c r="U73" s="423">
        <v>0.64020618556701026</v>
      </c>
      <c r="V73" s="426">
        <v>5175000</v>
      </c>
      <c r="W73" s="404"/>
      <c r="X73" s="404"/>
      <c r="Y73" s="519">
        <v>88000000</v>
      </c>
      <c r="Z73" s="519">
        <v>9000000</v>
      </c>
      <c r="AA73" s="519">
        <v>97000000</v>
      </c>
    </row>
    <row r="74" spans="1:27" x14ac:dyDescent="0.25">
      <c r="A74" s="410"/>
      <c r="B74" s="411"/>
      <c r="C74" s="460"/>
      <c r="D74" s="418"/>
      <c r="E74" s="430" t="s">
        <v>201</v>
      </c>
      <c r="F74" s="413"/>
      <c r="G74" s="424">
        <v>0</v>
      </c>
      <c r="H74" s="424">
        <v>0</v>
      </c>
      <c r="I74" s="424">
        <v>20276000</v>
      </c>
      <c r="J74" s="424">
        <v>22352000</v>
      </c>
      <c r="K74" s="424">
        <v>2750000</v>
      </c>
      <c r="L74" s="424">
        <v>0</v>
      </c>
      <c r="M74" s="424">
        <v>0</v>
      </c>
      <c r="N74" s="424">
        <v>9900000</v>
      </c>
      <c r="O74" s="424">
        <v>12950000</v>
      </c>
      <c r="P74" s="498">
        <v>12375000</v>
      </c>
      <c r="Q74" s="490">
        <v>11050000</v>
      </c>
      <c r="R74" s="505">
        <v>0</v>
      </c>
      <c r="S74" s="425">
        <v>91653000</v>
      </c>
      <c r="T74" s="518">
        <v>81500000</v>
      </c>
      <c r="U74" s="423">
        <v>1.1245766871165643</v>
      </c>
      <c r="V74" s="426">
        <v>7637750</v>
      </c>
      <c r="W74" s="404"/>
      <c r="X74" s="404"/>
      <c r="Y74" s="519">
        <v>75000000</v>
      </c>
      <c r="Z74" s="519">
        <v>6500000</v>
      </c>
      <c r="AA74" s="519">
        <v>81500000</v>
      </c>
    </row>
    <row r="75" spans="1:27" x14ac:dyDescent="0.25">
      <c r="A75" s="410"/>
      <c r="B75" s="411"/>
      <c r="C75" s="460"/>
      <c r="D75" s="418"/>
      <c r="E75" s="430" t="s">
        <v>202</v>
      </c>
      <c r="F75" s="413"/>
      <c r="G75" s="424">
        <v>0</v>
      </c>
      <c r="H75" s="424">
        <v>9000000</v>
      </c>
      <c r="I75" s="424">
        <v>0</v>
      </c>
      <c r="J75" s="424">
        <v>0</v>
      </c>
      <c r="K75" s="424">
        <v>0</v>
      </c>
      <c r="L75" s="424">
        <v>0</v>
      </c>
      <c r="M75" s="424">
        <v>0</v>
      </c>
      <c r="N75" s="424">
        <v>0</v>
      </c>
      <c r="O75" s="424">
        <v>0</v>
      </c>
      <c r="P75" s="498">
        <v>5950000</v>
      </c>
      <c r="Q75" s="490">
        <v>3000000</v>
      </c>
      <c r="R75" s="505">
        <v>0</v>
      </c>
      <c r="S75" s="425">
        <v>17950000</v>
      </c>
      <c r="T75" s="518">
        <v>42000000</v>
      </c>
      <c r="U75" s="423">
        <v>0.42738095238095236</v>
      </c>
      <c r="V75" s="426">
        <v>1495833.3333333333</v>
      </c>
      <c r="W75" s="404"/>
      <c r="X75" s="404"/>
      <c r="Y75" s="519">
        <v>39000000</v>
      </c>
      <c r="Z75" s="519">
        <v>3000000</v>
      </c>
      <c r="AA75" s="519">
        <v>42000000</v>
      </c>
    </row>
    <row r="76" spans="1:27" x14ac:dyDescent="0.25">
      <c r="A76" s="410"/>
      <c r="B76" s="411"/>
      <c r="C76" s="460"/>
      <c r="D76" s="408"/>
      <c r="E76" s="516" t="s">
        <v>175</v>
      </c>
      <c r="F76" s="413"/>
      <c r="G76" s="424">
        <v>0</v>
      </c>
      <c r="H76" s="424">
        <v>7960000</v>
      </c>
      <c r="I76" s="424">
        <v>4990000</v>
      </c>
      <c r="J76" s="424">
        <v>0</v>
      </c>
      <c r="K76" s="424">
        <v>0</v>
      </c>
      <c r="L76" s="424">
        <v>0</v>
      </c>
      <c r="M76" s="424">
        <v>0</v>
      </c>
      <c r="N76" s="424">
        <v>0</v>
      </c>
      <c r="O76" s="424">
        <v>11810000</v>
      </c>
      <c r="P76" s="498">
        <v>0</v>
      </c>
      <c r="Q76" s="490">
        <v>0</v>
      </c>
      <c r="R76" s="505">
        <v>0</v>
      </c>
      <c r="S76" s="425">
        <v>24760000</v>
      </c>
      <c r="T76" s="518">
        <v>44710000</v>
      </c>
      <c r="U76" s="423">
        <v>0.55379109818832473</v>
      </c>
      <c r="V76" s="426">
        <v>2063333.3333333333</v>
      </c>
      <c r="W76" s="404"/>
      <c r="X76" s="404"/>
      <c r="Y76" s="519">
        <v>40710000</v>
      </c>
      <c r="Z76" s="519">
        <v>4000000</v>
      </c>
      <c r="AA76" s="519">
        <v>44710000</v>
      </c>
    </row>
    <row r="77" spans="1:27" x14ac:dyDescent="0.25">
      <c r="A77" s="410"/>
      <c r="B77" s="411"/>
      <c r="C77" s="460"/>
      <c r="D77" s="408"/>
      <c r="E77" s="516" t="s">
        <v>176</v>
      </c>
      <c r="F77" s="413"/>
      <c r="G77" s="424">
        <v>0</v>
      </c>
      <c r="H77" s="424">
        <v>0</v>
      </c>
      <c r="I77" s="424">
        <v>0</v>
      </c>
      <c r="J77" s="424">
        <v>0</v>
      </c>
      <c r="K77" s="424">
        <v>0</v>
      </c>
      <c r="L77" s="424">
        <v>1975000</v>
      </c>
      <c r="M77" s="424">
        <v>0</v>
      </c>
      <c r="N77" s="424">
        <v>0</v>
      </c>
      <c r="O77" s="424">
        <v>0</v>
      </c>
      <c r="P77" s="498">
        <v>0</v>
      </c>
      <c r="Q77" s="490">
        <v>0</v>
      </c>
      <c r="R77" s="505">
        <v>0</v>
      </c>
      <c r="S77" s="425">
        <v>1975000</v>
      </c>
      <c r="T77" s="518">
        <v>0</v>
      </c>
      <c r="U77" s="423" t="e">
        <v>#DIV/0!</v>
      </c>
      <c r="V77" s="426">
        <v>164583.33333333334</v>
      </c>
      <c r="W77" s="404"/>
      <c r="X77" s="404"/>
      <c r="Y77" s="519">
        <v>0</v>
      </c>
      <c r="Z77" s="519">
        <v>0</v>
      </c>
      <c r="AA77" s="519">
        <v>0</v>
      </c>
    </row>
    <row r="78" spans="1:27" x14ac:dyDescent="0.25">
      <c r="A78" s="410"/>
      <c r="B78" s="411"/>
      <c r="C78" s="460"/>
      <c r="D78" s="408"/>
      <c r="E78" s="516" t="s">
        <v>177</v>
      </c>
      <c r="F78" s="413"/>
      <c r="G78" s="424">
        <v>12900000</v>
      </c>
      <c r="H78" s="424">
        <v>0</v>
      </c>
      <c r="I78" s="424">
        <v>0</v>
      </c>
      <c r="J78" s="424">
        <v>0</v>
      </c>
      <c r="K78" s="424">
        <v>0</v>
      </c>
      <c r="L78" s="424">
        <v>14600000</v>
      </c>
      <c r="M78" s="424">
        <v>0</v>
      </c>
      <c r="N78" s="424">
        <v>0</v>
      </c>
      <c r="O78" s="424">
        <v>0</v>
      </c>
      <c r="P78" s="498">
        <v>0</v>
      </c>
      <c r="Q78" s="490">
        <v>5800000</v>
      </c>
      <c r="R78" s="505">
        <v>11992000</v>
      </c>
      <c r="S78" s="425">
        <v>45292000</v>
      </c>
      <c r="T78" s="518">
        <v>46100000</v>
      </c>
      <c r="U78" s="423">
        <v>0.98247288503253793</v>
      </c>
      <c r="V78" s="426">
        <v>3774333.3333333335</v>
      </c>
      <c r="W78" s="404"/>
      <c r="X78" s="404"/>
      <c r="Y78" s="519">
        <v>41950000</v>
      </c>
      <c r="Z78" s="519">
        <v>4150000</v>
      </c>
      <c r="AA78" s="519">
        <v>46100000</v>
      </c>
    </row>
    <row r="79" spans="1:27" x14ac:dyDescent="0.25">
      <c r="A79" s="410"/>
      <c r="B79" s="411"/>
      <c r="C79" s="460"/>
      <c r="D79" s="408"/>
      <c r="E79" s="516" t="s">
        <v>178</v>
      </c>
      <c r="F79" s="413"/>
      <c r="G79" s="424">
        <v>0</v>
      </c>
      <c r="H79" s="424">
        <v>0</v>
      </c>
      <c r="I79" s="424">
        <v>0</v>
      </c>
      <c r="J79" s="424">
        <v>0</v>
      </c>
      <c r="K79" s="424">
        <v>0</v>
      </c>
      <c r="L79" s="424">
        <v>0</v>
      </c>
      <c r="M79" s="424">
        <v>0</v>
      </c>
      <c r="N79" s="424">
        <v>0</v>
      </c>
      <c r="O79" s="424">
        <v>0</v>
      </c>
      <c r="P79" s="498">
        <v>0</v>
      </c>
      <c r="Q79" s="490">
        <v>0</v>
      </c>
      <c r="R79" s="505">
        <v>0</v>
      </c>
      <c r="S79" s="425">
        <v>0</v>
      </c>
      <c r="T79" s="518">
        <v>0</v>
      </c>
      <c r="U79" s="423" t="e">
        <v>#DIV/0!</v>
      </c>
      <c r="V79" s="426">
        <v>0</v>
      </c>
      <c r="W79" s="404"/>
      <c r="X79" s="404"/>
      <c r="Y79" s="519">
        <v>0</v>
      </c>
      <c r="Z79" s="519">
        <v>0</v>
      </c>
      <c r="AA79" s="519">
        <v>0</v>
      </c>
    </row>
    <row r="80" spans="1:27" x14ac:dyDescent="0.25">
      <c r="A80" s="410"/>
      <c r="B80" s="411"/>
      <c r="C80" s="460"/>
      <c r="D80" s="408"/>
      <c r="E80" s="516" t="s">
        <v>179</v>
      </c>
      <c r="F80" s="413"/>
      <c r="G80" s="424">
        <v>0</v>
      </c>
      <c r="H80" s="424">
        <v>0</v>
      </c>
      <c r="I80" s="424">
        <v>0</v>
      </c>
      <c r="J80" s="424">
        <v>0</v>
      </c>
      <c r="K80" s="424">
        <v>0</v>
      </c>
      <c r="L80" s="424">
        <v>0</v>
      </c>
      <c r="M80" s="424">
        <v>0</v>
      </c>
      <c r="N80" s="424">
        <v>0</v>
      </c>
      <c r="O80" s="424">
        <v>0</v>
      </c>
      <c r="P80" s="498">
        <v>0</v>
      </c>
      <c r="Q80" s="490">
        <v>0</v>
      </c>
      <c r="R80" s="505">
        <v>0</v>
      </c>
      <c r="S80" s="425">
        <v>0</v>
      </c>
      <c r="T80" s="518">
        <v>0</v>
      </c>
      <c r="U80" s="423" t="e">
        <v>#DIV/0!</v>
      </c>
      <c r="V80" s="426">
        <v>0</v>
      </c>
      <c r="W80" s="404"/>
      <c r="X80" s="404"/>
      <c r="Y80" s="519">
        <v>0</v>
      </c>
      <c r="Z80" s="519">
        <v>0</v>
      </c>
      <c r="AA80" s="519">
        <v>0</v>
      </c>
    </row>
    <row r="81" spans="1:27" x14ac:dyDescent="0.25">
      <c r="A81" s="410"/>
      <c r="B81" s="411"/>
      <c r="C81" s="460"/>
      <c r="D81" s="408"/>
      <c r="E81" s="516" t="s">
        <v>180</v>
      </c>
      <c r="F81" s="413"/>
      <c r="G81" s="424">
        <v>0</v>
      </c>
      <c r="H81" s="424">
        <v>0</v>
      </c>
      <c r="I81" s="424">
        <v>0</v>
      </c>
      <c r="J81" s="424">
        <v>0</v>
      </c>
      <c r="K81" s="424">
        <v>0</v>
      </c>
      <c r="L81" s="424">
        <v>0</v>
      </c>
      <c r="M81" s="424">
        <v>0</v>
      </c>
      <c r="N81" s="424">
        <v>0</v>
      </c>
      <c r="O81" s="424">
        <v>0</v>
      </c>
      <c r="P81" s="498">
        <v>5421000</v>
      </c>
      <c r="Q81" s="490">
        <v>0</v>
      </c>
      <c r="R81" s="505">
        <v>0</v>
      </c>
      <c r="S81" s="425">
        <v>5421000</v>
      </c>
      <c r="T81" s="518">
        <v>0</v>
      </c>
      <c r="U81" s="423" t="e">
        <v>#DIV/0!</v>
      </c>
      <c r="V81" s="426">
        <v>451750</v>
      </c>
      <c r="W81" s="404"/>
      <c r="X81" s="404"/>
      <c r="Y81" s="519">
        <v>0</v>
      </c>
      <c r="Z81" s="519">
        <v>0</v>
      </c>
      <c r="AA81" s="519">
        <v>0</v>
      </c>
    </row>
    <row r="82" spans="1:27" ht="15.75" thickBot="1" x14ac:dyDescent="0.3">
      <c r="A82" s="410"/>
      <c r="B82" s="411"/>
      <c r="C82" s="460"/>
      <c r="D82" s="408"/>
      <c r="E82" s="516" t="s">
        <v>181</v>
      </c>
      <c r="F82" s="413"/>
      <c r="G82" s="424">
        <v>0</v>
      </c>
      <c r="H82" s="424">
        <v>0</v>
      </c>
      <c r="I82" s="424">
        <v>0</v>
      </c>
      <c r="J82" s="424">
        <v>0</v>
      </c>
      <c r="K82" s="424">
        <v>0</v>
      </c>
      <c r="L82" s="424">
        <v>0</v>
      </c>
      <c r="M82" s="424">
        <v>0</v>
      </c>
      <c r="N82" s="424">
        <v>0</v>
      </c>
      <c r="O82" s="424">
        <v>0</v>
      </c>
      <c r="P82" s="498">
        <v>0</v>
      </c>
      <c r="Q82" s="490">
        <v>0</v>
      </c>
      <c r="R82" s="505">
        <v>0</v>
      </c>
      <c r="S82" s="425">
        <v>0</v>
      </c>
      <c r="T82" s="518">
        <v>0</v>
      </c>
      <c r="U82" s="423" t="e">
        <v>#DIV/0!</v>
      </c>
      <c r="V82" s="426">
        <v>0</v>
      </c>
      <c r="W82" s="404"/>
      <c r="X82" s="404"/>
      <c r="Y82" s="519">
        <v>0</v>
      </c>
      <c r="Z82" s="519">
        <v>0</v>
      </c>
      <c r="AA82" s="519">
        <v>0</v>
      </c>
    </row>
    <row r="83" spans="1:27" ht="15.75" thickBot="1" x14ac:dyDescent="0.3">
      <c r="A83" s="456"/>
      <c r="B83" s="472"/>
      <c r="C83" s="473"/>
      <c r="D83" s="472"/>
      <c r="E83" s="474"/>
      <c r="F83" s="457"/>
      <c r="G83" s="478">
        <v>23700000</v>
      </c>
      <c r="H83" s="478">
        <v>18010000</v>
      </c>
      <c r="I83" s="478">
        <v>55816000</v>
      </c>
      <c r="J83" s="478">
        <v>31352000</v>
      </c>
      <c r="K83" s="478">
        <v>11150000</v>
      </c>
      <c r="L83" s="478">
        <v>17175000</v>
      </c>
      <c r="M83" s="478">
        <v>1050000</v>
      </c>
      <c r="N83" s="478">
        <v>9900000</v>
      </c>
      <c r="O83" s="478">
        <v>35560000</v>
      </c>
      <c r="P83" s="478">
        <v>34246000</v>
      </c>
      <c r="Q83" s="478">
        <v>50150000</v>
      </c>
      <c r="R83" s="478">
        <v>13042000</v>
      </c>
      <c r="S83" s="478">
        <v>301151000</v>
      </c>
      <c r="T83" s="478">
        <v>363210000</v>
      </c>
      <c r="U83" s="481">
        <v>0.82913741361746651</v>
      </c>
      <c r="V83" s="478">
        <v>25095916.666666664</v>
      </c>
      <c r="W83" s="485" t="s">
        <v>34</v>
      </c>
      <c r="X83" s="404"/>
      <c r="Y83" s="519">
        <v>0</v>
      </c>
      <c r="Z83" s="404"/>
      <c r="AA83" s="519">
        <v>0</v>
      </c>
    </row>
    <row r="84" spans="1:27" x14ac:dyDescent="0.25">
      <c r="A84" s="417"/>
      <c r="B84" s="418"/>
      <c r="C84" s="461"/>
      <c r="D84" s="476"/>
      <c r="E84" s="419"/>
      <c r="F84" s="421"/>
      <c r="G84" s="421"/>
      <c r="H84" s="421"/>
      <c r="I84" s="421"/>
      <c r="J84" s="421"/>
      <c r="K84" s="421"/>
      <c r="L84" s="421"/>
      <c r="M84" s="421"/>
      <c r="N84" s="421"/>
      <c r="O84" s="421"/>
      <c r="P84" s="419"/>
      <c r="Q84" s="420"/>
      <c r="R84" s="418"/>
      <c r="S84" s="425"/>
      <c r="T84" s="425"/>
      <c r="U84" s="423"/>
      <c r="V84" s="426"/>
      <c r="W84" s="404"/>
      <c r="X84" s="404"/>
      <c r="Y84" s="519">
        <v>0</v>
      </c>
      <c r="Z84" s="404"/>
      <c r="AA84" s="519">
        <v>0</v>
      </c>
    </row>
    <row r="85" spans="1:27" x14ac:dyDescent="0.25">
      <c r="A85" s="417">
        <v>9</v>
      </c>
      <c r="B85" s="418"/>
      <c r="C85" s="461"/>
      <c r="D85" s="405" t="s">
        <v>95</v>
      </c>
      <c r="E85" s="419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19"/>
      <c r="Q85" s="420"/>
      <c r="R85" s="418"/>
      <c r="S85" s="425"/>
      <c r="T85" s="515"/>
      <c r="U85" s="423"/>
      <c r="V85" s="426"/>
      <c r="W85" s="404"/>
      <c r="X85" s="404"/>
      <c r="Y85" s="519">
        <v>0</v>
      </c>
      <c r="Z85" s="404"/>
      <c r="AA85" s="519">
        <v>0</v>
      </c>
    </row>
    <row r="86" spans="1:27" x14ac:dyDescent="0.25">
      <c r="A86" s="417"/>
      <c r="B86" s="418"/>
      <c r="C86" s="461"/>
      <c r="D86" s="418"/>
      <c r="E86" s="443" t="s">
        <v>96</v>
      </c>
      <c r="F86" s="421"/>
      <c r="G86" s="424">
        <v>1300000</v>
      </c>
      <c r="H86" s="424">
        <v>1605000</v>
      </c>
      <c r="I86" s="424">
        <v>660000</v>
      </c>
      <c r="J86" s="424">
        <v>7860000</v>
      </c>
      <c r="K86" s="424">
        <v>2950000</v>
      </c>
      <c r="L86" s="424">
        <v>230000</v>
      </c>
      <c r="M86" s="424">
        <v>0</v>
      </c>
      <c r="N86" s="424">
        <v>1600000</v>
      </c>
      <c r="O86" s="424">
        <v>1350000</v>
      </c>
      <c r="P86" s="498">
        <v>2600000</v>
      </c>
      <c r="Q86" s="490">
        <v>2445000</v>
      </c>
      <c r="R86" s="505">
        <v>550000</v>
      </c>
      <c r="S86" s="425">
        <v>23150000</v>
      </c>
      <c r="T86" s="518">
        <v>50114513</v>
      </c>
      <c r="U86" s="423">
        <v>0.46194203264032518</v>
      </c>
      <c r="V86" s="426">
        <v>1929166.6666666667</v>
      </c>
      <c r="W86" s="404"/>
      <c r="X86" s="404"/>
      <c r="Y86" s="519">
        <v>48914513</v>
      </c>
      <c r="Z86" s="519">
        <v>1200000</v>
      </c>
      <c r="AA86" s="519">
        <v>50114513</v>
      </c>
    </row>
    <row r="87" spans="1:27" x14ac:dyDescent="0.25">
      <c r="A87" s="417"/>
      <c r="B87" s="418"/>
      <c r="C87" s="461"/>
      <c r="D87" s="418"/>
      <c r="E87" s="443" t="s">
        <v>97</v>
      </c>
      <c r="F87" s="421"/>
      <c r="G87" s="424">
        <v>0</v>
      </c>
      <c r="H87" s="424">
        <v>80000</v>
      </c>
      <c r="I87" s="424">
        <v>1000000</v>
      </c>
      <c r="J87" s="424">
        <v>0</v>
      </c>
      <c r="K87" s="424">
        <v>1170000</v>
      </c>
      <c r="L87" s="424">
        <v>1000000</v>
      </c>
      <c r="M87" s="424">
        <v>1000000</v>
      </c>
      <c r="N87" s="424">
        <v>1050000</v>
      </c>
      <c r="O87" s="424">
        <v>0</v>
      </c>
      <c r="P87" s="498">
        <v>1170000</v>
      </c>
      <c r="Q87" s="490">
        <v>0</v>
      </c>
      <c r="R87" s="505">
        <v>120000</v>
      </c>
      <c r="S87" s="425">
        <v>6590000</v>
      </c>
      <c r="T87" s="518">
        <v>3200000</v>
      </c>
      <c r="U87" s="423">
        <v>2.0593750000000002</v>
      </c>
      <c r="V87" s="426">
        <v>549166.66666666663</v>
      </c>
      <c r="W87" s="404"/>
      <c r="X87" s="404"/>
      <c r="Y87" s="519">
        <v>2800000</v>
      </c>
      <c r="Z87" s="519">
        <v>400000</v>
      </c>
      <c r="AA87" s="519">
        <v>3200000</v>
      </c>
    </row>
    <row r="88" spans="1:27" x14ac:dyDescent="0.25">
      <c r="A88" s="417"/>
      <c r="B88" s="418"/>
      <c r="C88" s="461"/>
      <c r="D88" s="418"/>
      <c r="E88" s="443" t="s">
        <v>98</v>
      </c>
      <c r="F88" s="421"/>
      <c r="G88" s="424">
        <v>0</v>
      </c>
      <c r="H88" s="424">
        <v>0</v>
      </c>
      <c r="I88" s="424">
        <v>0</v>
      </c>
      <c r="J88" s="424">
        <v>0</v>
      </c>
      <c r="K88" s="424">
        <v>0</v>
      </c>
      <c r="L88" s="424">
        <v>0</v>
      </c>
      <c r="M88" s="424">
        <v>0</v>
      </c>
      <c r="N88" s="424">
        <v>0</v>
      </c>
      <c r="O88" s="424">
        <v>0</v>
      </c>
      <c r="P88" s="498">
        <v>0</v>
      </c>
      <c r="Q88" s="490">
        <v>0</v>
      </c>
      <c r="R88" s="505">
        <v>0</v>
      </c>
      <c r="S88" s="425">
        <v>0</v>
      </c>
      <c r="T88" s="518">
        <v>0</v>
      </c>
      <c r="U88" s="423" t="e">
        <v>#DIV/0!</v>
      </c>
      <c r="V88" s="426">
        <v>0</v>
      </c>
      <c r="W88" s="404"/>
      <c r="X88" s="404"/>
      <c r="Y88" s="519">
        <v>0</v>
      </c>
      <c r="Z88" s="519">
        <v>0</v>
      </c>
      <c r="AA88" s="519">
        <v>0</v>
      </c>
    </row>
    <row r="89" spans="1:27" x14ac:dyDescent="0.25">
      <c r="A89" s="417"/>
      <c r="B89" s="418"/>
      <c r="C89" s="461"/>
      <c r="D89" s="418"/>
      <c r="E89" s="443" t="s">
        <v>99</v>
      </c>
      <c r="F89" s="421"/>
      <c r="G89" s="424">
        <v>0</v>
      </c>
      <c r="H89" s="424">
        <v>0</v>
      </c>
      <c r="I89" s="424">
        <v>0</v>
      </c>
      <c r="J89" s="424">
        <v>0</v>
      </c>
      <c r="K89" s="424">
        <v>0</v>
      </c>
      <c r="L89" s="424">
        <v>0</v>
      </c>
      <c r="M89" s="424">
        <v>0</v>
      </c>
      <c r="N89" s="424">
        <v>0</v>
      </c>
      <c r="O89" s="424">
        <v>0</v>
      </c>
      <c r="P89" s="498">
        <v>0</v>
      </c>
      <c r="Q89" s="490">
        <v>0</v>
      </c>
      <c r="R89" s="505">
        <v>0</v>
      </c>
      <c r="S89" s="425">
        <v>0</v>
      </c>
      <c r="T89" s="518">
        <v>0</v>
      </c>
      <c r="U89" s="423" t="e">
        <v>#DIV/0!</v>
      </c>
      <c r="V89" s="426">
        <v>0</v>
      </c>
      <c r="W89" s="404"/>
      <c r="X89" s="404"/>
      <c r="Y89" s="519">
        <v>0</v>
      </c>
      <c r="Z89" s="519">
        <v>0</v>
      </c>
      <c r="AA89" s="519">
        <v>0</v>
      </c>
    </row>
    <row r="90" spans="1:27" x14ac:dyDescent="0.25">
      <c r="A90" s="417"/>
      <c r="B90" s="418"/>
      <c r="C90" s="461"/>
      <c r="D90" s="418"/>
      <c r="E90" s="443" t="s">
        <v>100</v>
      </c>
      <c r="F90" s="421"/>
      <c r="G90" s="424">
        <v>0</v>
      </c>
      <c r="H90" s="424">
        <v>0</v>
      </c>
      <c r="I90" s="424">
        <v>0</v>
      </c>
      <c r="J90" s="424">
        <v>0</v>
      </c>
      <c r="K90" s="424">
        <v>0</v>
      </c>
      <c r="L90" s="424">
        <v>0</v>
      </c>
      <c r="M90" s="424">
        <v>0</v>
      </c>
      <c r="N90" s="424">
        <v>0</v>
      </c>
      <c r="O90" s="424">
        <v>0</v>
      </c>
      <c r="P90" s="498">
        <v>0</v>
      </c>
      <c r="Q90" s="490">
        <v>0</v>
      </c>
      <c r="R90" s="505">
        <v>0</v>
      </c>
      <c r="S90" s="425">
        <v>0</v>
      </c>
      <c r="T90" s="518">
        <v>0</v>
      </c>
      <c r="U90" s="423" t="e">
        <v>#DIV/0!</v>
      </c>
      <c r="V90" s="426">
        <v>0</v>
      </c>
      <c r="W90" s="404"/>
      <c r="X90" s="404"/>
      <c r="Y90" s="519">
        <v>0</v>
      </c>
      <c r="Z90" s="519">
        <v>0</v>
      </c>
      <c r="AA90" s="519">
        <v>0</v>
      </c>
    </row>
    <row r="91" spans="1:27" x14ac:dyDescent="0.25">
      <c r="A91" s="417"/>
      <c r="B91" s="418"/>
      <c r="C91" s="461"/>
      <c r="D91" s="418"/>
      <c r="E91" s="443" t="s">
        <v>101</v>
      </c>
      <c r="F91" s="421"/>
      <c r="G91" s="424">
        <v>0</v>
      </c>
      <c r="H91" s="424">
        <v>0</v>
      </c>
      <c r="I91" s="424">
        <v>0</v>
      </c>
      <c r="J91" s="424">
        <v>0</v>
      </c>
      <c r="K91" s="424">
        <v>0</v>
      </c>
      <c r="L91" s="424">
        <v>0</v>
      </c>
      <c r="M91" s="424">
        <v>0</v>
      </c>
      <c r="N91" s="424">
        <v>0</v>
      </c>
      <c r="O91" s="424">
        <v>0</v>
      </c>
      <c r="P91" s="498">
        <v>0</v>
      </c>
      <c r="Q91" s="490">
        <v>0</v>
      </c>
      <c r="R91" s="505">
        <v>0</v>
      </c>
      <c r="S91" s="425">
        <v>0</v>
      </c>
      <c r="T91" s="518">
        <v>0</v>
      </c>
      <c r="U91" s="423" t="e">
        <v>#DIV/0!</v>
      </c>
      <c r="V91" s="426">
        <v>0</v>
      </c>
      <c r="W91" s="404"/>
      <c r="X91" s="404"/>
      <c r="Y91" s="519">
        <v>0</v>
      </c>
      <c r="Z91" s="519">
        <v>0</v>
      </c>
      <c r="AA91" s="519">
        <v>0</v>
      </c>
    </row>
    <row r="92" spans="1:27" x14ac:dyDescent="0.25">
      <c r="A92" s="417"/>
      <c r="B92" s="418"/>
      <c r="C92" s="461"/>
      <c r="D92" s="418"/>
      <c r="E92" s="443" t="s">
        <v>102</v>
      </c>
      <c r="F92" s="421"/>
      <c r="G92" s="424">
        <v>0</v>
      </c>
      <c r="H92" s="424">
        <v>0</v>
      </c>
      <c r="I92" s="424">
        <v>0</v>
      </c>
      <c r="J92" s="424">
        <v>0</v>
      </c>
      <c r="K92" s="424">
        <v>0</v>
      </c>
      <c r="L92" s="424">
        <v>0</v>
      </c>
      <c r="M92" s="424">
        <v>0</v>
      </c>
      <c r="N92" s="424">
        <v>0</v>
      </c>
      <c r="O92" s="424">
        <v>0</v>
      </c>
      <c r="P92" s="498">
        <v>0</v>
      </c>
      <c r="Q92" s="490">
        <v>0</v>
      </c>
      <c r="R92" s="505">
        <v>0</v>
      </c>
      <c r="S92" s="425">
        <v>0</v>
      </c>
      <c r="T92" s="518">
        <v>0</v>
      </c>
      <c r="U92" s="423" t="e">
        <v>#DIV/0!</v>
      </c>
      <c r="V92" s="426">
        <v>0</v>
      </c>
      <c r="W92" s="404"/>
      <c r="X92" s="404"/>
      <c r="Y92" s="519">
        <v>0</v>
      </c>
      <c r="Z92" s="519">
        <v>0</v>
      </c>
      <c r="AA92" s="519">
        <v>0</v>
      </c>
    </row>
    <row r="93" spans="1:27" x14ac:dyDescent="0.25">
      <c r="A93" s="417"/>
      <c r="B93" s="418"/>
      <c r="C93" s="461"/>
      <c r="D93" s="418"/>
      <c r="E93" s="443" t="s">
        <v>103</v>
      </c>
      <c r="F93" s="421"/>
      <c r="G93" s="424">
        <v>0</v>
      </c>
      <c r="H93" s="424">
        <v>0</v>
      </c>
      <c r="I93" s="424">
        <v>0</v>
      </c>
      <c r="J93" s="424">
        <v>997500</v>
      </c>
      <c r="K93" s="424">
        <v>0</v>
      </c>
      <c r="L93" s="424">
        <v>0</v>
      </c>
      <c r="M93" s="424">
        <v>0</v>
      </c>
      <c r="N93" s="424">
        <v>0</v>
      </c>
      <c r="O93" s="424">
        <v>0</v>
      </c>
      <c r="P93" s="498">
        <v>0</v>
      </c>
      <c r="Q93" s="490">
        <v>0</v>
      </c>
      <c r="R93" s="505">
        <v>0</v>
      </c>
      <c r="S93" s="425">
        <v>997500</v>
      </c>
      <c r="T93" s="518">
        <v>0</v>
      </c>
      <c r="U93" s="423" t="e">
        <v>#DIV/0!</v>
      </c>
      <c r="V93" s="426">
        <v>83125</v>
      </c>
      <c r="W93" s="404"/>
      <c r="X93" s="404"/>
      <c r="Y93" s="519">
        <v>0</v>
      </c>
      <c r="Z93" s="519">
        <v>0</v>
      </c>
      <c r="AA93" s="519">
        <v>0</v>
      </c>
    </row>
    <row r="94" spans="1:27" x14ac:dyDescent="0.25">
      <c r="A94" s="417"/>
      <c r="B94" s="418"/>
      <c r="C94" s="461"/>
      <c r="D94" s="418"/>
      <c r="E94" s="443" t="s">
        <v>104</v>
      </c>
      <c r="F94" s="421"/>
      <c r="G94" s="424">
        <v>0</v>
      </c>
      <c r="H94" s="424">
        <v>0</v>
      </c>
      <c r="I94" s="424">
        <v>0</v>
      </c>
      <c r="J94" s="424">
        <v>0</v>
      </c>
      <c r="K94" s="424">
        <v>0</v>
      </c>
      <c r="L94" s="424">
        <v>1380000</v>
      </c>
      <c r="M94" s="424">
        <v>0</v>
      </c>
      <c r="N94" s="424">
        <v>0</v>
      </c>
      <c r="O94" s="424">
        <v>0</v>
      </c>
      <c r="P94" s="498">
        <v>0</v>
      </c>
      <c r="Q94" s="490">
        <v>0</v>
      </c>
      <c r="R94" s="505">
        <v>0</v>
      </c>
      <c r="S94" s="425">
        <v>1380000</v>
      </c>
      <c r="T94" s="518">
        <v>3365250</v>
      </c>
      <c r="U94" s="423">
        <v>0.41007354579897481</v>
      </c>
      <c r="V94" s="426">
        <v>115000</v>
      </c>
      <c r="W94" s="404"/>
      <c r="X94" s="404"/>
      <c r="Y94" s="519">
        <v>3365250</v>
      </c>
      <c r="Z94" s="519">
        <v>0</v>
      </c>
      <c r="AA94" s="519">
        <v>3365250</v>
      </c>
    </row>
    <row r="95" spans="1:27" x14ac:dyDescent="0.25">
      <c r="A95" s="417"/>
      <c r="B95" s="418"/>
      <c r="C95" s="461"/>
      <c r="D95" s="418"/>
      <c r="E95" s="443" t="s">
        <v>105</v>
      </c>
      <c r="F95" s="421"/>
      <c r="G95" s="424">
        <v>0</v>
      </c>
      <c r="H95" s="424">
        <v>0</v>
      </c>
      <c r="I95" s="424">
        <v>0</v>
      </c>
      <c r="J95" s="424">
        <v>0</v>
      </c>
      <c r="K95" s="424">
        <v>0</v>
      </c>
      <c r="L95" s="424">
        <v>0</v>
      </c>
      <c r="M95" s="424">
        <v>0</v>
      </c>
      <c r="N95" s="424">
        <v>0</v>
      </c>
      <c r="O95" s="424">
        <v>0</v>
      </c>
      <c r="P95" s="498">
        <v>0</v>
      </c>
      <c r="Q95" s="490">
        <v>0</v>
      </c>
      <c r="R95" s="505">
        <v>0</v>
      </c>
      <c r="S95" s="425">
        <v>0</v>
      </c>
      <c r="T95" s="518">
        <v>577500</v>
      </c>
      <c r="U95" s="423">
        <v>0</v>
      </c>
      <c r="V95" s="426">
        <v>0</v>
      </c>
      <c r="W95" s="404"/>
      <c r="X95" s="404"/>
      <c r="Y95" s="519">
        <v>577500</v>
      </c>
      <c r="Z95" s="519">
        <v>0</v>
      </c>
      <c r="AA95" s="519">
        <v>577500</v>
      </c>
    </row>
    <row r="96" spans="1:27" x14ac:dyDescent="0.25">
      <c r="A96" s="417"/>
      <c r="B96" s="418"/>
      <c r="C96" s="461"/>
      <c r="D96" s="418"/>
      <c r="E96" s="443" t="s">
        <v>106</v>
      </c>
      <c r="F96" s="421"/>
      <c r="G96" s="424">
        <v>0</v>
      </c>
      <c r="H96" s="424">
        <v>0</v>
      </c>
      <c r="I96" s="424">
        <v>0</v>
      </c>
      <c r="J96" s="424">
        <v>0</v>
      </c>
      <c r="K96" s="424">
        <v>0</v>
      </c>
      <c r="L96" s="424">
        <v>0</v>
      </c>
      <c r="M96" s="424">
        <v>0</v>
      </c>
      <c r="N96" s="424">
        <v>0</v>
      </c>
      <c r="O96" s="424">
        <v>0</v>
      </c>
      <c r="P96" s="498">
        <v>0</v>
      </c>
      <c r="Q96" s="490">
        <v>0</v>
      </c>
      <c r="R96" s="505">
        <v>0</v>
      </c>
      <c r="S96" s="425">
        <v>0</v>
      </c>
      <c r="T96" s="518">
        <v>105000</v>
      </c>
      <c r="U96" s="423">
        <v>0</v>
      </c>
      <c r="V96" s="426">
        <v>0</v>
      </c>
      <c r="W96" s="404"/>
      <c r="X96" s="404"/>
      <c r="Y96" s="519">
        <v>105000</v>
      </c>
      <c r="Z96" s="519">
        <v>0</v>
      </c>
      <c r="AA96" s="519">
        <v>105000</v>
      </c>
    </row>
    <row r="97" spans="1:28" x14ac:dyDescent="0.25">
      <c r="A97" s="417"/>
      <c r="B97" s="418"/>
      <c r="C97" s="461"/>
      <c r="D97" s="418"/>
      <c r="E97" s="443" t="s">
        <v>107</v>
      </c>
      <c r="F97" s="421"/>
      <c r="G97" s="424">
        <v>0</v>
      </c>
      <c r="H97" s="424">
        <v>70000</v>
      </c>
      <c r="I97" s="424">
        <v>295000</v>
      </c>
      <c r="J97" s="424">
        <v>110000</v>
      </c>
      <c r="K97" s="424">
        <v>35000</v>
      </c>
      <c r="L97" s="424">
        <v>265000</v>
      </c>
      <c r="M97" s="424">
        <v>0</v>
      </c>
      <c r="N97" s="424">
        <v>259000</v>
      </c>
      <c r="O97" s="424">
        <v>250000</v>
      </c>
      <c r="P97" s="498">
        <v>150000</v>
      </c>
      <c r="Q97" s="490">
        <v>360000</v>
      </c>
      <c r="R97" s="505">
        <v>220000</v>
      </c>
      <c r="S97" s="425">
        <v>2014000</v>
      </c>
      <c r="T97" s="518">
        <v>1357500</v>
      </c>
      <c r="U97" s="423">
        <v>1.4836095764272559</v>
      </c>
      <c r="V97" s="426">
        <v>167833.33333333334</v>
      </c>
      <c r="W97" s="404"/>
      <c r="X97" s="404"/>
      <c r="Y97" s="519">
        <v>1207500</v>
      </c>
      <c r="Z97" s="519">
        <v>150000</v>
      </c>
      <c r="AA97" s="519">
        <v>1357500</v>
      </c>
      <c r="AB97" s="404"/>
    </row>
    <row r="98" spans="1:28" x14ac:dyDescent="0.25">
      <c r="A98" s="417"/>
      <c r="B98" s="418"/>
      <c r="C98" s="461"/>
      <c r="D98" s="418"/>
      <c r="E98" s="443" t="s">
        <v>108</v>
      </c>
      <c r="F98" s="421"/>
      <c r="G98" s="424">
        <v>0</v>
      </c>
      <c r="H98" s="424">
        <v>0</v>
      </c>
      <c r="I98" s="424">
        <v>0</v>
      </c>
      <c r="J98" s="424">
        <v>0</v>
      </c>
      <c r="K98" s="424">
        <v>0</v>
      </c>
      <c r="L98" s="424">
        <v>0</v>
      </c>
      <c r="M98" s="424">
        <v>0</v>
      </c>
      <c r="N98" s="424">
        <v>0</v>
      </c>
      <c r="O98" s="424">
        <v>0</v>
      </c>
      <c r="P98" s="498">
        <v>0</v>
      </c>
      <c r="Q98" s="490">
        <v>0</v>
      </c>
      <c r="R98" s="505">
        <v>0</v>
      </c>
      <c r="S98" s="425">
        <v>0</v>
      </c>
      <c r="T98" s="518">
        <v>0</v>
      </c>
      <c r="U98" s="423" t="e">
        <v>#DIV/0!</v>
      </c>
      <c r="V98" s="426">
        <v>0</v>
      </c>
      <c r="W98" s="404"/>
      <c r="X98" s="404"/>
      <c r="Y98" s="519">
        <v>0</v>
      </c>
      <c r="Z98" s="519">
        <v>0</v>
      </c>
      <c r="AA98" s="519">
        <v>0</v>
      </c>
      <c r="AB98" s="404"/>
    </row>
    <row r="99" spans="1:28" x14ac:dyDescent="0.25">
      <c r="A99" s="417"/>
      <c r="B99" s="418"/>
      <c r="C99" s="461"/>
      <c r="D99" s="418"/>
      <c r="E99" s="443" t="s">
        <v>109</v>
      </c>
      <c r="F99" s="421"/>
      <c r="G99" s="424">
        <v>5058000</v>
      </c>
      <c r="H99" s="424">
        <v>2470000</v>
      </c>
      <c r="I99" s="424">
        <v>4870000</v>
      </c>
      <c r="J99" s="424">
        <v>4904480</v>
      </c>
      <c r="K99" s="424">
        <v>3276000</v>
      </c>
      <c r="L99" s="424">
        <v>3812000</v>
      </c>
      <c r="M99" s="424">
        <v>1650000</v>
      </c>
      <c r="N99" s="424">
        <v>5160000</v>
      </c>
      <c r="O99" s="424">
        <v>5290000</v>
      </c>
      <c r="P99" s="498">
        <v>7850000</v>
      </c>
      <c r="Q99" s="490">
        <v>6500000</v>
      </c>
      <c r="R99" s="505">
        <v>1200000</v>
      </c>
      <c r="S99" s="425">
        <v>52040480</v>
      </c>
      <c r="T99" s="518">
        <v>52921500</v>
      </c>
      <c r="U99" s="423">
        <v>0.98335232372476211</v>
      </c>
      <c r="V99" s="426">
        <v>4336706.666666667</v>
      </c>
      <c r="W99" s="404"/>
      <c r="X99" s="404"/>
      <c r="Y99" s="519">
        <v>48721500</v>
      </c>
      <c r="Z99" s="519">
        <v>4200000</v>
      </c>
      <c r="AA99" s="519">
        <v>52921500</v>
      </c>
      <c r="AB99" s="404"/>
    </row>
    <row r="100" spans="1:28" ht="15.75" thickBot="1" x14ac:dyDescent="0.3">
      <c r="A100" s="437"/>
      <c r="B100" s="438"/>
      <c r="C100" s="464"/>
      <c r="D100" s="438"/>
      <c r="E100" s="444" t="s">
        <v>110</v>
      </c>
      <c r="F100" s="439"/>
      <c r="G100" s="434">
        <v>0</v>
      </c>
      <c r="H100" s="434">
        <v>100000</v>
      </c>
      <c r="I100" s="434">
        <v>40000</v>
      </c>
      <c r="J100" s="434">
        <v>0</v>
      </c>
      <c r="K100" s="434">
        <v>0</v>
      </c>
      <c r="L100" s="434">
        <v>1500000</v>
      </c>
      <c r="M100" s="434">
        <v>4537500</v>
      </c>
      <c r="N100" s="434">
        <v>825000</v>
      </c>
      <c r="O100" s="434">
        <v>0</v>
      </c>
      <c r="P100" s="502">
        <v>100000</v>
      </c>
      <c r="Q100" s="493">
        <v>0</v>
      </c>
      <c r="R100" s="511">
        <v>0</v>
      </c>
      <c r="S100" s="425">
        <v>7102500</v>
      </c>
      <c r="T100" s="518">
        <v>3626650</v>
      </c>
      <c r="U100" s="423">
        <v>1.9584189265575669</v>
      </c>
      <c r="V100" s="426">
        <v>591875</v>
      </c>
      <c r="W100" s="404"/>
      <c r="X100" s="404"/>
      <c r="Y100" s="519">
        <v>3576650</v>
      </c>
      <c r="Z100" s="519">
        <v>50000</v>
      </c>
      <c r="AA100" s="519">
        <v>3626650</v>
      </c>
      <c r="AB100" s="404"/>
    </row>
    <row r="101" spans="1:28" ht="15.75" thickBot="1" x14ac:dyDescent="0.3">
      <c r="A101" s="456"/>
      <c r="B101" s="457"/>
      <c r="C101" s="466"/>
      <c r="D101" s="457"/>
      <c r="E101" s="457"/>
      <c r="F101" s="457"/>
      <c r="G101" s="477">
        <v>6358000</v>
      </c>
      <c r="H101" s="477">
        <v>4325000</v>
      </c>
      <c r="I101" s="477">
        <v>6865000</v>
      </c>
      <c r="J101" s="477">
        <v>13871980</v>
      </c>
      <c r="K101" s="477">
        <v>7431000</v>
      </c>
      <c r="L101" s="477">
        <v>8187000</v>
      </c>
      <c r="M101" s="477">
        <v>7187500</v>
      </c>
      <c r="N101" s="477">
        <v>8894000</v>
      </c>
      <c r="O101" s="477">
        <v>6890000</v>
      </c>
      <c r="P101" s="477">
        <v>11870000</v>
      </c>
      <c r="Q101" s="477">
        <v>9305000</v>
      </c>
      <c r="R101" s="477">
        <v>2090000</v>
      </c>
      <c r="S101" s="458">
        <v>93274480</v>
      </c>
      <c r="T101" s="480">
        <v>115267913</v>
      </c>
      <c r="U101" s="481">
        <v>0.80919726550440796</v>
      </c>
      <c r="V101" s="477">
        <v>7772873.333333334</v>
      </c>
      <c r="W101" s="453"/>
      <c r="X101" s="453"/>
      <c r="Y101" s="521"/>
      <c r="Z101" s="521"/>
      <c r="AA101" s="521"/>
      <c r="AB101" s="521"/>
    </row>
    <row r="102" spans="1:28" ht="15.75" thickBot="1" x14ac:dyDescent="0.3">
      <c r="A102" s="445"/>
      <c r="B102" s="448"/>
      <c r="C102" s="465"/>
      <c r="D102" s="448"/>
      <c r="E102" s="448"/>
      <c r="F102" s="448"/>
      <c r="G102" s="483">
        <v>187577000</v>
      </c>
      <c r="H102" s="483">
        <v>176191000</v>
      </c>
      <c r="I102" s="483">
        <v>195409345</v>
      </c>
      <c r="J102" s="483">
        <v>150865980</v>
      </c>
      <c r="K102" s="483">
        <v>157116900</v>
      </c>
      <c r="L102" s="483">
        <v>149967000</v>
      </c>
      <c r="M102" s="483">
        <v>156043825</v>
      </c>
      <c r="N102" s="483">
        <v>162145100</v>
      </c>
      <c r="O102" s="483">
        <v>151386200</v>
      </c>
      <c r="P102" s="483">
        <v>136884800</v>
      </c>
      <c r="Q102" s="483">
        <v>199293100</v>
      </c>
      <c r="R102" s="483">
        <v>149209174</v>
      </c>
      <c r="S102" s="483">
        <v>1972089424</v>
      </c>
      <c r="T102" s="483">
        <v>3196656364</v>
      </c>
      <c r="U102" s="526">
        <v>0.61692255889910852</v>
      </c>
      <c r="V102" s="450">
        <v>164340785.33333334</v>
      </c>
      <c r="W102" s="453"/>
      <c r="X102" s="453"/>
      <c r="Y102" s="521">
        <v>2966656364</v>
      </c>
      <c r="Z102" s="521">
        <v>230000000</v>
      </c>
      <c r="AA102" s="521">
        <v>3196656364</v>
      </c>
      <c r="AB102" s="521"/>
    </row>
    <row r="103" spans="1:28" x14ac:dyDescent="0.25">
      <c r="A103" s="407"/>
      <c r="B103" s="408"/>
      <c r="C103" s="459"/>
      <c r="D103" s="408"/>
      <c r="E103" s="408"/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/>
      <c r="R103" s="408"/>
      <c r="S103" s="408"/>
      <c r="T103" s="408"/>
      <c r="U103" s="409"/>
      <c r="V103" s="408"/>
      <c r="W103" s="404"/>
      <c r="X103" s="404"/>
      <c r="Y103" s="404"/>
      <c r="Z103" s="404"/>
      <c r="AA103" s="404"/>
      <c r="AB103" s="404"/>
    </row>
    <row r="104" spans="1:28" x14ac:dyDescent="0.25">
      <c r="A104" s="404"/>
      <c r="B104" s="404"/>
      <c r="C104" s="404"/>
      <c r="D104" s="404"/>
      <c r="E104" s="404"/>
      <c r="F104" s="404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127"/>
      <c r="V104" s="127"/>
      <c r="W104" s="404"/>
      <c r="X104" s="404"/>
      <c r="Y104" s="404"/>
      <c r="Z104" s="404"/>
      <c r="AA104" s="404"/>
      <c r="AB104" s="404"/>
    </row>
    <row r="105" spans="1:28" x14ac:dyDescent="0.25">
      <c r="A105" s="404"/>
      <c r="B105" s="469" t="s">
        <v>130</v>
      </c>
      <c r="C105" s="459"/>
      <c r="D105" s="408"/>
      <c r="E105" s="404"/>
      <c r="F105" s="404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86"/>
      <c r="V105" s="486"/>
      <c r="W105" s="404"/>
      <c r="X105" s="404"/>
      <c r="Y105" s="404"/>
      <c r="Z105" s="404"/>
      <c r="AA105" s="404"/>
      <c r="AB105" s="404"/>
    </row>
    <row r="106" spans="1:28" x14ac:dyDescent="0.25">
      <c r="A106" s="404"/>
      <c r="B106" s="408" t="s">
        <v>113</v>
      </c>
      <c r="C106" s="459">
        <v>299775369</v>
      </c>
      <c r="D106" s="408"/>
      <c r="E106" s="467"/>
      <c r="F106" s="404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86"/>
      <c r="V106" s="486"/>
      <c r="W106" s="404"/>
      <c r="X106" s="404"/>
      <c r="Y106" s="404"/>
      <c r="Z106" s="404"/>
      <c r="AA106" s="404"/>
      <c r="AB106" s="404"/>
    </row>
    <row r="107" spans="1:28" ht="15.75" thickBot="1" x14ac:dyDescent="0.3">
      <c r="A107" s="404"/>
      <c r="B107" s="408" t="s">
        <v>114</v>
      </c>
      <c r="C107" s="468">
        <v>2941444</v>
      </c>
      <c r="D107" s="408"/>
      <c r="E107" s="404"/>
      <c r="F107" s="404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86"/>
      <c r="V107" s="486"/>
      <c r="W107" s="404"/>
      <c r="X107" s="404"/>
      <c r="Y107" s="404"/>
      <c r="Z107" s="404"/>
      <c r="AA107" s="404"/>
      <c r="AB107" s="404"/>
    </row>
    <row r="108" spans="1:28" ht="15.75" thickTop="1" x14ac:dyDescent="0.25">
      <c r="A108" s="404"/>
      <c r="B108" s="408"/>
      <c r="C108" s="470">
        <v>302716813</v>
      </c>
      <c r="D108" s="408"/>
      <c r="E108" s="404"/>
      <c r="F108" s="404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86"/>
      <c r="V108" s="486"/>
      <c r="W108" s="404"/>
      <c r="X108" s="404"/>
      <c r="Y108" s="404"/>
      <c r="Z108" s="404"/>
      <c r="AA108" s="404"/>
      <c r="AB108" s="404"/>
    </row>
    <row r="109" spans="1:28" x14ac:dyDescent="0.25">
      <c r="A109" s="404"/>
      <c r="B109" s="408"/>
      <c r="C109" s="459"/>
      <c r="D109" s="408"/>
      <c r="E109" s="404"/>
      <c r="F109" s="404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86"/>
      <c r="V109" s="486"/>
      <c r="W109" s="404"/>
      <c r="X109" s="404"/>
      <c r="Y109" s="404"/>
      <c r="Z109" s="404"/>
      <c r="AA109" s="404"/>
      <c r="AB109" s="404"/>
    </row>
    <row r="110" spans="1:28" x14ac:dyDescent="0.25">
      <c r="A110" s="404"/>
      <c r="B110" s="408"/>
      <c r="C110" s="471">
        <v>153507639</v>
      </c>
      <c r="D110" s="408"/>
      <c r="E110" s="404"/>
      <c r="F110" s="404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86"/>
      <c r="V110" s="486"/>
      <c r="W110" s="404"/>
      <c r="X110" s="404"/>
      <c r="Y110" s="404"/>
      <c r="Z110" s="404"/>
      <c r="AA110" s="404"/>
      <c r="AB110" s="404"/>
    </row>
    <row r="111" spans="1:28" x14ac:dyDescent="0.25">
      <c r="A111" s="404"/>
      <c r="B111" s="469" t="s">
        <v>182</v>
      </c>
      <c r="C111" s="459"/>
      <c r="D111" s="408"/>
      <c r="E111" s="404"/>
      <c r="F111" s="404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86"/>
      <c r="V111" s="486"/>
      <c r="W111" s="404"/>
      <c r="X111" s="404"/>
      <c r="Y111" s="404"/>
      <c r="Z111" s="404"/>
      <c r="AA111" s="404"/>
      <c r="AB111" s="404"/>
    </row>
    <row r="112" spans="1:28" x14ac:dyDescent="0.25">
      <c r="A112" s="404"/>
      <c r="B112" s="408" t="s">
        <v>113</v>
      </c>
      <c r="C112" s="459">
        <v>0</v>
      </c>
      <c r="D112" s="408"/>
      <c r="E112" s="467"/>
      <c r="F112" s="404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86"/>
      <c r="V112" s="486"/>
      <c r="W112" s="404"/>
      <c r="X112" s="404"/>
      <c r="Y112" s="404"/>
      <c r="Z112" s="404"/>
      <c r="AA112" s="404"/>
      <c r="AB112" s="404"/>
    </row>
    <row r="113" spans="2:22" ht="15.75" thickBot="1" x14ac:dyDescent="0.3">
      <c r="B113" s="408" t="s">
        <v>114</v>
      </c>
      <c r="C113" s="468">
        <v>0</v>
      </c>
      <c r="D113" s="408"/>
      <c r="E113" s="404"/>
      <c r="F113" s="404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86"/>
      <c r="V113" s="486"/>
    </row>
    <row r="114" spans="2:22" ht="15.75" thickTop="1" x14ac:dyDescent="0.25">
      <c r="B114" s="408"/>
      <c r="C114" s="470">
        <v>0</v>
      </c>
      <c r="D114" s="408"/>
      <c r="E114" s="404"/>
      <c r="F114" s="404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86"/>
      <c r="V114" s="486"/>
    </row>
    <row r="115" spans="2:22" x14ac:dyDescent="0.25">
      <c r="B115" s="408"/>
      <c r="C115" s="459"/>
      <c r="D115" s="408"/>
      <c r="E115" s="404"/>
      <c r="F115" s="404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86"/>
      <c r="V115" s="486"/>
    </row>
    <row r="116" spans="2:22" x14ac:dyDescent="0.25">
      <c r="B116" s="408"/>
      <c r="C116" s="471">
        <v>-199293100</v>
      </c>
      <c r="D116" s="408"/>
      <c r="E116" s="404"/>
      <c r="F116" s="404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86"/>
      <c r="V116" s="486"/>
    </row>
    <row r="117" spans="2:22" x14ac:dyDescent="0.25">
      <c r="B117" s="469" t="s">
        <v>183</v>
      </c>
      <c r="C117" s="459"/>
      <c r="D117" s="408"/>
      <c r="E117" s="404"/>
      <c r="F117" s="404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86"/>
      <c r="V117" s="486"/>
    </row>
    <row r="118" spans="2:22" x14ac:dyDescent="0.25">
      <c r="B118" s="408" t="s">
        <v>113</v>
      </c>
      <c r="C118" s="459">
        <v>235451500</v>
      </c>
      <c r="D118" s="408"/>
      <c r="E118" s="467"/>
      <c r="F118" s="404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86"/>
      <c r="V118" s="486"/>
    </row>
    <row r="119" spans="2:22" ht="15.75" thickBot="1" x14ac:dyDescent="0.3">
      <c r="B119" s="408" t="s">
        <v>114</v>
      </c>
      <c r="C119" s="468">
        <v>415000</v>
      </c>
      <c r="D119" s="408"/>
      <c r="E119" s="404"/>
      <c r="F119" s="404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86"/>
      <c r="V119" s="486"/>
    </row>
    <row r="120" spans="2:22" ht="15.75" thickTop="1" x14ac:dyDescent="0.25">
      <c r="B120" s="408"/>
      <c r="C120" s="470">
        <v>235866500</v>
      </c>
      <c r="D120" s="408"/>
      <c r="E120" s="404"/>
      <c r="F120" s="404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86"/>
      <c r="V120" s="486"/>
    </row>
    <row r="121" spans="2:22" x14ac:dyDescent="0.25">
      <c r="B121" s="408"/>
      <c r="C121" s="459"/>
      <c r="D121" s="408"/>
      <c r="E121" s="404"/>
      <c r="F121" s="404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86"/>
      <c r="V121" s="486"/>
    </row>
    <row r="122" spans="2:22" x14ac:dyDescent="0.25">
      <c r="B122" s="408"/>
      <c r="C122" s="471">
        <v>98981700</v>
      </c>
      <c r="D122" s="408"/>
      <c r="E122" s="404"/>
      <c r="F122" s="404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86"/>
      <c r="V122" s="486"/>
    </row>
    <row r="123" spans="2:22" x14ac:dyDescent="0.25">
      <c r="B123" s="469" t="s">
        <v>184</v>
      </c>
      <c r="C123" s="459"/>
      <c r="D123" s="408"/>
      <c r="E123" s="404"/>
      <c r="F123" s="404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86"/>
      <c r="V123" s="486"/>
    </row>
    <row r="124" spans="2:22" x14ac:dyDescent="0.25">
      <c r="B124" s="408" t="s">
        <v>113</v>
      </c>
      <c r="C124" s="459">
        <v>211947090</v>
      </c>
      <c r="D124" s="408"/>
      <c r="E124" s="467"/>
      <c r="F124" s="404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86"/>
      <c r="V124" s="486"/>
    </row>
    <row r="125" spans="2:22" ht="15.75" thickBot="1" x14ac:dyDescent="0.3">
      <c r="B125" s="408" t="s">
        <v>114</v>
      </c>
      <c r="C125" s="468">
        <v>597000</v>
      </c>
      <c r="D125" s="408"/>
      <c r="E125" s="404"/>
      <c r="F125" s="404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86"/>
      <c r="V125" s="486"/>
    </row>
    <row r="126" spans="2:22" ht="15.75" thickTop="1" x14ac:dyDescent="0.25">
      <c r="B126" s="408"/>
      <c r="C126" s="470">
        <v>212544090</v>
      </c>
      <c r="D126" s="408"/>
      <c r="E126" s="404"/>
      <c r="F126" s="404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86"/>
      <c r="V126" s="486"/>
    </row>
    <row r="127" spans="2:22" x14ac:dyDescent="0.25">
      <c r="B127" s="408"/>
      <c r="C127" s="459"/>
      <c r="D127" s="408"/>
      <c r="E127" s="404"/>
      <c r="F127" s="404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86"/>
      <c r="V127" s="486"/>
    </row>
    <row r="128" spans="2:22" x14ac:dyDescent="0.25">
      <c r="B128" s="408"/>
      <c r="C128" s="471">
        <v>61157890</v>
      </c>
      <c r="D128" s="408"/>
      <c r="E128" s="404"/>
      <c r="F128" s="404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86"/>
      <c r="V128" s="486"/>
    </row>
    <row r="129" spans="2:22" x14ac:dyDescent="0.25">
      <c r="B129" s="469" t="s">
        <v>185</v>
      </c>
      <c r="C129" s="459"/>
      <c r="D129" s="408"/>
      <c r="E129" s="404"/>
      <c r="F129" s="404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86"/>
      <c r="V129" s="486"/>
    </row>
    <row r="130" spans="2:22" x14ac:dyDescent="0.25">
      <c r="B130" s="408" t="s">
        <v>113</v>
      </c>
      <c r="C130" s="459">
        <v>262329032</v>
      </c>
      <c r="D130" s="408"/>
      <c r="E130" s="467"/>
      <c r="F130" s="404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86"/>
      <c r="V130" s="486"/>
    </row>
    <row r="131" spans="2:22" ht="15.75" thickBot="1" x14ac:dyDescent="0.3">
      <c r="B131" s="408" t="s">
        <v>114</v>
      </c>
      <c r="C131" s="468">
        <v>1012000</v>
      </c>
      <c r="D131" s="408"/>
      <c r="E131" s="404"/>
      <c r="F131" s="404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86"/>
      <c r="V131" s="486"/>
    </row>
    <row r="132" spans="2:22" ht="15.75" thickTop="1" x14ac:dyDescent="0.25">
      <c r="B132" s="408"/>
      <c r="C132" s="470">
        <v>263341032</v>
      </c>
      <c r="D132" s="408"/>
      <c r="E132" s="404"/>
      <c r="F132" s="404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86"/>
      <c r="V132" s="486"/>
    </row>
    <row r="133" spans="2:22" x14ac:dyDescent="0.25">
      <c r="B133" s="408"/>
      <c r="C133" s="459"/>
      <c r="D133" s="408"/>
      <c r="E133" s="404"/>
      <c r="F133" s="404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86"/>
      <c r="V133" s="486"/>
    </row>
    <row r="134" spans="2:22" x14ac:dyDescent="0.25">
      <c r="B134" s="408"/>
      <c r="C134" s="471">
        <v>101195932</v>
      </c>
      <c r="D134" s="408"/>
      <c r="E134" s="404"/>
      <c r="F134" s="404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86"/>
      <c r="V134" s="486"/>
    </row>
    <row r="135" spans="2:22" x14ac:dyDescent="0.25">
      <c r="B135" s="469" t="s">
        <v>186</v>
      </c>
      <c r="C135" s="459"/>
      <c r="D135" s="408"/>
      <c r="E135" s="404"/>
      <c r="F135" s="404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86"/>
      <c r="V135" s="486"/>
    </row>
    <row r="136" spans="2:22" x14ac:dyDescent="0.25">
      <c r="B136" s="408" t="s">
        <v>113</v>
      </c>
      <c r="C136" s="459">
        <v>242017050</v>
      </c>
      <c r="D136" s="408"/>
      <c r="E136" s="467"/>
      <c r="F136" s="404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86"/>
      <c r="V136" s="486"/>
    </row>
    <row r="137" spans="2:22" ht="15.75" thickBot="1" x14ac:dyDescent="0.3">
      <c r="B137" s="408" t="s">
        <v>114</v>
      </c>
      <c r="C137" s="468">
        <v>1380500</v>
      </c>
      <c r="D137" s="408"/>
      <c r="E137" s="404"/>
      <c r="F137" s="404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86"/>
      <c r="V137" s="486"/>
    </row>
    <row r="138" spans="2:22" ht="15.75" thickTop="1" x14ac:dyDescent="0.25">
      <c r="B138" s="408"/>
      <c r="C138" s="470">
        <v>243397550</v>
      </c>
      <c r="D138" s="408"/>
      <c r="E138" s="404"/>
      <c r="F138" s="404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86"/>
      <c r="V138" s="486"/>
    </row>
    <row r="139" spans="2:22" x14ac:dyDescent="0.25">
      <c r="B139" s="408"/>
      <c r="C139" s="459"/>
      <c r="D139" s="408"/>
      <c r="E139" s="404"/>
      <c r="F139" s="404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86"/>
      <c r="V139" s="486"/>
    </row>
    <row r="140" spans="2:22" x14ac:dyDescent="0.25">
      <c r="B140" s="408"/>
      <c r="C140" s="471">
        <v>87353725</v>
      </c>
      <c r="D140" s="408"/>
      <c r="E140" s="404"/>
      <c r="F140" s="404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86"/>
      <c r="V140" s="486"/>
    </row>
    <row r="141" spans="2:22" x14ac:dyDescent="0.25">
      <c r="B141" s="469" t="s">
        <v>187</v>
      </c>
      <c r="C141" s="459"/>
      <c r="D141" s="408"/>
      <c r="E141" s="404"/>
      <c r="F141" s="404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86"/>
      <c r="V141" s="486"/>
    </row>
    <row r="142" spans="2:22" x14ac:dyDescent="0.25">
      <c r="B142" s="408" t="s">
        <v>113</v>
      </c>
      <c r="C142" s="459">
        <v>249253500</v>
      </c>
      <c r="D142" s="408"/>
      <c r="E142" s="467"/>
      <c r="F142" s="404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86"/>
      <c r="V142" s="486"/>
    </row>
    <row r="143" spans="2:22" ht="15.75" thickBot="1" x14ac:dyDescent="0.3">
      <c r="B143" s="408" t="s">
        <v>114</v>
      </c>
      <c r="C143" s="468">
        <v>710000</v>
      </c>
      <c r="D143" s="408"/>
      <c r="E143" s="404"/>
      <c r="F143" s="404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86"/>
      <c r="V143" s="486"/>
    </row>
    <row r="144" spans="2:22" ht="15.75" thickTop="1" x14ac:dyDescent="0.25">
      <c r="B144" s="408"/>
      <c r="C144" s="470">
        <v>249963500</v>
      </c>
      <c r="D144" s="408"/>
      <c r="E144" s="404"/>
      <c r="F144" s="404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86"/>
      <c r="V144" s="486"/>
    </row>
    <row r="145" spans="2:22" x14ac:dyDescent="0.25">
      <c r="B145" s="408"/>
      <c r="C145" s="459"/>
      <c r="D145" s="408"/>
      <c r="E145" s="404"/>
      <c r="F145" s="404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86"/>
      <c r="V145" s="486"/>
    </row>
    <row r="146" spans="2:22" x14ac:dyDescent="0.25">
      <c r="B146" s="408"/>
      <c r="C146" s="471">
        <v>99996500</v>
      </c>
      <c r="D146" s="408"/>
      <c r="E146" s="404"/>
      <c r="F146" s="404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86"/>
      <c r="V146" s="486"/>
    </row>
    <row r="147" spans="2:22" x14ac:dyDescent="0.25">
      <c r="B147" s="469" t="s">
        <v>188</v>
      </c>
      <c r="C147" s="459"/>
      <c r="D147" s="408"/>
      <c r="E147" s="404"/>
      <c r="F147" s="404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86"/>
      <c r="V147" s="486"/>
    </row>
    <row r="148" spans="2:22" x14ac:dyDescent="0.25">
      <c r="B148" s="408" t="s">
        <v>113</v>
      </c>
      <c r="C148" s="459">
        <v>278921700</v>
      </c>
      <c r="D148" s="408"/>
      <c r="E148" s="467"/>
      <c r="F148" s="404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86"/>
      <c r="V148" s="486"/>
    </row>
    <row r="149" spans="2:22" ht="15.75" thickBot="1" x14ac:dyDescent="0.3">
      <c r="B149" s="408" t="s">
        <v>114</v>
      </c>
      <c r="C149" s="468">
        <v>1867000</v>
      </c>
      <c r="D149" s="408"/>
      <c r="E149" s="404"/>
      <c r="F149" s="404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86"/>
      <c r="V149" s="486"/>
    </row>
    <row r="150" spans="2:22" ht="15.75" thickTop="1" x14ac:dyDescent="0.25">
      <c r="B150" s="408"/>
      <c r="C150" s="470">
        <v>280788700</v>
      </c>
      <c r="D150" s="408"/>
      <c r="E150" s="404"/>
      <c r="F150" s="404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86"/>
      <c r="V150" s="486"/>
    </row>
    <row r="151" spans="2:22" x14ac:dyDescent="0.25">
      <c r="B151" s="408"/>
      <c r="C151" s="459"/>
      <c r="D151" s="408"/>
      <c r="E151" s="404"/>
      <c r="F151" s="404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86"/>
      <c r="V151" s="486"/>
    </row>
    <row r="152" spans="2:22" x14ac:dyDescent="0.25">
      <c r="B152" s="408"/>
      <c r="C152" s="471">
        <v>123671800</v>
      </c>
      <c r="D152" s="408"/>
      <c r="E152" s="404"/>
      <c r="F152" s="404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86"/>
      <c r="V152" s="486"/>
    </row>
    <row r="153" spans="2:22" x14ac:dyDescent="0.25">
      <c r="B153" s="469" t="s">
        <v>189</v>
      </c>
      <c r="C153" s="459"/>
      <c r="D153" s="408"/>
      <c r="E153" s="404"/>
      <c r="F153" s="404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86"/>
      <c r="V153" s="486"/>
    </row>
    <row r="154" spans="2:22" x14ac:dyDescent="0.25">
      <c r="B154" s="408" t="s">
        <v>113</v>
      </c>
      <c r="C154" s="459">
        <v>274646065</v>
      </c>
      <c r="D154" s="408"/>
      <c r="E154" s="467"/>
      <c r="F154" s="404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86"/>
      <c r="V154" s="486"/>
    </row>
    <row r="155" spans="2:22" ht="15.75" thickBot="1" x14ac:dyDescent="0.3">
      <c r="B155" s="408" t="s">
        <v>114</v>
      </c>
      <c r="C155" s="468">
        <v>2400400</v>
      </c>
      <c r="D155" s="408"/>
      <c r="E155" s="404"/>
      <c r="F155" s="404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86"/>
      <c r="V155" s="486"/>
    </row>
    <row r="156" spans="2:22" ht="15.75" thickTop="1" x14ac:dyDescent="0.25">
      <c r="B156" s="408"/>
      <c r="C156" s="470">
        <v>277046465</v>
      </c>
      <c r="D156" s="408"/>
      <c r="E156" s="404"/>
      <c r="F156" s="404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86"/>
      <c r="V156" s="486"/>
    </row>
    <row r="157" spans="2:22" x14ac:dyDescent="0.25">
      <c r="B157" s="408"/>
      <c r="C157" s="459"/>
      <c r="D157" s="408"/>
      <c r="E157" s="404"/>
      <c r="F157" s="404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86"/>
      <c r="V157" s="486"/>
    </row>
    <row r="158" spans="2:22" x14ac:dyDescent="0.25">
      <c r="B158" s="408"/>
      <c r="C158" s="471">
        <v>126180485</v>
      </c>
      <c r="D158" s="408"/>
      <c r="E158" s="404"/>
      <c r="F158" s="404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86"/>
      <c r="V158" s="486"/>
    </row>
    <row r="159" spans="2:22" x14ac:dyDescent="0.25">
      <c r="B159" s="469" t="s">
        <v>190</v>
      </c>
      <c r="C159" s="459"/>
      <c r="D159" s="408"/>
      <c r="E159" s="404"/>
      <c r="F159" s="404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86"/>
      <c r="V159" s="486"/>
    </row>
    <row r="160" spans="2:22" x14ac:dyDescent="0.25">
      <c r="B160" s="408" t="s">
        <v>113</v>
      </c>
      <c r="C160" s="459">
        <v>304986400</v>
      </c>
      <c r="D160" s="408"/>
      <c r="E160" s="467"/>
      <c r="F160" s="404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86"/>
      <c r="V160" s="486"/>
    </row>
    <row r="161" spans="2:22" ht="15.75" thickBot="1" x14ac:dyDescent="0.3">
      <c r="B161" s="408" t="s">
        <v>114</v>
      </c>
      <c r="C161" s="468">
        <v>2300600</v>
      </c>
      <c r="D161" s="408"/>
      <c r="E161" s="404"/>
      <c r="F161" s="404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86"/>
      <c r="V161" s="486"/>
    </row>
    <row r="162" spans="2:22" ht="15.75" thickTop="1" x14ac:dyDescent="0.25">
      <c r="B162" s="408"/>
      <c r="C162" s="470">
        <v>307287000</v>
      </c>
      <c r="D162" s="408"/>
      <c r="E162" s="404"/>
      <c r="F162" s="404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86"/>
      <c r="V162" s="486"/>
    </row>
    <row r="163" spans="2:22" x14ac:dyDescent="0.25">
      <c r="B163" s="408"/>
      <c r="C163" s="459"/>
      <c r="D163" s="408"/>
      <c r="E163" s="404"/>
      <c r="F163" s="404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86"/>
      <c r="V163" s="486"/>
    </row>
    <row r="164" spans="2:22" x14ac:dyDescent="0.25">
      <c r="B164" s="408"/>
      <c r="C164" s="471">
        <v>111877655</v>
      </c>
      <c r="D164" s="408"/>
      <c r="E164" s="404"/>
      <c r="F164" s="404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86"/>
      <c r="V164" s="486"/>
    </row>
    <row r="165" spans="2:22" x14ac:dyDescent="0.25">
      <c r="B165" s="469" t="s">
        <v>191</v>
      </c>
      <c r="C165" s="459"/>
      <c r="D165" s="408"/>
      <c r="E165" s="404"/>
      <c r="F165" s="404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86"/>
      <c r="V165" s="486"/>
    </row>
    <row r="166" spans="2:22" x14ac:dyDescent="0.25">
      <c r="B166" s="408" t="s">
        <v>113</v>
      </c>
      <c r="C166" s="459">
        <v>276617850</v>
      </c>
      <c r="D166" s="408"/>
      <c r="E166" s="467"/>
      <c r="F166" s="404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86"/>
      <c r="V166" s="486"/>
    </row>
    <row r="167" spans="2:22" ht="15.75" thickBot="1" x14ac:dyDescent="0.3">
      <c r="B167" s="408" t="s">
        <v>114</v>
      </c>
      <c r="C167" s="468">
        <v>1626000</v>
      </c>
      <c r="D167" s="408"/>
      <c r="E167" s="404"/>
      <c r="F167" s="404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86"/>
      <c r="V167" s="486"/>
    </row>
    <row r="168" spans="2:22" ht="15.75" thickTop="1" x14ac:dyDescent="0.25">
      <c r="B168" s="408"/>
      <c r="C168" s="470">
        <v>278243850</v>
      </c>
      <c r="D168" s="408"/>
      <c r="E168" s="404"/>
      <c r="F168" s="404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86"/>
      <c r="V168" s="486"/>
    </row>
    <row r="169" spans="2:22" x14ac:dyDescent="0.25">
      <c r="B169" s="408"/>
      <c r="C169" s="459"/>
      <c r="D169" s="408"/>
      <c r="E169" s="404"/>
      <c r="F169" s="404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86"/>
      <c r="V169" s="486"/>
    </row>
    <row r="170" spans="2:22" x14ac:dyDescent="0.25">
      <c r="B170" s="408"/>
      <c r="C170" s="471">
        <v>102052850</v>
      </c>
      <c r="D170" s="408"/>
      <c r="E170" s="404"/>
      <c r="F170" s="404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86"/>
      <c r="V170" s="486"/>
    </row>
    <row r="171" spans="2:22" x14ac:dyDescent="0.25">
      <c r="B171" s="469" t="s">
        <v>192</v>
      </c>
      <c r="C171" s="459"/>
      <c r="D171" s="408"/>
      <c r="E171" s="404"/>
      <c r="F171" s="404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86"/>
      <c r="V171" s="486"/>
    </row>
    <row r="172" spans="2:22" x14ac:dyDescent="0.25">
      <c r="B172" s="408" t="s">
        <v>113</v>
      </c>
      <c r="C172" s="459">
        <v>326557071</v>
      </c>
      <c r="D172" s="408"/>
      <c r="E172" s="467"/>
      <c r="F172" s="404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86"/>
      <c r="V172" s="486"/>
    </row>
    <row r="173" spans="2:22" ht="15.75" thickBot="1" x14ac:dyDescent="0.3">
      <c r="B173" s="408" t="s">
        <v>114</v>
      </c>
      <c r="C173" s="468">
        <v>2561200</v>
      </c>
      <c r="D173" s="408"/>
      <c r="E173" s="404"/>
      <c r="F173" s="404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86"/>
      <c r="V173" s="486"/>
    </row>
    <row r="174" spans="2:22" ht="15.75" thickTop="1" x14ac:dyDescent="0.25">
      <c r="B174" s="408"/>
      <c r="C174" s="470">
        <v>329118271</v>
      </c>
      <c r="D174" s="408"/>
      <c r="E174" s="404"/>
      <c r="F174" s="404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86"/>
      <c r="V174" s="486"/>
    </row>
    <row r="175" spans="2:22" x14ac:dyDescent="0.25">
      <c r="B175" s="408"/>
      <c r="C175" s="459"/>
      <c r="D175" s="408"/>
      <c r="E175" s="404"/>
      <c r="F175" s="404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86"/>
      <c r="V175" s="486"/>
    </row>
    <row r="176" spans="2:22" x14ac:dyDescent="0.25">
      <c r="B176" s="408"/>
      <c r="C176" s="471">
        <v>141541271</v>
      </c>
      <c r="D176" s="408"/>
      <c r="E176" s="404"/>
      <c r="F176" s="404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86"/>
      <c r="V176" s="486"/>
    </row>
    <row r="177" spans="1:28" x14ac:dyDescent="0.25">
      <c r="A177" s="407"/>
      <c r="B177" s="408"/>
      <c r="C177" s="459"/>
      <c r="D177" s="408"/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9"/>
      <c r="V177" s="408"/>
      <c r="W177" s="408"/>
      <c r="X177" s="408"/>
      <c r="Y177" s="522"/>
      <c r="Z177" s="522"/>
      <c r="AA177" s="522"/>
      <c r="AB177" s="522"/>
    </row>
    <row r="178" spans="1:28" x14ac:dyDescent="0.25">
      <c r="A178" s="407"/>
      <c r="B178" s="408"/>
      <c r="C178" s="459"/>
      <c r="D178" s="408"/>
      <c r="E178" s="408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8"/>
      <c r="R178" s="408"/>
      <c r="S178" s="408"/>
      <c r="T178" s="408"/>
      <c r="U178" s="409"/>
      <c r="V178" s="408"/>
      <c r="W178" s="408"/>
      <c r="X178" s="408"/>
      <c r="Y178" s="522"/>
      <c r="Z178" s="522"/>
      <c r="AA178" s="522"/>
      <c r="AB178" s="522"/>
    </row>
    <row r="179" spans="1:28" x14ac:dyDescent="0.25">
      <c r="A179" s="407"/>
      <c r="B179" s="408"/>
      <c r="C179" s="459"/>
      <c r="D179" s="408"/>
      <c r="E179" s="408"/>
      <c r="F179" s="408"/>
      <c r="G179" s="408"/>
      <c r="H179" s="408"/>
      <c r="I179" s="408"/>
      <c r="J179" s="408"/>
      <c r="K179" s="408"/>
      <c r="L179" s="408"/>
      <c r="M179" s="408"/>
      <c r="N179" s="408"/>
      <c r="O179" s="408"/>
      <c r="P179" s="408"/>
      <c r="Q179" s="408"/>
      <c r="R179" s="408"/>
      <c r="S179" s="408"/>
      <c r="T179" s="459">
        <v>3196656364</v>
      </c>
      <c r="U179" s="409"/>
      <c r="V179" s="408"/>
      <c r="W179" s="408"/>
      <c r="X179" s="408"/>
      <c r="Y179" s="522"/>
      <c r="Z179" s="521"/>
      <c r="AA179" s="522"/>
      <c r="AB179" s="522"/>
    </row>
    <row r="180" spans="1:28" x14ac:dyDescent="0.25">
      <c r="A180" s="404"/>
      <c r="B180" s="404"/>
      <c r="C180" s="404"/>
      <c r="D180" s="404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  <c r="O180" s="404"/>
      <c r="P180" s="404"/>
      <c r="Q180" s="404"/>
      <c r="R180" s="404"/>
      <c r="S180" s="404"/>
      <c r="T180" s="467">
        <v>0</v>
      </c>
      <c r="U180" s="404"/>
      <c r="V180" s="404"/>
      <c r="W180" s="404"/>
      <c r="X180" s="404"/>
      <c r="Y180" s="404"/>
      <c r="Z180" s="404"/>
      <c r="AA180" s="404"/>
      <c r="AB180" s="404"/>
    </row>
    <row r="181" spans="1:28" x14ac:dyDescent="0.25">
      <c r="A181" s="404"/>
      <c r="B181" s="404"/>
      <c r="C181" s="404"/>
      <c r="D181" s="404"/>
      <c r="E181" s="404"/>
      <c r="F181" s="404"/>
      <c r="G181" s="404"/>
      <c r="H181" s="404"/>
      <c r="I181" s="404"/>
      <c r="J181" s="404"/>
      <c r="K181" s="404"/>
      <c r="L181" s="404"/>
      <c r="M181" s="404"/>
      <c r="N181" s="404"/>
      <c r="O181" s="404"/>
      <c r="P181" s="404"/>
      <c r="Q181" s="404"/>
      <c r="R181" s="404"/>
      <c r="S181" s="519"/>
      <c r="T181" s="467"/>
      <c r="U181" s="404"/>
      <c r="V181" s="404"/>
      <c r="W181" s="404"/>
      <c r="X181" s="404"/>
      <c r="Y181" s="404"/>
      <c r="Z181" s="404"/>
      <c r="AA181" s="519">
        <v>3426656364</v>
      </c>
      <c r="AB181" s="404"/>
    </row>
    <row r="182" spans="1:28" x14ac:dyDescent="0.25">
      <c r="A182" s="404"/>
      <c r="B182" s="404"/>
      <c r="C182" s="404"/>
      <c r="D182" s="404"/>
      <c r="E182" s="404"/>
      <c r="F182" s="404"/>
      <c r="G182" s="404"/>
      <c r="H182" s="404"/>
      <c r="I182" s="404"/>
      <c r="J182" s="404"/>
      <c r="K182" s="404"/>
      <c r="L182" s="404"/>
      <c r="M182" s="404"/>
      <c r="N182" s="404"/>
      <c r="O182" s="404"/>
      <c r="P182" s="404"/>
      <c r="Q182" s="404"/>
      <c r="R182" s="404"/>
      <c r="S182" s="406"/>
      <c r="T182" s="519">
        <v>2966656364</v>
      </c>
      <c r="U182" s="404"/>
      <c r="V182" s="404"/>
      <c r="W182" s="404"/>
      <c r="X182" s="404"/>
      <c r="Y182" s="404"/>
      <c r="Z182" s="404"/>
      <c r="AA182" s="404"/>
      <c r="AB182" s="404"/>
    </row>
    <row r="184" spans="1:28" x14ac:dyDescent="0.25">
      <c r="A184" s="404"/>
      <c r="B184" s="404"/>
      <c r="C184" s="404"/>
      <c r="D184" s="404"/>
      <c r="E184" s="404"/>
      <c r="F184" s="404"/>
      <c r="G184" s="404"/>
      <c r="H184" s="404"/>
      <c r="I184" s="404"/>
      <c r="J184" s="404"/>
      <c r="K184" s="404"/>
      <c r="L184" s="404"/>
      <c r="M184" s="404"/>
      <c r="N184" s="404"/>
      <c r="O184" s="404"/>
      <c r="P184" s="404"/>
      <c r="Q184" s="404"/>
      <c r="R184" s="404"/>
      <c r="S184" s="404"/>
      <c r="T184" s="467"/>
      <c r="U184" s="404"/>
      <c r="V184" s="404"/>
      <c r="W184" s="404"/>
      <c r="X184" s="404"/>
      <c r="Y184" s="404"/>
      <c r="Z184" s="404"/>
      <c r="AA184" s="404"/>
      <c r="AB184" s="404"/>
    </row>
  </sheetData>
  <mergeCells count="12">
    <mergeCell ref="U104:V104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Shirat Maqbul</dc:creator>
  <cp:lastModifiedBy>Andi Shirat Maqbul</cp:lastModifiedBy>
  <dcterms:created xsi:type="dcterms:W3CDTF">2025-11-06T13:28:08Z</dcterms:created>
  <dcterms:modified xsi:type="dcterms:W3CDTF">2025-11-06T15:55:32Z</dcterms:modified>
</cp:coreProperties>
</file>