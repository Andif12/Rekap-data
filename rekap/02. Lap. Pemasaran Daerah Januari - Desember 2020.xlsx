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rshaka Maherza Zaldy\02. File Lap. Keuangan 2020\Lap. Akhir Bulan\Lap. Ke Pak Direktur Keuangan 2020\11. Lap. Untuk Pak Alimin Per Desember 2020\"/>
    </mc:Choice>
  </mc:AlternateContent>
  <bookViews>
    <workbookView xWindow="-15" yWindow="-15" windowWidth="10800" windowHeight="9495"/>
  </bookViews>
  <sheets>
    <sheet name="RPD 2020" sheetId="1" r:id="rId1"/>
    <sheet name="Sheet5" sheetId="5" r:id="rId2"/>
  </sheets>
  <externalReferences>
    <externalReference r:id="rId3"/>
  </externalReferences>
  <definedNames>
    <definedName name="_xlnm._FilterDatabase" localSheetId="0" hidden="1">'RPD 2020'!$G$86:$R$86</definedName>
    <definedName name="_xlnm.Print_Area" localSheetId="0">'RPD 2020'!$A$1:$V$86</definedName>
    <definedName name="_xlnm.Print_Titles" localSheetId="0">'RPD 2020'!$4:$5</definedName>
  </definedNames>
  <calcPr calcId="162913"/>
</workbook>
</file>

<file path=xl/calcChain.xml><?xml version="1.0" encoding="utf-8"?>
<calcChain xmlns="http://schemas.openxmlformats.org/spreadsheetml/2006/main">
  <c r="C93" i="1" l="1"/>
  <c r="T70" i="1"/>
  <c r="T69" i="1"/>
  <c r="T64" i="1"/>
  <c r="T63" i="1"/>
  <c r="T62" i="1"/>
  <c r="T61" i="1"/>
  <c r="T58" i="1"/>
  <c r="T57" i="1"/>
  <c r="T56" i="1"/>
  <c r="T55" i="1"/>
  <c r="T51" i="1"/>
  <c r="T50" i="1"/>
  <c r="T49" i="1"/>
  <c r="T48" i="1"/>
  <c r="T43" i="1"/>
  <c r="T42" i="1"/>
  <c r="T41" i="1"/>
  <c r="T40" i="1"/>
  <c r="T39" i="1"/>
  <c r="T38" i="1"/>
  <c r="T37" i="1"/>
  <c r="T36" i="1"/>
  <c r="T32" i="1"/>
  <c r="T31" i="1"/>
  <c r="T30" i="1"/>
  <c r="T29" i="1"/>
  <c r="T28" i="1"/>
  <c r="T24" i="1"/>
  <c r="T23" i="1"/>
  <c r="T22" i="1"/>
  <c r="T21" i="1"/>
  <c r="T20" i="1"/>
  <c r="T19" i="1"/>
  <c r="T18" i="1"/>
  <c r="T14" i="1"/>
  <c r="T13" i="1"/>
  <c r="T12" i="1"/>
  <c r="T11" i="1"/>
  <c r="T10" i="1"/>
  <c r="T9" i="1"/>
  <c r="T8" i="1"/>
  <c r="S79" i="1" l="1"/>
  <c r="V79" i="1" s="1"/>
  <c r="S84" i="1"/>
  <c r="V84" i="1" s="1"/>
  <c r="S83" i="1"/>
  <c r="V83" i="1" s="1"/>
  <c r="S82" i="1"/>
  <c r="V82" i="1" s="1"/>
  <c r="S81" i="1"/>
  <c r="V81" i="1" s="1"/>
  <c r="S80" i="1"/>
  <c r="V80" i="1" s="1"/>
  <c r="S78" i="1"/>
  <c r="V78" i="1" s="1"/>
  <c r="S77" i="1"/>
  <c r="V77" i="1" s="1"/>
  <c r="S76" i="1"/>
  <c r="V76" i="1" s="1"/>
  <c r="S75" i="1"/>
  <c r="V75" i="1" s="1"/>
  <c r="S74" i="1"/>
  <c r="V74" i="1" s="1"/>
  <c r="S73" i="1"/>
  <c r="V73" i="1" s="1"/>
  <c r="S72" i="1"/>
  <c r="V72" i="1" s="1"/>
  <c r="S64" i="1"/>
  <c r="V64" i="1" s="1"/>
  <c r="S63" i="1"/>
  <c r="V63" i="1" s="1"/>
  <c r="S61" i="1"/>
  <c r="V61" i="1" s="1"/>
  <c r="S43" i="1"/>
  <c r="V43" i="1" s="1"/>
  <c r="S41" i="1"/>
  <c r="V41" i="1" s="1"/>
  <c r="S39" i="1"/>
  <c r="V39" i="1" s="1"/>
  <c r="S32" i="1"/>
  <c r="V32" i="1" s="1"/>
  <c r="S19" i="1"/>
  <c r="U19" i="1" s="1"/>
  <c r="R85" i="1"/>
  <c r="R33" i="1"/>
  <c r="R65" i="1"/>
  <c r="R59" i="1"/>
  <c r="R52" i="1"/>
  <c r="R44" i="1"/>
  <c r="R25" i="1"/>
  <c r="R15" i="1"/>
  <c r="R46" i="1" l="1"/>
  <c r="V19" i="1"/>
  <c r="R66" i="1"/>
  <c r="C100" i="1"/>
  <c r="R86" i="1" l="1"/>
  <c r="C95" i="1" s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Q85" i="1"/>
  <c r="Q65" i="1"/>
  <c r="Q52" i="1"/>
  <c r="Q44" i="1"/>
  <c r="Q33" i="1"/>
  <c r="Q25" i="1"/>
  <c r="Q15" i="1"/>
  <c r="Q59" i="1"/>
  <c r="Q46" i="1" l="1"/>
  <c r="Q66" i="1"/>
  <c r="P15" i="1"/>
  <c r="Q86" i="1" l="1"/>
  <c r="C102" i="1" s="1"/>
  <c r="C107" i="1"/>
  <c r="P85" i="1"/>
  <c r="P65" i="1"/>
  <c r="P59" i="1"/>
  <c r="P52" i="1"/>
  <c r="P44" i="1"/>
  <c r="P33" i="1"/>
  <c r="P25" i="1"/>
  <c r="P66" i="1" l="1"/>
  <c r="P46" i="1"/>
  <c r="C112" i="1"/>
  <c r="C114" i="1" s="1"/>
  <c r="P86" i="1" l="1"/>
  <c r="C109" i="1" s="1"/>
  <c r="T25" i="1"/>
  <c r="T15" i="1"/>
  <c r="G62" i="1"/>
  <c r="S62" i="1" s="1"/>
  <c r="V62" i="1" s="1"/>
  <c r="V65" i="1" s="1"/>
  <c r="O44" i="1"/>
  <c r="O33" i="1"/>
  <c r="O25" i="1"/>
  <c r="O85" i="1"/>
  <c r="T33" i="1" l="1"/>
  <c r="T52" i="1"/>
  <c r="T59" i="1"/>
  <c r="T65" i="1"/>
  <c r="T44" i="1"/>
  <c r="U63" i="1"/>
  <c r="U62" i="1"/>
  <c r="O65" i="1"/>
  <c r="O59" i="1"/>
  <c r="O52" i="1"/>
  <c r="O15" i="1"/>
  <c r="O46" i="1" s="1"/>
  <c r="N52" i="1"/>
  <c r="N15" i="1"/>
  <c r="C128" i="1"/>
  <c r="U61" i="1" l="1"/>
  <c r="O66" i="1"/>
  <c r="O86" i="1" s="1"/>
  <c r="C116" i="1" s="1"/>
  <c r="C121" i="1"/>
  <c r="N85" i="1"/>
  <c r="N65" i="1"/>
  <c r="N59" i="1"/>
  <c r="N44" i="1"/>
  <c r="N33" i="1"/>
  <c r="N25" i="1"/>
  <c r="C135" i="1"/>
  <c r="M85" i="1"/>
  <c r="M15" i="1"/>
  <c r="M25" i="1"/>
  <c r="M33" i="1"/>
  <c r="M44" i="1"/>
  <c r="M65" i="1"/>
  <c r="M59" i="1"/>
  <c r="M52" i="1"/>
  <c r="T85" i="1"/>
  <c r="U79" i="1"/>
  <c r="N46" i="1" l="1"/>
  <c r="N66" i="1"/>
  <c r="M46" i="1"/>
  <c r="U78" i="1"/>
  <c r="L85" i="1"/>
  <c r="M66" i="1"/>
  <c r="L15" i="1"/>
  <c r="N86" i="1" l="1"/>
  <c r="C123" i="1" s="1"/>
  <c r="M86" i="1"/>
  <c r="C130" i="1" s="1"/>
  <c r="U77" i="1"/>
  <c r="C142" i="1"/>
  <c r="K85" i="1"/>
  <c r="L44" i="1"/>
  <c r="L33" i="1"/>
  <c r="L25" i="1"/>
  <c r="L65" i="1"/>
  <c r="L59" i="1"/>
  <c r="L52" i="1"/>
  <c r="J25" i="1"/>
  <c r="K25" i="1"/>
  <c r="L46" i="1" l="1"/>
  <c r="L66" i="1"/>
  <c r="C148" i="1"/>
  <c r="C149" i="1" s="1"/>
  <c r="K65" i="1"/>
  <c r="K59" i="1"/>
  <c r="K52" i="1"/>
  <c r="L86" i="1" l="1"/>
  <c r="C137" i="1" s="1"/>
  <c r="K66" i="1"/>
  <c r="K44" i="1"/>
  <c r="K33" i="1"/>
  <c r="K15" i="1"/>
  <c r="J85" i="1"/>
  <c r="K46" i="1" l="1"/>
  <c r="K86" i="1" s="1"/>
  <c r="C144" i="1" s="1"/>
  <c r="J15" i="1"/>
  <c r="J65" i="1" l="1"/>
  <c r="J59" i="1"/>
  <c r="J52" i="1"/>
  <c r="J44" i="1"/>
  <c r="J33" i="1"/>
  <c r="J46" i="1" l="1"/>
  <c r="J66" i="1"/>
  <c r="C163" i="1"/>
  <c r="C156" i="1"/>
  <c r="J86" i="1" l="1"/>
  <c r="C151" i="1" s="1"/>
  <c r="U32" i="1"/>
  <c r="I31" i="1"/>
  <c r="H31" i="1"/>
  <c r="G31" i="1"/>
  <c r="I50" i="1"/>
  <c r="I49" i="1"/>
  <c r="I36" i="1"/>
  <c r="I28" i="1"/>
  <c r="I10" i="1"/>
  <c r="I9" i="1"/>
  <c r="I12" i="1"/>
  <c r="S31" i="1" l="1"/>
  <c r="V31" i="1" s="1"/>
  <c r="U31" i="1"/>
  <c r="G13" i="1"/>
  <c r="S13" i="1" s="1"/>
  <c r="V13" i="1" s="1"/>
  <c r="I85" i="1"/>
  <c r="I65" i="1"/>
  <c r="I59" i="1"/>
  <c r="I52" i="1"/>
  <c r="I44" i="1"/>
  <c r="I33" i="1"/>
  <c r="I25" i="1"/>
  <c r="I15" i="1"/>
  <c r="H57" i="1"/>
  <c r="H50" i="1"/>
  <c r="H22" i="1"/>
  <c r="H36" i="1"/>
  <c r="H10" i="1"/>
  <c r="H9" i="1"/>
  <c r="H12" i="1"/>
  <c r="I66" i="1" l="1"/>
  <c r="I46" i="1"/>
  <c r="H85" i="1"/>
  <c r="H65" i="1"/>
  <c r="H59" i="1"/>
  <c r="H52" i="1"/>
  <c r="H44" i="1"/>
  <c r="H33" i="1"/>
  <c r="H25" i="1"/>
  <c r="H15" i="1"/>
  <c r="I86" i="1" l="1"/>
  <c r="C158" i="1" s="1"/>
  <c r="H46" i="1"/>
  <c r="H66" i="1"/>
  <c r="G8" i="1"/>
  <c r="S8" i="1" s="1"/>
  <c r="V8" i="1" s="1"/>
  <c r="G65" i="1"/>
  <c r="G51" i="1"/>
  <c r="S51" i="1" s="1"/>
  <c r="V51" i="1" s="1"/>
  <c r="G50" i="1"/>
  <c r="S50" i="1" s="1"/>
  <c r="V50" i="1" s="1"/>
  <c r="G49" i="1"/>
  <c r="S49" i="1" s="1"/>
  <c r="V49" i="1" s="1"/>
  <c r="G36" i="1"/>
  <c r="S36" i="1" s="1"/>
  <c r="V36" i="1" s="1"/>
  <c r="G29" i="1"/>
  <c r="S29" i="1" s="1"/>
  <c r="V29" i="1" s="1"/>
  <c r="G28" i="1"/>
  <c r="S28" i="1" s="1"/>
  <c r="G10" i="1"/>
  <c r="S10" i="1" s="1"/>
  <c r="V10" i="1" s="1"/>
  <c r="V28" i="1" l="1"/>
  <c r="U8" i="1"/>
  <c r="H86" i="1"/>
  <c r="C165" i="1" s="1"/>
  <c r="C170" i="1"/>
  <c r="G71" i="1" l="1"/>
  <c r="S71" i="1" s="1"/>
  <c r="V71" i="1" s="1"/>
  <c r="G70" i="1"/>
  <c r="S70" i="1" s="1"/>
  <c r="V70" i="1" s="1"/>
  <c r="G69" i="1"/>
  <c r="S69" i="1" s="1"/>
  <c r="G58" i="1"/>
  <c r="S58" i="1" s="1"/>
  <c r="V58" i="1" s="1"/>
  <c r="G57" i="1"/>
  <c r="S57" i="1" s="1"/>
  <c r="V57" i="1" s="1"/>
  <c r="G56" i="1"/>
  <c r="S56" i="1" s="1"/>
  <c r="V56" i="1" s="1"/>
  <c r="G55" i="1"/>
  <c r="S55" i="1" s="1"/>
  <c r="V55" i="1" s="1"/>
  <c r="G48" i="1"/>
  <c r="S48" i="1" s="1"/>
  <c r="V48" i="1" s="1"/>
  <c r="G42" i="1"/>
  <c r="S42" i="1" s="1"/>
  <c r="V42" i="1" s="1"/>
  <c r="G40" i="1"/>
  <c r="S40" i="1" s="1"/>
  <c r="V40" i="1" s="1"/>
  <c r="G38" i="1"/>
  <c r="S38" i="1" s="1"/>
  <c r="V38" i="1" s="1"/>
  <c r="G37" i="1"/>
  <c r="S37" i="1" s="1"/>
  <c r="V37" i="1" s="1"/>
  <c r="V69" i="1" l="1"/>
  <c r="V85" i="1" s="1"/>
  <c r="S85" i="1"/>
  <c r="V44" i="1"/>
  <c r="U85" i="1"/>
  <c r="S44" i="1"/>
  <c r="U70" i="1"/>
  <c r="U71" i="1"/>
  <c r="G85" i="1"/>
  <c r="G30" i="1"/>
  <c r="S30" i="1" s="1"/>
  <c r="G24" i="1"/>
  <c r="S24" i="1" s="1"/>
  <c r="V24" i="1" s="1"/>
  <c r="G23" i="1"/>
  <c r="S23" i="1" s="1"/>
  <c r="V23" i="1" s="1"/>
  <c r="G22" i="1"/>
  <c r="S22" i="1" s="1"/>
  <c r="V22" i="1" s="1"/>
  <c r="G21" i="1"/>
  <c r="S21" i="1" s="1"/>
  <c r="V21" i="1" s="1"/>
  <c r="G20" i="1"/>
  <c r="S20" i="1" s="1"/>
  <c r="V20" i="1" s="1"/>
  <c r="G18" i="1"/>
  <c r="S18" i="1" s="1"/>
  <c r="G14" i="1"/>
  <c r="S14" i="1" s="1"/>
  <c r="V14" i="1" s="1"/>
  <c r="G12" i="1"/>
  <c r="S12" i="1" s="1"/>
  <c r="V12" i="1" s="1"/>
  <c r="G11" i="1"/>
  <c r="S11" i="1" s="1"/>
  <c r="V11" i="1" s="1"/>
  <c r="G9" i="1"/>
  <c r="S9" i="1" s="1"/>
  <c r="V9" i="1" s="1"/>
  <c r="U18" i="1" l="1"/>
  <c r="V18" i="1"/>
  <c r="V30" i="1"/>
  <c r="V33" i="1" s="1"/>
  <c r="S33" i="1"/>
  <c r="S15" i="1"/>
  <c r="U9" i="1"/>
  <c r="V25" i="1"/>
  <c r="S25" i="1"/>
  <c r="U11" i="1"/>
  <c r="G15" i="1"/>
  <c r="S65" i="1"/>
  <c r="U65" i="1" l="1"/>
  <c r="T66" i="1" l="1"/>
  <c r="G59" i="1"/>
  <c r="G52" i="1"/>
  <c r="G44" i="1"/>
  <c r="G33" i="1"/>
  <c r="G25" i="1"/>
  <c r="T46" i="1" l="1"/>
  <c r="T86" i="1" s="1"/>
  <c r="G46" i="1"/>
  <c r="G66" i="1"/>
  <c r="U20" i="1"/>
  <c r="U14" i="1"/>
  <c r="U12" i="1"/>
  <c r="U49" i="1"/>
  <c r="U51" i="1"/>
  <c r="U57" i="1"/>
  <c r="U58" i="1"/>
  <c r="U69" i="1"/>
  <c r="U73" i="1"/>
  <c r="U75" i="1"/>
  <c r="U81" i="1"/>
  <c r="U83" i="1"/>
  <c r="U48" i="1"/>
  <c r="U50" i="1"/>
  <c r="U56" i="1"/>
  <c r="U72" i="1"/>
  <c r="U74" i="1"/>
  <c r="U76" i="1"/>
  <c r="U80" i="1"/>
  <c r="U82" i="1"/>
  <c r="U84" i="1"/>
  <c r="U64" i="1"/>
  <c r="U55" i="1"/>
  <c r="U36" i="1"/>
  <c r="U28" i="1"/>
  <c r="U43" i="1"/>
  <c r="U42" i="1"/>
  <c r="U41" i="1"/>
  <c r="U40" i="1"/>
  <c r="U39" i="1"/>
  <c r="U38" i="1"/>
  <c r="U37" i="1"/>
  <c r="U30" i="1"/>
  <c r="U29" i="1"/>
  <c r="V52" i="1"/>
  <c r="U25" i="1"/>
  <c r="U21" i="1"/>
  <c r="U22" i="1"/>
  <c r="U24" i="1"/>
  <c r="U23" i="1"/>
  <c r="U10" i="1"/>
  <c r="V59" i="1"/>
  <c r="U44" i="1"/>
  <c r="S52" i="1"/>
  <c r="S59" i="1"/>
  <c r="U33" i="1" l="1"/>
  <c r="S46" i="1"/>
  <c r="U46" i="1" s="1"/>
  <c r="S66" i="1"/>
  <c r="U66" i="1" s="1"/>
  <c r="G86" i="1"/>
  <c r="C172" i="1" s="1"/>
  <c r="V66" i="1"/>
  <c r="U52" i="1"/>
  <c r="U59" i="1"/>
  <c r="U13" i="1"/>
  <c r="U15" i="1"/>
  <c r="V15" i="1"/>
  <c r="V46" i="1" l="1"/>
  <c r="V86" i="1" s="1"/>
  <c r="S86" i="1"/>
  <c r="U86" i="1" s="1"/>
</calcChain>
</file>

<file path=xl/sharedStrings.xml><?xml version="1.0" encoding="utf-8"?>
<sst xmlns="http://schemas.openxmlformats.org/spreadsheetml/2006/main" count="164" uniqueCount="121">
  <si>
    <t>No</t>
  </si>
  <si>
    <t>Pemasaran Daerah</t>
  </si>
  <si>
    <t>Wilayah</t>
  </si>
  <si>
    <t>Fasilitas</t>
  </si>
  <si>
    <t>Target</t>
  </si>
  <si>
    <t>TOTAL</t>
  </si>
  <si>
    <t>RATA RATA</t>
  </si>
  <si>
    <t>: Eleaser</t>
  </si>
  <si>
    <t>Sulawesi Barat</t>
  </si>
  <si>
    <t>Mobil 1 Unit</t>
  </si>
  <si>
    <t xml:space="preserve">Anggota </t>
  </si>
  <si>
    <t>: Valdi Arnada</t>
  </si>
  <si>
    <t>Donggala</t>
  </si>
  <si>
    <t>Motor 1 Unit</t>
  </si>
  <si>
    <t>Mamuju</t>
  </si>
  <si>
    <t>Mamuju Utara</t>
  </si>
  <si>
    <t>Mamuju Tengah</t>
  </si>
  <si>
    <t>Polman</t>
  </si>
  <si>
    <t>Majene</t>
  </si>
  <si>
    <t>: Yusri Suhaeri</t>
  </si>
  <si>
    <t>Sulawesi Tengah/ Gorontalo</t>
  </si>
  <si>
    <t>: Arifin</t>
  </si>
  <si>
    <t xml:space="preserve">  Syahrun Nuzul K</t>
  </si>
  <si>
    <t>Toli Toli</t>
  </si>
  <si>
    <t>Gorontalo</t>
  </si>
  <si>
    <t>Palu</t>
  </si>
  <si>
    <t>Poso</t>
  </si>
  <si>
    <t>Morowali</t>
  </si>
  <si>
    <t>: Fachruddin</t>
  </si>
  <si>
    <t>Luwu Raya</t>
  </si>
  <si>
    <t>: Abd Malik S</t>
  </si>
  <si>
    <t>Luwu Utara</t>
  </si>
  <si>
    <t>Luwu Timur</t>
  </si>
  <si>
    <t>Luwu</t>
  </si>
  <si>
    <t>Palopo</t>
  </si>
  <si>
    <t>: Ahmad Muhammad</t>
  </si>
  <si>
    <t>Sulawesi Tenggara</t>
  </si>
  <si>
    <t>: Munandar</t>
  </si>
  <si>
    <t>Kolaka Utara</t>
  </si>
  <si>
    <t xml:space="preserve">  Hardyansyah</t>
  </si>
  <si>
    <t>Kolaka Kota</t>
  </si>
  <si>
    <t xml:space="preserve">  Zaenul</t>
  </si>
  <si>
    <t xml:space="preserve">Bombana </t>
  </si>
  <si>
    <t>Kendari</t>
  </si>
  <si>
    <t>Konawe Selatan</t>
  </si>
  <si>
    <t>Konawe Utara</t>
  </si>
  <si>
    <t xml:space="preserve">Raha </t>
  </si>
  <si>
    <t>Buton</t>
  </si>
  <si>
    <t>Pinrang</t>
  </si>
  <si>
    <t>Wilayah II</t>
  </si>
  <si>
    <t>Pare Pare</t>
  </si>
  <si>
    <t>Barru</t>
  </si>
  <si>
    <t xml:space="preserve">Pangkep </t>
  </si>
  <si>
    <t>Maros</t>
  </si>
  <si>
    <t>Wajo</t>
  </si>
  <si>
    <t>Bone</t>
  </si>
  <si>
    <t>Sinjai</t>
  </si>
  <si>
    <t>Jeneponto</t>
  </si>
  <si>
    <t>Bulukumba/Selayar/Bantaeng</t>
  </si>
  <si>
    <t>ANTAR PULAU</t>
  </si>
  <si>
    <t>Luwuk Banggai</t>
  </si>
  <si>
    <t>Yogyakarta</t>
  </si>
  <si>
    <t>Ternate</t>
  </si>
  <si>
    <t>Gresik</t>
  </si>
  <si>
    <t>Sumbawa/ Lombok</t>
  </si>
  <si>
    <t>Tuban/Surabaya</t>
  </si>
  <si>
    <t>Berau, Kal. Utara</t>
  </si>
  <si>
    <t>Tarakan/Nunukan, Kalut</t>
  </si>
  <si>
    <t>Balikpapan/Samarinda, Kaltim</t>
  </si>
  <si>
    <t>Semarang</t>
  </si>
  <si>
    <t>Papua/ Jaya Pura</t>
  </si>
  <si>
    <t>Pangkal Pinang</t>
  </si>
  <si>
    <t>Bengkulu/ Bengkalis</t>
  </si>
  <si>
    <t>Manado</t>
  </si>
  <si>
    <t>REALISASI</t>
  </si>
  <si>
    <t>% vs Target</t>
  </si>
  <si>
    <t>Parigi</t>
  </si>
  <si>
    <t>Moutong</t>
  </si>
  <si>
    <t>Bulukumba (Intensif)</t>
  </si>
  <si>
    <t>Takalar (Intensif)</t>
  </si>
  <si>
    <t>Makassar</t>
  </si>
  <si>
    <t>REALISASI PEMASARAN DAERAH</t>
  </si>
  <si>
    <t>Asist. Korwil</t>
  </si>
  <si>
    <t>: Wahyudi</t>
  </si>
  <si>
    <t>: Sam Nugraha Kinas</t>
  </si>
  <si>
    <t>Januari</t>
  </si>
  <si>
    <t>: Riswandi</t>
  </si>
  <si>
    <t>: Wawan Gunawan</t>
  </si>
  <si>
    <t>Jumlah</t>
  </si>
  <si>
    <t>Cash Back</t>
  </si>
  <si>
    <t xml:space="preserve">Februari </t>
  </si>
  <si>
    <t>Penjualan per 01 s/d 31 Januari 2020</t>
  </si>
  <si>
    <t>Penjualan per 01 s/d 29 Februari 2020</t>
  </si>
  <si>
    <t>Maret</t>
  </si>
  <si>
    <t>Penjualan per 01 s/d 31 Maret 2020</t>
  </si>
  <si>
    <t>Penjualan per 01 s/d 30 April 2020</t>
  </si>
  <si>
    <t>April</t>
  </si>
  <si>
    <t>Mei</t>
  </si>
  <si>
    <t>Penjualan per 01 s/d 31 Mei 2020</t>
  </si>
  <si>
    <t>Juni</t>
  </si>
  <si>
    <t>Penjualan per 01 s/d 30 Juni 2020</t>
  </si>
  <si>
    <t>Parigi (Intensif)</t>
  </si>
  <si>
    <t>Pontianak, Kalbar</t>
  </si>
  <si>
    <t>Juli</t>
  </si>
  <si>
    <t>Batu Licin, Kalsel</t>
  </si>
  <si>
    <t>Penjualan per 01 s/d 31 Juli 2020</t>
  </si>
  <si>
    <t>Agustus</t>
  </si>
  <si>
    <t>Penjualan per 01 s/d 31 Agustus 2020</t>
  </si>
  <si>
    <t>September</t>
  </si>
  <si>
    <t xml:space="preserve"> </t>
  </si>
  <si>
    <t>Penjualan per 01 s/d 30 September 2020</t>
  </si>
  <si>
    <t>: Putra Jaya Sasmita</t>
  </si>
  <si>
    <t>: Syahrul Usman</t>
  </si>
  <si>
    <t>Oktober</t>
  </si>
  <si>
    <t>Penjualan per 01 s/d 31 Oktober 2020</t>
  </si>
  <si>
    <t>November</t>
  </si>
  <si>
    <t>Penjualan per 01 s/d 30 November 2020</t>
  </si>
  <si>
    <t>Desember</t>
  </si>
  <si>
    <t>Jalang'E, 02 Januari 2020</t>
  </si>
  <si>
    <t>Penjualan per 01 s/d 31 Desember 2020</t>
  </si>
  <si>
    <t>BULAN JANUARI S/D DESEMBER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</si>
</sst>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48">
    <xf numFmtId="0" fontId="0" fillId="0" borderId="0" xfId="0"/>
    <xf numFmtId="0" fontId="0" fillId="0" borderId="0" xfId="0" applyAlignment="1">
      <alignment horizontal="center" vertical="center"/>
    </xf>
    <xf numFmtId="0" fontId="3" fillId="0" borderId="23" xfId="4" applyFont="1" applyBorder="1"/>
    <xf numFmtId="41" fontId="0" fillId="0" borderId="0" xfId="0" applyNumberFormat="1"/>
    <xf numFmtId="10" fontId="0" fillId="0" borderId="0" xfId="3" applyNumberFormat="1" applyFont="1"/>
    <xf numFmtId="0" fontId="4" fillId="0" borderId="0" xfId="0" applyFont="1" applyAlignment="1">
      <alignment horizontal="center" vertical="center"/>
    </xf>
    <xf numFmtId="0" fontId="4" fillId="0" borderId="0" xfId="0" applyFont="1"/>
    <xf numFmtId="10" fontId="4" fillId="0" borderId="0" xfId="3" applyNumberFormat="1" applyFont="1"/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2" borderId="18" xfId="0" applyFont="1" applyFill="1" applyBorder="1"/>
    <xf numFmtId="10" fontId="4" fillId="2" borderId="18" xfId="3" applyNumberFormat="1" applyFont="1" applyFill="1" applyBorder="1"/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2" borderId="24" xfId="0" applyFont="1" applyFill="1" applyBorder="1"/>
    <xf numFmtId="10" fontId="4" fillId="2" borderId="24" xfId="3" applyNumberFormat="1" applyFont="1" applyFill="1" applyBorder="1"/>
    <xf numFmtId="164" fontId="4" fillId="0" borderId="23" xfId="2" applyFont="1" applyBorder="1"/>
    <xf numFmtId="41" fontId="4" fillId="2" borderId="24" xfId="0" applyNumberFormat="1" applyFont="1" applyFill="1" applyBorder="1"/>
    <xf numFmtId="166" fontId="4" fillId="2" borderId="24" xfId="0" applyNumberFormat="1" applyFont="1" applyFill="1" applyBorder="1"/>
    <xf numFmtId="41" fontId="4" fillId="0" borderId="23" xfId="2" applyNumberFormat="1" applyFont="1" applyBorder="1"/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41" fontId="4" fillId="0" borderId="29" xfId="2" applyNumberFormat="1" applyFont="1" applyBorder="1"/>
    <xf numFmtId="41" fontId="4" fillId="0" borderId="17" xfId="2" applyNumberFormat="1" applyFont="1" applyBorder="1"/>
    <xf numFmtId="164" fontId="4" fillId="0" borderId="29" xfId="2" applyFont="1" applyBorder="1"/>
    <xf numFmtId="164" fontId="4" fillId="0" borderId="17" xfId="2" applyFont="1" applyBorder="1"/>
    <xf numFmtId="0" fontId="6" fillId="0" borderId="22" xfId="0" applyFont="1" applyBorder="1"/>
    <xf numFmtId="0" fontId="4" fillId="2" borderId="37" xfId="0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10" fontId="4" fillId="2" borderId="40" xfId="3" applyNumberFormat="1" applyFont="1" applyFill="1" applyBorder="1"/>
    <xf numFmtId="0" fontId="4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11" xfId="0" applyFont="1" applyBorder="1"/>
    <xf numFmtId="166" fontId="4" fillId="2" borderId="30" xfId="0" applyNumberFormat="1" applyFont="1" applyFill="1" applyBorder="1"/>
    <xf numFmtId="0" fontId="3" fillId="0" borderId="20" xfId="0" applyFont="1" applyBorder="1"/>
    <xf numFmtId="0" fontId="7" fillId="0" borderId="0" xfId="0" applyFont="1" applyAlignment="1">
      <alignment horizontal="center" vertical="center"/>
    </xf>
    <xf numFmtId="0" fontId="3" fillId="0" borderId="14" xfId="0" applyFont="1" applyBorder="1"/>
    <xf numFmtId="41" fontId="4" fillId="2" borderId="18" xfId="0" applyNumberFormat="1" applyFont="1" applyFill="1" applyBorder="1"/>
    <xf numFmtId="0" fontId="4" fillId="0" borderId="5" xfId="0" applyFont="1" applyBorder="1"/>
    <xf numFmtId="0" fontId="4" fillId="2" borderId="40" xfId="0" applyFont="1" applyFill="1" applyBorder="1"/>
    <xf numFmtId="0" fontId="4" fillId="0" borderId="21" xfId="4" applyFont="1" applyBorder="1"/>
    <xf numFmtId="0" fontId="4" fillId="0" borderId="21" xfId="4" applyFont="1" applyFill="1" applyBorder="1"/>
    <xf numFmtId="0" fontId="4" fillId="0" borderId="9" xfId="4" applyFont="1" applyFill="1" applyBorder="1"/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/>
    <xf numFmtId="0" fontId="3" fillId="3" borderId="33" xfId="0" applyFont="1" applyFill="1" applyBorder="1"/>
    <xf numFmtId="0" fontId="3" fillId="3" borderId="34" xfId="0" applyFont="1" applyFill="1" applyBorder="1"/>
    <xf numFmtId="41" fontId="3" fillId="3" borderId="35" xfId="2" applyNumberFormat="1" applyFont="1" applyFill="1" applyBorder="1"/>
    <xf numFmtId="41" fontId="3" fillId="3" borderId="36" xfId="0" applyNumberFormat="1" applyFont="1" applyFill="1" applyBorder="1"/>
    <xf numFmtId="10" fontId="3" fillId="3" borderId="36" xfId="3" applyNumberFormat="1" applyFont="1" applyFill="1" applyBorder="1"/>
    <xf numFmtId="166" fontId="3" fillId="3" borderId="36" xfId="0" applyNumberFormat="1" applyFont="1" applyFill="1" applyBorder="1"/>
    <xf numFmtId="0" fontId="7" fillId="0" borderId="0" xfId="0" applyFont="1"/>
    <xf numFmtId="164" fontId="3" fillId="3" borderId="35" xfId="2" applyFont="1" applyFill="1" applyBorder="1"/>
    <xf numFmtId="164" fontId="3" fillId="3" borderId="36" xfId="2" applyFont="1" applyFill="1" applyBorder="1"/>
    <xf numFmtId="41" fontId="3" fillId="3" borderId="38" xfId="0" applyNumberFormat="1" applyFont="1" applyFill="1" applyBorder="1"/>
    <xf numFmtId="0" fontId="3" fillId="4" borderId="31" xfId="0" applyFont="1" applyFill="1" applyBorder="1" applyAlignment="1">
      <alignment horizontal="center" vertical="center"/>
    </xf>
    <xf numFmtId="0" fontId="3" fillId="4" borderId="34" xfId="0" applyFont="1" applyFill="1" applyBorder="1"/>
    <xf numFmtId="41" fontId="3" fillId="4" borderId="38" xfId="0" applyNumberFormat="1" applyFont="1" applyFill="1" applyBorder="1"/>
    <xf numFmtId="164" fontId="4" fillId="0" borderId="0" xfId="0" applyNumberFormat="1" applyFont="1"/>
    <xf numFmtId="164" fontId="4" fillId="0" borderId="15" xfId="0" applyNumberFormat="1" applyFont="1" applyBorder="1"/>
    <xf numFmtId="164" fontId="4" fillId="0" borderId="21" xfId="0" applyNumberFormat="1" applyFont="1" applyBorder="1"/>
    <xf numFmtId="164" fontId="3" fillId="3" borderId="33" xfId="0" applyNumberFormat="1" applyFont="1" applyFill="1" applyBorder="1"/>
    <xf numFmtId="164" fontId="4" fillId="0" borderId="27" xfId="0" applyNumberFormat="1" applyFont="1" applyBorder="1"/>
    <xf numFmtId="164" fontId="4" fillId="0" borderId="3" xfId="0" applyNumberFormat="1" applyFont="1" applyBorder="1"/>
    <xf numFmtId="164" fontId="4" fillId="0" borderId="9" xfId="0" applyNumberFormat="1" applyFont="1" applyBorder="1"/>
    <xf numFmtId="164" fontId="3" fillId="3" borderId="34" xfId="0" applyNumberFormat="1" applyFont="1" applyFill="1" applyBorder="1"/>
    <xf numFmtId="164" fontId="3" fillId="4" borderId="34" xfId="0" applyNumberFormat="1" applyFont="1" applyFill="1" applyBorder="1"/>
    <xf numFmtId="164" fontId="0" fillId="0" borderId="0" xfId="0" applyNumberFormat="1"/>
    <xf numFmtId="164" fontId="4" fillId="0" borderId="41" xfId="0" applyNumberFormat="1" applyFont="1" applyBorder="1"/>
    <xf numFmtId="0" fontId="10" fillId="0" borderId="0" xfId="0" applyFont="1"/>
    <xf numFmtId="164" fontId="3" fillId="0" borderId="0" xfId="0" applyNumberFormat="1" applyFont="1"/>
    <xf numFmtId="164" fontId="10" fillId="0" borderId="42" xfId="0" applyNumberFormat="1" applyFont="1" applyBorder="1"/>
    <xf numFmtId="0" fontId="3" fillId="4" borderId="32" xfId="0" applyFont="1" applyFill="1" applyBorder="1"/>
    <xf numFmtId="164" fontId="3" fillId="4" borderId="33" xfId="0" applyNumberFormat="1" applyFont="1" applyFill="1" applyBorder="1"/>
    <xf numFmtId="0" fontId="3" fillId="4" borderId="33" xfId="0" applyFont="1" applyFill="1" applyBorder="1"/>
    <xf numFmtId="164" fontId="3" fillId="4" borderId="35" xfId="0" applyNumberFormat="1" applyFont="1" applyFill="1" applyBorder="1"/>
    <xf numFmtId="0" fontId="3" fillId="0" borderId="20" xfId="4" applyFont="1" applyBorder="1"/>
    <xf numFmtId="41" fontId="3" fillId="4" borderId="39" xfId="0" applyNumberFormat="1" applyFont="1" applyFill="1" applyBorder="1"/>
    <xf numFmtId="10" fontId="3" fillId="3" borderId="38" xfId="3" applyNumberFormat="1" applyFont="1" applyFill="1" applyBorder="1"/>
    <xf numFmtId="0" fontId="4" fillId="3" borderId="0" xfId="0" applyFont="1" applyFill="1"/>
    <xf numFmtId="164" fontId="4" fillId="3" borderId="0" xfId="0" applyNumberFormat="1" applyFont="1" applyFill="1"/>
    <xf numFmtId="164" fontId="3" fillId="4" borderId="38" xfId="0" applyNumberFormat="1" applyFont="1" applyFill="1" applyBorder="1"/>
    <xf numFmtId="164" fontId="3" fillId="3" borderId="32" xfId="2" applyFont="1" applyFill="1" applyBorder="1"/>
    <xf numFmtId="164" fontId="3" fillId="4" borderId="36" xfId="0" applyNumberFormat="1" applyFont="1" applyFill="1" applyBorder="1"/>
    <xf numFmtId="41" fontId="3" fillId="4" borderId="31" xfId="0" applyNumberFormat="1" applyFont="1" applyFill="1" applyBorder="1"/>
    <xf numFmtId="10" fontId="3" fillId="4" borderId="36" xfId="3" applyNumberFormat="1" applyFont="1" applyFill="1" applyBorder="1"/>
    <xf numFmtId="164" fontId="3" fillId="3" borderId="38" xfId="2" applyFont="1" applyFill="1" applyBorder="1"/>
    <xf numFmtId="0" fontId="3" fillId="4" borderId="46" xfId="0" applyFont="1" applyFill="1" applyBorder="1" applyAlignment="1">
      <alignment horizontal="center" vertical="center"/>
    </xf>
    <xf numFmtId="164" fontId="3" fillId="3" borderId="34" xfId="2" applyFont="1" applyFill="1" applyBorder="1"/>
    <xf numFmtId="41" fontId="3" fillId="3" borderId="34" xfId="0" applyNumberFormat="1" applyFont="1" applyFill="1" applyBorder="1"/>
    <xf numFmtId="0" fontId="3" fillId="4" borderId="47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6" fontId="4" fillId="0" borderId="17" xfId="1" applyNumberFormat="1" applyFont="1" applyBorder="1"/>
    <xf numFmtId="164" fontId="4" fillId="0" borderId="11" xfId="2" applyFont="1" applyBorder="1"/>
    <xf numFmtId="41" fontId="3" fillId="3" borderId="32" xfId="0" applyNumberFormat="1" applyFont="1" applyFill="1" applyBorder="1"/>
    <xf numFmtId="41" fontId="3" fillId="3" borderId="39" xfId="0" applyNumberFormat="1" applyFont="1" applyFill="1" applyBorder="1"/>
    <xf numFmtId="10" fontId="9" fillId="0" borderId="0" xfId="3" applyNumberFormat="1" applyFont="1" applyAlignment="1">
      <alignment horizontal="right"/>
    </xf>
    <xf numFmtId="41" fontId="3" fillId="3" borderId="35" xfId="0" applyNumberFormat="1" applyFont="1" applyFill="1" applyBorder="1"/>
    <xf numFmtId="164" fontId="3" fillId="3" borderId="33" xfId="2" applyFont="1" applyFill="1" applyBorder="1"/>
    <xf numFmtId="164" fontId="4" fillId="0" borderId="21" xfId="2" applyFont="1" applyBorder="1"/>
    <xf numFmtId="164" fontId="4" fillId="0" borderId="9" xfId="2" applyFont="1" applyBorder="1"/>
    <xf numFmtId="41" fontId="3" fillId="3" borderId="33" xfId="2" applyNumberFormat="1" applyFont="1" applyFill="1" applyBorder="1"/>
    <xf numFmtId="41" fontId="4" fillId="0" borderId="3" xfId="2" applyNumberFormat="1" applyFont="1" applyBorder="1"/>
    <xf numFmtId="164" fontId="4" fillId="0" borderId="3" xfId="2" applyFont="1" applyBorder="1"/>
    <xf numFmtId="164" fontId="4" fillId="0" borderId="27" xfId="2" applyFont="1" applyBorder="1"/>
    <xf numFmtId="41" fontId="4" fillId="0" borderId="9" xfId="2" applyNumberFormat="1" applyFont="1" applyBorder="1"/>
    <xf numFmtId="41" fontId="3" fillId="3" borderId="33" xfId="0" applyNumberFormat="1" applyFont="1" applyFill="1" applyBorder="1"/>
    <xf numFmtId="0" fontId="4" fillId="0" borderId="33" xfId="0" applyFont="1" applyBorder="1"/>
    <xf numFmtId="166" fontId="4" fillId="0" borderId="48" xfId="1" applyNumberFormat="1" applyFont="1" applyBorder="1"/>
    <xf numFmtId="41" fontId="4" fillId="0" borderId="15" xfId="2" applyNumberFormat="1" applyFont="1" applyBorder="1"/>
    <xf numFmtId="164" fontId="4" fillId="0" borderId="15" xfId="2" applyFont="1" applyBorder="1"/>
    <xf numFmtId="41" fontId="4" fillId="0" borderId="27" xfId="2" applyNumberFormat="1" applyFont="1" applyBorder="1"/>
    <xf numFmtId="0" fontId="11" fillId="0" borderId="0" xfId="0" applyFont="1" applyFill="1"/>
    <xf numFmtId="10" fontId="9" fillId="0" borderId="0" xfId="3" applyNumberFormat="1" applyFont="1" applyAlignment="1">
      <alignment horizontal="right"/>
    </xf>
    <xf numFmtId="0" fontId="4" fillId="0" borderId="9" xfId="0" applyFont="1" applyBorder="1"/>
    <xf numFmtId="10" fontId="9" fillId="0" borderId="0" xfId="3" applyNumberFormat="1" applyFont="1" applyAlignment="1">
      <alignment horizontal="right"/>
    </xf>
    <xf numFmtId="10" fontId="9" fillId="0" borderId="0" xfId="3" applyNumberFormat="1" applyFont="1" applyAlignment="1">
      <alignment horizontal="right"/>
    </xf>
    <xf numFmtId="164" fontId="3" fillId="4" borderId="31" xfId="0" applyNumberFormat="1" applyFont="1" applyFill="1" applyBorder="1"/>
    <xf numFmtId="10" fontId="9" fillId="0" borderId="0" xfId="3" applyNumberFormat="1" applyFont="1" applyAlignment="1">
      <alignment horizontal="right"/>
    </xf>
    <xf numFmtId="10" fontId="9" fillId="0" borderId="0" xfId="3" applyNumberFormat="1" applyFont="1" applyAlignment="1">
      <alignment horizontal="right"/>
    </xf>
    <xf numFmtId="10" fontId="3" fillId="2" borderId="6" xfId="3" applyNumberFormat="1" applyFont="1" applyFill="1" applyBorder="1" applyAlignment="1">
      <alignment horizontal="center" vertical="center"/>
    </xf>
    <xf numFmtId="10" fontId="3" fillId="2" borderId="12" xfId="3" applyNumberFormat="1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Normal" xfId="0" builtinId="0"/>
    <cellStyle name="Normal 3" xfId="4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.%20Lap.%20Harian%20Produksi%20&amp;%20Penjualan%20Semester%20I%20Per%20April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. Semester I &amp; II"/>
      <sheetName val="Realisasi Pen. Januari"/>
      <sheetName val="Realisasi Pen. Februari"/>
      <sheetName val="Realisasi Pen. Maret"/>
      <sheetName val="Realisasi Pen. April"/>
      <sheetName val="Realisasi Pen. Mei"/>
      <sheetName val="Cash Back &amp; Penggantian"/>
      <sheetName val="Styrofoam &amp; Es Botol"/>
      <sheetName val="Lap. Pen. Parigi"/>
      <sheetName val="Lap. Pen. Gorontalo"/>
      <sheetName val="N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4">
          <cell r="I434">
            <v>1042000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W175"/>
  <sheetViews>
    <sheetView tabSelected="1" topLeftCell="E1" zoomScale="80" zoomScaleNormal="80" workbookViewId="0">
      <pane ySplit="5" topLeftCell="A6" activePane="bottomLeft" state="frozen"/>
      <selection pane="bottomLeft" activeCell="A2" sqref="A2:V2"/>
    </sheetView>
  </sheetViews>
  <sheetFormatPr defaultRowHeight="15" x14ac:dyDescent="0.25"/>
  <cols>
    <col min="1" max="1" width="5" style="1" customWidth="1"/>
    <col min="2" max="2" width="13.140625" customWidth="1"/>
    <col min="3" max="3" width="20.7109375" style="78" customWidth="1"/>
    <col min="4" max="4" width="3.7109375" customWidth="1"/>
    <col min="5" max="5" width="29.28515625" customWidth="1"/>
    <col min="6" max="6" width="16.28515625" hidden="1" customWidth="1"/>
    <col min="7" max="18" width="15.7109375" customWidth="1"/>
    <col min="19" max="19" width="16.5703125" customWidth="1"/>
    <col min="20" max="20" width="16.85546875" customWidth="1"/>
    <col min="21" max="21" width="13.7109375" style="4" customWidth="1"/>
    <col min="22" max="22" width="15.7109375" customWidth="1"/>
  </cols>
  <sheetData>
    <row r="1" spans="1:22" ht="18" x14ac:dyDescent="0.25">
      <c r="A1" s="134" t="s">
        <v>81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8.75" thickBot="1" x14ac:dyDescent="0.3">
      <c r="A2" s="133" t="s">
        <v>120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</row>
    <row r="3" spans="1:22" ht="7.5" customHeight="1" thickTop="1" thickBot="1" x14ac:dyDescent="0.3">
      <c r="A3" s="5"/>
      <c r="B3" s="6"/>
      <c r="C3" s="6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6"/>
    </row>
    <row r="4" spans="1:22" s="46" customFormat="1" ht="15.75" thickBot="1" x14ac:dyDescent="0.3">
      <c r="A4" s="135" t="s">
        <v>0</v>
      </c>
      <c r="B4" s="135" t="s">
        <v>1</v>
      </c>
      <c r="C4" s="137"/>
      <c r="D4" s="135" t="s">
        <v>2</v>
      </c>
      <c r="E4" s="137"/>
      <c r="F4" s="139" t="s">
        <v>3</v>
      </c>
      <c r="G4" s="145" t="s">
        <v>74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7"/>
      <c r="S4" s="141" t="s">
        <v>5</v>
      </c>
      <c r="T4" s="141" t="s">
        <v>4</v>
      </c>
      <c r="U4" s="131" t="s">
        <v>75</v>
      </c>
      <c r="V4" s="143" t="s">
        <v>6</v>
      </c>
    </row>
    <row r="5" spans="1:22" s="46" customFormat="1" ht="15.75" thickBot="1" x14ac:dyDescent="0.3">
      <c r="A5" s="136"/>
      <c r="B5" s="136"/>
      <c r="C5" s="138"/>
      <c r="D5" s="136"/>
      <c r="E5" s="138"/>
      <c r="F5" s="140"/>
      <c r="G5" s="101" t="s">
        <v>85</v>
      </c>
      <c r="H5" s="102" t="s">
        <v>90</v>
      </c>
      <c r="I5" s="98" t="s">
        <v>93</v>
      </c>
      <c r="J5" s="98" t="s">
        <v>96</v>
      </c>
      <c r="K5" s="98" t="s">
        <v>97</v>
      </c>
      <c r="L5" s="98" t="s">
        <v>99</v>
      </c>
      <c r="M5" s="98" t="s">
        <v>103</v>
      </c>
      <c r="N5" s="98" t="s">
        <v>106</v>
      </c>
      <c r="O5" s="98" t="s">
        <v>108</v>
      </c>
      <c r="P5" s="98" t="s">
        <v>113</v>
      </c>
      <c r="Q5" s="98" t="s">
        <v>115</v>
      </c>
      <c r="R5" s="98" t="s">
        <v>117</v>
      </c>
      <c r="S5" s="142"/>
      <c r="T5" s="142"/>
      <c r="U5" s="132"/>
      <c r="V5" s="144"/>
    </row>
    <row r="6" spans="1:22" x14ac:dyDescent="0.25">
      <c r="A6" s="8"/>
      <c r="B6" s="9"/>
      <c r="C6" s="70"/>
      <c r="D6" s="9"/>
      <c r="E6" s="10"/>
      <c r="F6" s="11"/>
      <c r="G6" s="12"/>
      <c r="H6" s="11"/>
      <c r="I6" s="37"/>
      <c r="J6" s="37"/>
      <c r="K6" s="49"/>
      <c r="L6" s="49"/>
      <c r="M6" s="49"/>
      <c r="N6" s="49"/>
      <c r="O6" s="49"/>
      <c r="P6" s="49"/>
      <c r="Q6" s="49"/>
      <c r="R6" s="49"/>
      <c r="S6" s="13"/>
      <c r="T6" s="13"/>
      <c r="U6" s="14"/>
      <c r="V6" s="13"/>
    </row>
    <row r="7" spans="1:22" x14ac:dyDescent="0.25">
      <c r="A7" s="15">
        <v>1</v>
      </c>
      <c r="B7" s="16" t="s">
        <v>82</v>
      </c>
      <c r="C7" s="71" t="s">
        <v>7</v>
      </c>
      <c r="D7" s="45" t="s">
        <v>8</v>
      </c>
      <c r="E7" s="17"/>
      <c r="F7" s="18" t="s">
        <v>9</v>
      </c>
      <c r="G7" s="19"/>
      <c r="H7" s="18"/>
      <c r="I7" s="16"/>
      <c r="J7" s="16"/>
      <c r="K7" s="19"/>
      <c r="L7" s="12"/>
      <c r="M7" s="12"/>
      <c r="N7" s="12"/>
      <c r="O7" s="12"/>
      <c r="P7" s="12"/>
      <c r="Q7" s="12"/>
      <c r="R7" s="12"/>
      <c r="S7" s="20"/>
      <c r="T7" s="20"/>
      <c r="U7" s="21"/>
      <c r="V7" s="20"/>
    </row>
    <row r="8" spans="1:22" x14ac:dyDescent="0.25">
      <c r="A8" s="15"/>
      <c r="B8" s="16" t="s">
        <v>10</v>
      </c>
      <c r="C8" s="71" t="s">
        <v>11</v>
      </c>
      <c r="D8" s="16"/>
      <c r="E8" s="17" t="s">
        <v>12</v>
      </c>
      <c r="F8" s="18" t="s">
        <v>13</v>
      </c>
      <c r="G8" s="22">
        <f>1015000</f>
        <v>1015000</v>
      </c>
      <c r="H8" s="22">
        <v>340000</v>
      </c>
      <c r="I8" s="22">
        <v>0</v>
      </c>
      <c r="J8" s="22">
        <v>2275000</v>
      </c>
      <c r="K8" s="22">
        <v>1000000</v>
      </c>
      <c r="L8" s="22">
        <v>1050000</v>
      </c>
      <c r="M8" s="22">
        <v>770000</v>
      </c>
      <c r="N8" s="22">
        <v>200000</v>
      </c>
      <c r="O8" s="22">
        <v>1230000</v>
      </c>
      <c r="P8" s="33">
        <v>550000</v>
      </c>
      <c r="Q8" s="33">
        <v>801000</v>
      </c>
      <c r="R8" s="33">
        <v>570000</v>
      </c>
      <c r="S8" s="23">
        <f>SUM(G8:R8)</f>
        <v>9801000</v>
      </c>
      <c r="T8" s="23">
        <f>0+0+0+0+0+0+2389000+1000000+525000+809000+315000+1050000</f>
        <v>6088000</v>
      </c>
      <c r="U8" s="21">
        <f>S8/T8</f>
        <v>1.6098883048620236</v>
      </c>
      <c r="V8" s="24">
        <f>S8/12</f>
        <v>816750</v>
      </c>
    </row>
    <row r="9" spans="1:22" x14ac:dyDescent="0.25">
      <c r="A9" s="15"/>
      <c r="B9" s="16"/>
      <c r="C9" s="71" t="s">
        <v>86</v>
      </c>
      <c r="D9" s="16"/>
      <c r="E9" s="17" t="s">
        <v>14</v>
      </c>
      <c r="F9" s="18"/>
      <c r="G9" s="22">
        <f>21316122</f>
        <v>21316122</v>
      </c>
      <c r="H9" s="22">
        <f>17521333+114000</f>
        <v>17635333</v>
      </c>
      <c r="I9" s="22">
        <f>14777016+400000</f>
        <v>15177016</v>
      </c>
      <c r="J9" s="22">
        <v>10857000</v>
      </c>
      <c r="K9" s="22">
        <v>12797916</v>
      </c>
      <c r="L9" s="22">
        <v>12338574</v>
      </c>
      <c r="M9" s="22">
        <v>8456000</v>
      </c>
      <c r="N9" s="22">
        <v>10658000</v>
      </c>
      <c r="O9" s="22">
        <v>11036000</v>
      </c>
      <c r="P9" s="33">
        <v>12009500</v>
      </c>
      <c r="Q9" s="33">
        <v>11373500</v>
      </c>
      <c r="R9" s="33">
        <v>13469900</v>
      </c>
      <c r="S9" s="23">
        <f t="shared" ref="S9:S14" si="0">SUM(G9:R9)</f>
        <v>157124861</v>
      </c>
      <c r="T9" s="23">
        <f>15283000+14239000+15738000+12215000+21287000+13215000+11400000+15000000+15960000+20000000+18567000+20000000</f>
        <v>192904000</v>
      </c>
      <c r="U9" s="21">
        <f>S9/T9</f>
        <v>0.81452360241363575</v>
      </c>
      <c r="V9" s="24">
        <f t="shared" ref="V9:V14" si="1">S9/12</f>
        <v>13093738.416666666</v>
      </c>
    </row>
    <row r="10" spans="1:22" x14ac:dyDescent="0.25">
      <c r="A10" s="15"/>
      <c r="B10" s="16"/>
      <c r="C10" s="71" t="s">
        <v>111</v>
      </c>
      <c r="D10" s="16" t="s">
        <v>109</v>
      </c>
      <c r="E10" s="17" t="s">
        <v>15</v>
      </c>
      <c r="F10" s="18"/>
      <c r="G10" s="22">
        <f>13152319+147000</f>
        <v>13299319</v>
      </c>
      <c r="H10" s="22">
        <f>10608828+279000</f>
        <v>10887828</v>
      </c>
      <c r="I10" s="22">
        <f>11801000+219000</f>
        <v>12020000</v>
      </c>
      <c r="J10" s="22">
        <v>11090000</v>
      </c>
      <c r="K10" s="22">
        <v>12302000</v>
      </c>
      <c r="L10" s="22">
        <v>11647500</v>
      </c>
      <c r="M10" s="22">
        <v>8613000</v>
      </c>
      <c r="N10" s="22">
        <v>10986000</v>
      </c>
      <c r="O10" s="22">
        <v>7350000</v>
      </c>
      <c r="P10" s="33">
        <v>13719000</v>
      </c>
      <c r="Q10" s="33">
        <v>6123500</v>
      </c>
      <c r="R10" s="33">
        <v>10570000</v>
      </c>
      <c r="S10" s="23">
        <f>SUM(G10:R10)</f>
        <v>128608147</v>
      </c>
      <c r="T10" s="23">
        <f>8855000+6208000+8321000+4769000+8099000+7831000+11645000+11500000+12285000+12000000+11800000+12000000</f>
        <v>115313000</v>
      </c>
      <c r="U10" s="21">
        <f t="shared" ref="U10:U14" si="2">S10/T10</f>
        <v>1.1152961678214945</v>
      </c>
      <c r="V10" s="24">
        <f t="shared" si="1"/>
        <v>10717345.583333334</v>
      </c>
    </row>
    <row r="11" spans="1:22" x14ac:dyDescent="0.25">
      <c r="A11" s="15"/>
      <c r="B11" s="16"/>
      <c r="C11" s="71"/>
      <c r="D11" s="16"/>
      <c r="E11" s="17" t="s">
        <v>16</v>
      </c>
      <c r="F11" s="18"/>
      <c r="G11" s="22">
        <f>7570888</f>
        <v>7570888</v>
      </c>
      <c r="H11" s="22">
        <v>9475000</v>
      </c>
      <c r="I11" s="22">
        <v>6481489</v>
      </c>
      <c r="J11" s="22">
        <v>4546000</v>
      </c>
      <c r="K11" s="22">
        <v>3920000</v>
      </c>
      <c r="L11" s="22">
        <v>5190000</v>
      </c>
      <c r="M11" s="22">
        <v>4330000</v>
      </c>
      <c r="N11" s="22">
        <v>4744000</v>
      </c>
      <c r="O11" s="22">
        <v>7620000</v>
      </c>
      <c r="P11" s="33">
        <v>11216000</v>
      </c>
      <c r="Q11" s="33">
        <v>6071000</v>
      </c>
      <c r="R11" s="33">
        <v>11824000</v>
      </c>
      <c r="S11" s="23">
        <f t="shared" si="0"/>
        <v>82988377</v>
      </c>
      <c r="T11" s="23">
        <f>4487000+5952000+6130000+4994000+5159000+1772000+5000000+4500000+5250000+7471000+7637000+7500000</f>
        <v>65852000</v>
      </c>
      <c r="U11" s="21">
        <f>S11/T11</f>
        <v>1.2602256119783757</v>
      </c>
      <c r="V11" s="24">
        <f t="shared" si="1"/>
        <v>6915698.083333333</v>
      </c>
    </row>
    <row r="12" spans="1:22" x14ac:dyDescent="0.25">
      <c r="A12" s="15"/>
      <c r="B12" s="16"/>
      <c r="C12" s="71"/>
      <c r="D12" s="16"/>
      <c r="E12" s="17" t="s">
        <v>17</v>
      </c>
      <c r="F12" s="18"/>
      <c r="G12" s="22">
        <f>10307833</f>
        <v>10307833</v>
      </c>
      <c r="H12" s="22">
        <f>9383041+78000</f>
        <v>9461041</v>
      </c>
      <c r="I12" s="22">
        <f>10373500+82000</f>
        <v>10455500</v>
      </c>
      <c r="J12" s="22">
        <v>5433000</v>
      </c>
      <c r="K12" s="22">
        <v>7055000</v>
      </c>
      <c r="L12" s="110">
        <v>9136000</v>
      </c>
      <c r="M12" s="22">
        <v>7886000</v>
      </c>
      <c r="N12" s="22">
        <v>6891000</v>
      </c>
      <c r="O12" s="22">
        <v>9105000</v>
      </c>
      <c r="P12" s="33">
        <v>9705500</v>
      </c>
      <c r="Q12" s="33">
        <v>11427190</v>
      </c>
      <c r="R12" s="33">
        <v>11489928</v>
      </c>
      <c r="S12" s="23">
        <f t="shared" si="0"/>
        <v>108352992</v>
      </c>
      <c r="T12" s="23">
        <f>5998000+7781000+5756000+6197000+7781000+7054000+5705000+7055000+8925000+10832000+11797000+10938000</f>
        <v>95819000</v>
      </c>
      <c r="U12" s="21">
        <f t="shared" si="2"/>
        <v>1.1308090462225655</v>
      </c>
      <c r="V12" s="24">
        <f t="shared" si="1"/>
        <v>9029416</v>
      </c>
    </row>
    <row r="13" spans="1:22" x14ac:dyDescent="0.25">
      <c r="A13" s="15"/>
      <c r="B13" s="16"/>
      <c r="C13" s="71"/>
      <c r="D13" s="16"/>
      <c r="E13" s="17" t="s">
        <v>48</v>
      </c>
      <c r="F13" s="18"/>
      <c r="G13" s="33">
        <f>11656207</f>
        <v>11656207</v>
      </c>
      <c r="H13" s="33">
        <v>8364000</v>
      </c>
      <c r="I13" s="33">
        <v>10042014</v>
      </c>
      <c r="J13" s="33">
        <v>7818000</v>
      </c>
      <c r="K13" s="22">
        <v>7728000</v>
      </c>
      <c r="L13" s="110">
        <v>12266000</v>
      </c>
      <c r="M13" s="22">
        <v>6190000</v>
      </c>
      <c r="N13" s="22">
        <v>6599000</v>
      </c>
      <c r="O13" s="22">
        <v>11744000</v>
      </c>
      <c r="P13" s="33">
        <v>13436000</v>
      </c>
      <c r="Q13" s="33">
        <v>13096500</v>
      </c>
      <c r="R13" s="33">
        <v>14953000</v>
      </c>
      <c r="S13" s="23">
        <f t="shared" si="0"/>
        <v>123892721</v>
      </c>
      <c r="T13" s="48">
        <f>6238000+5482000+6772000+4983000+5328000+4625000+8209000+7728000+9975000+13356000+13805000+9692000</f>
        <v>96193000</v>
      </c>
      <c r="U13" s="14">
        <f>S13/T13</f>
        <v>1.2879598411526827</v>
      </c>
      <c r="V13" s="24">
        <f t="shared" si="1"/>
        <v>10324393.416666666</v>
      </c>
    </row>
    <row r="14" spans="1:22" ht="15.75" thickBot="1" x14ac:dyDescent="0.3">
      <c r="A14" s="15"/>
      <c r="B14" s="16"/>
      <c r="C14" s="71"/>
      <c r="D14" s="16"/>
      <c r="E14" s="17" t="s">
        <v>18</v>
      </c>
      <c r="F14" s="18"/>
      <c r="G14" s="25">
        <f>690000</f>
        <v>690000</v>
      </c>
      <c r="H14" s="25">
        <v>1202000</v>
      </c>
      <c r="I14" s="25">
        <v>735000</v>
      </c>
      <c r="J14" s="25">
        <v>485000</v>
      </c>
      <c r="K14" s="22">
        <v>617500</v>
      </c>
      <c r="L14" s="110">
        <v>125000</v>
      </c>
      <c r="M14" s="111">
        <v>884000</v>
      </c>
      <c r="N14" s="22">
        <v>745000</v>
      </c>
      <c r="O14" s="22">
        <v>605000</v>
      </c>
      <c r="P14" s="33">
        <v>950000</v>
      </c>
      <c r="Q14" s="33">
        <v>2125000</v>
      </c>
      <c r="R14" s="33">
        <v>750000</v>
      </c>
      <c r="S14" s="23">
        <f t="shared" si="0"/>
        <v>9913500</v>
      </c>
      <c r="T14" s="23">
        <f>74000+142000+0+0+515000+365000+508000+617000+53000+1200000+867000+1000000</f>
        <v>5341000</v>
      </c>
      <c r="U14" s="21">
        <f t="shared" si="2"/>
        <v>1.8561130874368097</v>
      </c>
      <c r="V14" s="24">
        <f t="shared" si="1"/>
        <v>826125</v>
      </c>
    </row>
    <row r="15" spans="1:22" s="62" customFormat="1" ht="15.75" thickBot="1" x14ac:dyDescent="0.3">
      <c r="A15" s="54"/>
      <c r="B15" s="55"/>
      <c r="C15" s="72"/>
      <c r="D15" s="55"/>
      <c r="E15" s="56"/>
      <c r="F15" s="57"/>
      <c r="G15" s="58">
        <f t="shared" ref="G15:I15" si="3">SUM(G8:G14)</f>
        <v>65855369</v>
      </c>
      <c r="H15" s="58">
        <f t="shared" si="3"/>
        <v>57365202</v>
      </c>
      <c r="I15" s="58">
        <f t="shared" si="3"/>
        <v>54911019</v>
      </c>
      <c r="J15" s="58">
        <f t="shared" ref="J15:M15" si="4">SUM(J8:J14)</f>
        <v>42504000</v>
      </c>
      <c r="K15" s="58">
        <f t="shared" si="4"/>
        <v>45420416</v>
      </c>
      <c r="L15" s="112">
        <f t="shared" si="4"/>
        <v>51753074</v>
      </c>
      <c r="M15" s="112">
        <f t="shared" si="4"/>
        <v>37129000</v>
      </c>
      <c r="N15" s="58">
        <f t="shared" ref="N15:T15" si="5">SUM(N8:N14)</f>
        <v>40823000</v>
      </c>
      <c r="O15" s="58">
        <f t="shared" si="5"/>
        <v>48690000</v>
      </c>
      <c r="P15" s="58">
        <f t="shared" si="5"/>
        <v>61586000</v>
      </c>
      <c r="Q15" s="58">
        <f t="shared" si="5"/>
        <v>51017690</v>
      </c>
      <c r="R15" s="58">
        <f t="shared" ref="R15" si="6">SUM(R8:R14)</f>
        <v>63626828</v>
      </c>
      <c r="S15" s="59">
        <f t="shared" si="5"/>
        <v>620681598</v>
      </c>
      <c r="T15" s="59">
        <f t="shared" si="5"/>
        <v>577510000</v>
      </c>
      <c r="U15" s="60">
        <f>S15/T15</f>
        <v>1.0747547193987983</v>
      </c>
      <c r="V15" s="61">
        <f>SUM(V8:V14)</f>
        <v>51723466.499999993</v>
      </c>
    </row>
    <row r="16" spans="1:22" x14ac:dyDescent="0.25">
      <c r="A16" s="8"/>
      <c r="B16" s="9"/>
      <c r="C16" s="70"/>
      <c r="D16" s="9"/>
      <c r="E16" s="10"/>
      <c r="F16" s="11"/>
      <c r="G16" s="31"/>
      <c r="H16" s="31"/>
      <c r="I16" s="31"/>
      <c r="J16" s="31"/>
      <c r="K16" s="31"/>
      <c r="L16" s="120"/>
      <c r="M16" s="113"/>
      <c r="N16" s="31"/>
      <c r="O16" s="31"/>
      <c r="P16" s="31"/>
      <c r="Q16" s="31"/>
      <c r="R16" s="31"/>
      <c r="S16" s="13"/>
      <c r="T16" s="13"/>
      <c r="U16" s="14"/>
      <c r="V16" s="13"/>
    </row>
    <row r="17" spans="1:22" x14ac:dyDescent="0.25">
      <c r="A17" s="15">
        <v>2</v>
      </c>
      <c r="B17" s="16" t="s">
        <v>82</v>
      </c>
      <c r="C17" s="71" t="s">
        <v>28</v>
      </c>
      <c r="D17" s="45" t="s">
        <v>20</v>
      </c>
      <c r="E17" s="17"/>
      <c r="F17" s="18" t="s">
        <v>9</v>
      </c>
      <c r="G17" s="19"/>
      <c r="H17" s="19"/>
      <c r="I17" s="19"/>
      <c r="J17" s="19"/>
      <c r="K17" s="19"/>
      <c r="L17" s="17"/>
      <c r="M17" s="17"/>
      <c r="N17" s="19"/>
      <c r="O17" s="19"/>
      <c r="P17" s="19"/>
      <c r="Q17" s="19"/>
      <c r="R17" s="19"/>
      <c r="S17" s="20"/>
      <c r="T17" s="20"/>
      <c r="U17" s="21"/>
      <c r="V17" s="20"/>
    </row>
    <row r="18" spans="1:22" x14ac:dyDescent="0.25">
      <c r="A18" s="15"/>
      <c r="B18" s="16" t="s">
        <v>10</v>
      </c>
      <c r="C18" s="71" t="s">
        <v>21</v>
      </c>
      <c r="D18" s="16"/>
      <c r="E18" s="17" t="s">
        <v>76</v>
      </c>
      <c r="F18" s="18" t="s">
        <v>13</v>
      </c>
      <c r="G18" s="22">
        <f>13430332</f>
        <v>13430332</v>
      </c>
      <c r="H18" s="22">
        <v>9407000</v>
      </c>
      <c r="I18" s="22">
        <v>10740392</v>
      </c>
      <c r="J18" s="22">
        <v>14923082</v>
      </c>
      <c r="K18" s="22">
        <v>11542958</v>
      </c>
      <c r="L18" s="110">
        <v>18492571</v>
      </c>
      <c r="M18" s="110">
        <v>11352240</v>
      </c>
      <c r="N18" s="22">
        <v>12240120</v>
      </c>
      <c r="O18" s="22">
        <v>16889200</v>
      </c>
      <c r="P18" s="22">
        <v>16821000</v>
      </c>
      <c r="Q18" s="22">
        <v>13569960</v>
      </c>
      <c r="R18" s="22">
        <v>15540000</v>
      </c>
      <c r="S18" s="23">
        <f>SUM(G18:R18)</f>
        <v>164948855</v>
      </c>
      <c r="T18" s="23">
        <f>9368000+10976000+10443000+8967000+9103000+7798000+15669000+15543000+15750000+10000000+12872000+12986000</f>
        <v>139475000</v>
      </c>
      <c r="U18" s="21">
        <f>S18/T18</f>
        <v>1.1826410109338592</v>
      </c>
      <c r="V18" s="24">
        <f>S18/12</f>
        <v>13745737.916666666</v>
      </c>
    </row>
    <row r="19" spans="1:22" x14ac:dyDescent="0.25">
      <c r="A19" s="15"/>
      <c r="B19" s="16"/>
      <c r="C19" s="71" t="s">
        <v>22</v>
      </c>
      <c r="D19" s="16"/>
      <c r="E19" s="17" t="s">
        <v>101</v>
      </c>
      <c r="F19" s="18"/>
      <c r="G19" s="22">
        <v>0</v>
      </c>
      <c r="H19" s="22">
        <v>0</v>
      </c>
      <c r="I19" s="22">
        <v>0</v>
      </c>
      <c r="J19" s="22">
        <v>0</v>
      </c>
      <c r="K19" s="22">
        <v>4000000</v>
      </c>
      <c r="L19" s="110">
        <v>2800000</v>
      </c>
      <c r="M19" s="110">
        <v>1150000</v>
      </c>
      <c r="N19" s="22">
        <v>1000000</v>
      </c>
      <c r="O19" s="22">
        <v>2000000</v>
      </c>
      <c r="P19" s="22">
        <v>2500000</v>
      </c>
      <c r="Q19" s="22">
        <v>4000000</v>
      </c>
      <c r="R19" s="22">
        <v>2000000</v>
      </c>
      <c r="S19" s="23">
        <f t="shared" ref="S19:S24" si="7">SUM(G19:R19)</f>
        <v>19450000</v>
      </c>
      <c r="T19" s="23">
        <f>0+0+0+0+0+0+0+0+0+0+0+0</f>
        <v>0</v>
      </c>
      <c r="U19" s="21" t="e">
        <f>S19/T19</f>
        <v>#DIV/0!</v>
      </c>
      <c r="V19" s="24">
        <f t="shared" ref="V19:V24" si="8">S19/12</f>
        <v>1620833.3333333333</v>
      </c>
    </row>
    <row r="20" spans="1:22" x14ac:dyDescent="0.25">
      <c r="A20" s="15"/>
      <c r="B20" s="16"/>
      <c r="C20" s="71"/>
      <c r="D20" s="16"/>
      <c r="E20" s="17" t="s">
        <v>77</v>
      </c>
      <c r="F20" s="18"/>
      <c r="G20" s="22">
        <f>35865695</f>
        <v>35865695</v>
      </c>
      <c r="H20" s="22">
        <v>34955000</v>
      </c>
      <c r="I20" s="22">
        <v>28929000</v>
      </c>
      <c r="J20" s="22">
        <v>26526000</v>
      </c>
      <c r="K20" s="22">
        <v>42123142</v>
      </c>
      <c r="L20" s="110">
        <v>35501500</v>
      </c>
      <c r="M20" s="110">
        <v>32732095</v>
      </c>
      <c r="N20" s="22">
        <v>27720000</v>
      </c>
      <c r="O20" s="22">
        <v>35766666</v>
      </c>
      <c r="P20" s="22">
        <v>36285000</v>
      </c>
      <c r="Q20" s="22">
        <v>36462500</v>
      </c>
      <c r="R20" s="22">
        <v>47147500</v>
      </c>
      <c r="S20" s="23">
        <f t="shared" si="7"/>
        <v>420014098</v>
      </c>
      <c r="T20" s="23">
        <f>18738000+21953000+20888000+17934000+18206000+15598000+32000000+32000000+33000000+34000000+34000000+34000000</f>
        <v>312317000</v>
      </c>
      <c r="U20" s="21">
        <f t="shared" ref="U20:U21" si="9">S20/T20</f>
        <v>1.3448326475984336</v>
      </c>
      <c r="V20" s="24">
        <f t="shared" si="8"/>
        <v>35001174.833333336</v>
      </c>
    </row>
    <row r="21" spans="1:22" x14ac:dyDescent="0.25">
      <c r="A21" s="15"/>
      <c r="B21" s="16"/>
      <c r="C21" s="71"/>
      <c r="D21" s="16"/>
      <c r="E21" s="17" t="s">
        <v>23</v>
      </c>
      <c r="F21" s="18" t="s">
        <v>13</v>
      </c>
      <c r="G21" s="22">
        <f>0</f>
        <v>0</v>
      </c>
      <c r="H21" s="22">
        <v>0</v>
      </c>
      <c r="I21" s="22">
        <v>450000</v>
      </c>
      <c r="J21" s="22">
        <v>0</v>
      </c>
      <c r="K21" s="22">
        <v>0</v>
      </c>
      <c r="L21" s="110">
        <v>450000</v>
      </c>
      <c r="M21" s="110">
        <v>150000</v>
      </c>
      <c r="N21" s="22">
        <v>185000</v>
      </c>
      <c r="O21" s="22">
        <v>100000</v>
      </c>
      <c r="P21" s="22">
        <v>140000</v>
      </c>
      <c r="Q21" s="22">
        <v>0</v>
      </c>
      <c r="R21" s="22">
        <v>400000</v>
      </c>
      <c r="S21" s="23">
        <f t="shared" si="7"/>
        <v>1875000</v>
      </c>
      <c r="T21" s="23">
        <f>0+163000+323000+0+0+0+0+0+500000+1000000+0+1000000</f>
        <v>2986000</v>
      </c>
      <c r="U21" s="21">
        <f t="shared" si="9"/>
        <v>0.62793034159410588</v>
      </c>
      <c r="V21" s="24">
        <f t="shared" si="8"/>
        <v>156250</v>
      </c>
    </row>
    <row r="22" spans="1:22" x14ac:dyDescent="0.25">
      <c r="A22" s="15"/>
      <c r="B22" s="16"/>
      <c r="C22" s="71"/>
      <c r="D22" s="16"/>
      <c r="E22" s="17" t="s">
        <v>24</v>
      </c>
      <c r="F22" s="18"/>
      <c r="G22" s="22">
        <f>23916500</f>
        <v>23916500</v>
      </c>
      <c r="H22" s="22">
        <f>35245238+311000</f>
        <v>35556238</v>
      </c>
      <c r="I22" s="22">
        <v>25533000</v>
      </c>
      <c r="J22" s="22">
        <v>17493000</v>
      </c>
      <c r="K22" s="22">
        <v>22002000</v>
      </c>
      <c r="L22" s="110">
        <v>27303238</v>
      </c>
      <c r="M22" s="110">
        <v>26285809</v>
      </c>
      <c r="N22" s="22">
        <v>17401952</v>
      </c>
      <c r="O22" s="22">
        <v>16895000</v>
      </c>
      <c r="P22" s="22">
        <v>25402000</v>
      </c>
      <c r="Q22" s="22">
        <v>19647900</v>
      </c>
      <c r="R22" s="22">
        <v>30060400</v>
      </c>
      <c r="S22" s="23">
        <f t="shared" si="7"/>
        <v>287497037</v>
      </c>
      <c r="T22" s="23">
        <f>16554000+15596000+6905000+11938000+23255000+9406000+21000000+24000000+25000000+25000000+26000000+26000000</f>
        <v>230654000</v>
      </c>
      <c r="U22" s="21">
        <f t="shared" ref="U22:U24" si="10">S22/T22</f>
        <v>1.2464428841468174</v>
      </c>
      <c r="V22" s="24">
        <f t="shared" si="8"/>
        <v>23958086.416666668</v>
      </c>
    </row>
    <row r="23" spans="1:22" x14ac:dyDescent="0.25">
      <c r="A23" s="15"/>
      <c r="B23" s="16"/>
      <c r="C23" s="71"/>
      <c r="D23" s="16"/>
      <c r="E23" s="17" t="s">
        <v>25</v>
      </c>
      <c r="F23" s="18"/>
      <c r="G23" s="22">
        <f>200000</f>
        <v>200000</v>
      </c>
      <c r="H23" s="22">
        <v>0</v>
      </c>
      <c r="I23" s="22">
        <v>550000</v>
      </c>
      <c r="J23" s="22">
        <v>0</v>
      </c>
      <c r="K23" s="22">
        <v>940000</v>
      </c>
      <c r="L23" s="110">
        <v>895000</v>
      </c>
      <c r="M23" s="110">
        <v>1370000</v>
      </c>
      <c r="N23" s="22">
        <v>1900000</v>
      </c>
      <c r="O23" s="22">
        <v>1485000</v>
      </c>
      <c r="P23" s="22">
        <v>2049520</v>
      </c>
      <c r="Q23" s="22">
        <v>1250000</v>
      </c>
      <c r="R23" s="22">
        <v>150000</v>
      </c>
      <c r="S23" s="23">
        <f t="shared" si="7"/>
        <v>10789520</v>
      </c>
      <c r="T23" s="23">
        <f>2020000+4311000+3917000+1035000+223000+954000+0+940000+940000+944000+0+0</f>
        <v>15284000</v>
      </c>
      <c r="U23" s="21">
        <f t="shared" si="10"/>
        <v>0.70593561894791934</v>
      </c>
      <c r="V23" s="24">
        <f t="shared" si="8"/>
        <v>899126.66666666663</v>
      </c>
    </row>
    <row r="24" spans="1:22" ht="15.75" thickBot="1" x14ac:dyDescent="0.3">
      <c r="A24" s="26"/>
      <c r="B24" s="27"/>
      <c r="C24" s="73"/>
      <c r="D24" s="27"/>
      <c r="E24" s="28" t="s">
        <v>26</v>
      </c>
      <c r="F24" s="29"/>
      <c r="G24" s="32">
        <f>1934811</f>
        <v>1934811</v>
      </c>
      <c r="H24" s="32">
        <v>1240000</v>
      </c>
      <c r="I24" s="32">
        <v>3955000</v>
      </c>
      <c r="J24" s="32">
        <v>1610000</v>
      </c>
      <c r="K24" s="32">
        <v>1275000</v>
      </c>
      <c r="L24" s="115">
        <v>4385000</v>
      </c>
      <c r="M24" s="111">
        <v>2770000</v>
      </c>
      <c r="N24" s="32">
        <v>2050000</v>
      </c>
      <c r="O24" s="22">
        <v>1720000</v>
      </c>
      <c r="P24" s="22">
        <v>3189280</v>
      </c>
      <c r="Q24" s="22">
        <v>3526000</v>
      </c>
      <c r="R24" s="22">
        <v>2570000</v>
      </c>
      <c r="S24" s="23">
        <f t="shared" si="7"/>
        <v>30225091</v>
      </c>
      <c r="T24" s="23">
        <f>871000+845000+560000+1878000+835000+897000+1691000+1275000+1060000+3900000+2021000+2670000</f>
        <v>18503000</v>
      </c>
      <c r="U24" s="21">
        <f t="shared" si="10"/>
        <v>1.6335238069502243</v>
      </c>
      <c r="V24" s="24">
        <f t="shared" si="8"/>
        <v>2518757.5833333335</v>
      </c>
    </row>
    <row r="25" spans="1:22" s="62" customFormat="1" ht="15.75" thickBot="1" x14ac:dyDescent="0.3">
      <c r="A25" s="54"/>
      <c r="B25" s="55"/>
      <c r="C25" s="72"/>
      <c r="D25" s="55"/>
      <c r="E25" s="56"/>
      <c r="F25" s="57"/>
      <c r="G25" s="93">
        <f t="shared" ref="G25:I25" si="11">SUM(G18:G24)</f>
        <v>75347338</v>
      </c>
      <c r="H25" s="63">
        <f t="shared" si="11"/>
        <v>81158238</v>
      </c>
      <c r="I25" s="63">
        <f t="shared" si="11"/>
        <v>70157392</v>
      </c>
      <c r="J25" s="63">
        <f t="shared" ref="J25:S25" si="12">SUM(J18:J24)</f>
        <v>60552082</v>
      </c>
      <c r="K25" s="63">
        <f t="shared" si="12"/>
        <v>81883100</v>
      </c>
      <c r="L25" s="109">
        <f t="shared" si="12"/>
        <v>89827309</v>
      </c>
      <c r="M25" s="109">
        <f t="shared" si="12"/>
        <v>75810144</v>
      </c>
      <c r="N25" s="63">
        <f t="shared" ref="N25" si="13">SUM(N18:N24)</f>
        <v>62497072</v>
      </c>
      <c r="O25" s="63">
        <f>SUM(O18:O24)</f>
        <v>74855866</v>
      </c>
      <c r="P25" s="63">
        <f>SUM(P18:P24)</f>
        <v>86386800</v>
      </c>
      <c r="Q25" s="63">
        <f>SUM(Q18:Q24)</f>
        <v>78456360</v>
      </c>
      <c r="R25" s="63">
        <f>SUM(R18:R24)</f>
        <v>97867900</v>
      </c>
      <c r="S25" s="59">
        <f t="shared" si="12"/>
        <v>934799601</v>
      </c>
      <c r="T25" s="59">
        <f>SUM(T18:T24)</f>
        <v>719219000</v>
      </c>
      <c r="U25" s="60">
        <f>S25/T25</f>
        <v>1.2997426388902407</v>
      </c>
      <c r="V25" s="59">
        <f>SUM(V18:V24)</f>
        <v>77899966.75</v>
      </c>
    </row>
    <row r="26" spans="1:22" x14ac:dyDescent="0.25">
      <c r="A26" s="8"/>
      <c r="B26" s="9"/>
      <c r="C26" s="70"/>
      <c r="D26" s="9"/>
      <c r="E26" s="10"/>
      <c r="F26" s="11"/>
      <c r="G26" s="33"/>
      <c r="H26" s="33"/>
      <c r="I26" s="33"/>
      <c r="J26" s="33"/>
      <c r="K26" s="33"/>
      <c r="L26" s="121"/>
      <c r="M26" s="114"/>
      <c r="N26" s="33"/>
      <c r="O26" s="33"/>
      <c r="P26" s="33"/>
      <c r="Q26" s="33"/>
      <c r="R26" s="33"/>
      <c r="S26" s="13"/>
      <c r="T26" s="13"/>
      <c r="U26" s="14"/>
      <c r="V26" s="13"/>
    </row>
    <row r="27" spans="1:22" x14ac:dyDescent="0.25">
      <c r="A27" s="15">
        <v>3</v>
      </c>
      <c r="B27" s="16" t="s">
        <v>82</v>
      </c>
      <c r="C27" s="71" t="s">
        <v>19</v>
      </c>
      <c r="D27" s="45" t="s">
        <v>29</v>
      </c>
      <c r="E27" s="17"/>
      <c r="F27" s="34" t="s">
        <v>9</v>
      </c>
      <c r="G27" s="19"/>
      <c r="H27" s="19"/>
      <c r="I27" s="19"/>
      <c r="J27" s="19"/>
      <c r="K27" s="19"/>
      <c r="L27" s="17"/>
      <c r="M27" s="17"/>
      <c r="N27" s="19"/>
      <c r="O27" s="19"/>
      <c r="P27" s="19"/>
      <c r="Q27" s="19"/>
      <c r="R27" s="19"/>
      <c r="S27" s="20"/>
      <c r="T27" s="20"/>
      <c r="U27" s="21"/>
      <c r="V27" s="20"/>
    </row>
    <row r="28" spans="1:22" x14ac:dyDescent="0.25">
      <c r="A28" s="15"/>
      <c r="B28" s="16" t="s">
        <v>10</v>
      </c>
      <c r="C28" s="71" t="s">
        <v>30</v>
      </c>
      <c r="D28" s="16"/>
      <c r="E28" s="17" t="s">
        <v>31</v>
      </c>
      <c r="F28" s="18" t="s">
        <v>13</v>
      </c>
      <c r="G28" s="22">
        <f>9493000+740000</f>
        <v>10233000</v>
      </c>
      <c r="H28" s="22">
        <v>8872481</v>
      </c>
      <c r="I28" s="22">
        <f>10700958+646000</f>
        <v>11346958</v>
      </c>
      <c r="J28" s="22">
        <v>7537000</v>
      </c>
      <c r="K28" s="22">
        <v>4990000</v>
      </c>
      <c r="L28" s="110">
        <v>4142000</v>
      </c>
      <c r="M28" s="110">
        <v>2651000</v>
      </c>
      <c r="N28" s="22">
        <v>5711000</v>
      </c>
      <c r="O28" s="22">
        <v>8498500</v>
      </c>
      <c r="P28" s="22">
        <v>6332000</v>
      </c>
      <c r="Q28" s="22">
        <v>6032000</v>
      </c>
      <c r="R28" s="22">
        <v>7579500</v>
      </c>
      <c r="S28" s="23">
        <f>SUM(G28:R28)</f>
        <v>83925439</v>
      </c>
      <c r="T28" s="23">
        <f>8468000+8662000+7821000+6928000+9792000+3685000+8000000+6000000+10000000+12000000+10000000+10000000</f>
        <v>101356000</v>
      </c>
      <c r="U28" s="21">
        <f>S28/T28</f>
        <v>0.8280263526579581</v>
      </c>
      <c r="V28" s="24">
        <f>S28/12</f>
        <v>6993786.583333333</v>
      </c>
    </row>
    <row r="29" spans="1:22" x14ac:dyDescent="0.25">
      <c r="A29" s="15"/>
      <c r="B29" s="16"/>
      <c r="C29" s="71"/>
      <c r="D29" s="16"/>
      <c r="E29" s="17" t="s">
        <v>32</v>
      </c>
      <c r="F29" s="18"/>
      <c r="G29" s="22">
        <f>28343455+309000</f>
        <v>28652455</v>
      </c>
      <c r="H29" s="22">
        <v>21052246</v>
      </c>
      <c r="I29" s="22">
        <v>19264958</v>
      </c>
      <c r="J29" s="22">
        <v>15355749</v>
      </c>
      <c r="K29" s="22">
        <v>18101830</v>
      </c>
      <c r="L29" s="110">
        <v>19359307</v>
      </c>
      <c r="M29" s="110">
        <v>8428000</v>
      </c>
      <c r="N29" s="22">
        <v>7685000</v>
      </c>
      <c r="O29" s="22">
        <v>15051000</v>
      </c>
      <c r="P29" s="22">
        <v>15719500</v>
      </c>
      <c r="Q29" s="22">
        <v>11835000</v>
      </c>
      <c r="R29" s="22">
        <v>17999000</v>
      </c>
      <c r="S29" s="23">
        <f t="shared" ref="S29:S32" si="14">SUM(G29:R29)</f>
        <v>198504045</v>
      </c>
      <c r="T29" s="23">
        <f>21269000+16632000+17265000+11427000+20314000+16336000+20000000+20000000+22000000+21000000+23000000+21000000</f>
        <v>230243000</v>
      </c>
      <c r="U29" s="21">
        <f t="shared" ref="U29:U30" si="15">S29/T29</f>
        <v>0.86215018480474981</v>
      </c>
      <c r="V29" s="24">
        <f t="shared" ref="V29:V32" si="16">S29/12</f>
        <v>16542003.75</v>
      </c>
    </row>
    <row r="30" spans="1:22" x14ac:dyDescent="0.25">
      <c r="A30" s="15"/>
      <c r="B30" s="16"/>
      <c r="C30" s="71"/>
      <c r="D30" s="16"/>
      <c r="E30" s="17" t="s">
        <v>33</v>
      </c>
      <c r="F30" s="18"/>
      <c r="G30" s="22">
        <f>1555000</f>
        <v>1555000</v>
      </c>
      <c r="H30" s="22">
        <v>2560000</v>
      </c>
      <c r="I30" s="22">
        <v>2585425</v>
      </c>
      <c r="J30" s="22">
        <v>1148936</v>
      </c>
      <c r="K30" s="22">
        <v>2356791</v>
      </c>
      <c r="L30" s="110">
        <v>1427583</v>
      </c>
      <c r="M30" s="110">
        <v>719000</v>
      </c>
      <c r="N30" s="22">
        <v>330000</v>
      </c>
      <c r="O30" s="22">
        <v>1280500</v>
      </c>
      <c r="P30" s="22">
        <v>1306000</v>
      </c>
      <c r="Q30" s="22">
        <v>995000</v>
      </c>
      <c r="R30" s="22">
        <v>2567000</v>
      </c>
      <c r="S30" s="23">
        <f t="shared" si="14"/>
        <v>18831235</v>
      </c>
      <c r="T30" s="23">
        <f>689000+1216000+2362000+1226000+929000+865000+1900000+1800000+2000000+2500000+2000000+2300000</f>
        <v>19787000</v>
      </c>
      <c r="U30" s="21">
        <f t="shared" si="15"/>
        <v>0.95169732652751804</v>
      </c>
      <c r="V30" s="24">
        <f t="shared" si="16"/>
        <v>1569269.5833333333</v>
      </c>
    </row>
    <row r="31" spans="1:22" x14ac:dyDescent="0.25">
      <c r="A31" s="26"/>
      <c r="B31" s="27"/>
      <c r="C31" s="73"/>
      <c r="D31" s="27"/>
      <c r="E31" s="28" t="s">
        <v>34</v>
      </c>
      <c r="F31" s="29"/>
      <c r="G31" s="32">
        <f>3566250+32000</f>
        <v>3598250</v>
      </c>
      <c r="H31" s="32">
        <f>2235000+46000</f>
        <v>2281000</v>
      </c>
      <c r="I31" s="32">
        <f>2836666+29000</f>
        <v>2865666</v>
      </c>
      <c r="J31" s="32">
        <v>2420212</v>
      </c>
      <c r="K31" s="32">
        <v>1777000</v>
      </c>
      <c r="L31" s="115">
        <v>1805000</v>
      </c>
      <c r="M31" s="115">
        <v>2545000</v>
      </c>
      <c r="N31" s="32">
        <v>1670000</v>
      </c>
      <c r="O31" s="22">
        <v>2005238</v>
      </c>
      <c r="P31" s="22">
        <v>2040000</v>
      </c>
      <c r="Q31" s="22">
        <v>2556000</v>
      </c>
      <c r="R31" s="22">
        <v>2242000</v>
      </c>
      <c r="S31" s="23">
        <f t="shared" si="14"/>
        <v>27805366</v>
      </c>
      <c r="T31" s="23">
        <f>2097000+3379000+1966000+1167000+1190000+1397000+2500000+1800000+2800000+3500000+3000000+3000000</f>
        <v>27796000</v>
      </c>
      <c r="U31" s="21">
        <f t="shared" ref="U31:U32" si="17">S31/T31</f>
        <v>1.0003369549575478</v>
      </c>
      <c r="V31" s="24">
        <f t="shared" si="16"/>
        <v>2317113.8333333335</v>
      </c>
    </row>
    <row r="32" spans="1:22" ht="15.75" thickBot="1" x14ac:dyDescent="0.3">
      <c r="A32" s="26"/>
      <c r="B32" s="27"/>
      <c r="C32" s="73"/>
      <c r="D32" s="27"/>
      <c r="E32" s="28" t="s">
        <v>27</v>
      </c>
      <c r="F32" s="29"/>
      <c r="G32" s="30">
        <v>0</v>
      </c>
      <c r="H32" s="30">
        <v>0</v>
      </c>
      <c r="I32" s="30">
        <v>2485714</v>
      </c>
      <c r="J32" s="30">
        <v>770000</v>
      </c>
      <c r="K32" s="30">
        <v>600000</v>
      </c>
      <c r="L32" s="122">
        <v>600000</v>
      </c>
      <c r="M32" s="116">
        <v>0</v>
      </c>
      <c r="N32" s="30">
        <v>0</v>
      </c>
      <c r="O32" s="22">
        <v>0</v>
      </c>
      <c r="P32" s="22">
        <v>0</v>
      </c>
      <c r="Q32" s="22">
        <v>1300000</v>
      </c>
      <c r="R32" s="22">
        <v>700000</v>
      </c>
      <c r="S32" s="23">
        <f t="shared" si="14"/>
        <v>6455714</v>
      </c>
      <c r="T32" s="23">
        <f>2444000+2554000+3448000+0+0+112000+809000+600000+1000000+1300000+1000000+900000</f>
        <v>14167000</v>
      </c>
      <c r="U32" s="21">
        <f t="shared" si="17"/>
        <v>0.45568673678266391</v>
      </c>
      <c r="V32" s="24">
        <f t="shared" si="16"/>
        <v>537976.16666666663</v>
      </c>
    </row>
    <row r="33" spans="1:22" s="62" customFormat="1" ht="15.75" thickBot="1" x14ac:dyDescent="0.3">
      <c r="A33" s="54"/>
      <c r="B33" s="55"/>
      <c r="C33" s="72"/>
      <c r="D33" s="55"/>
      <c r="E33" s="56"/>
      <c r="F33" s="57"/>
      <c r="G33" s="108">
        <f t="shared" ref="G33:J33" si="18">SUM(G28:G32)</f>
        <v>44038705</v>
      </c>
      <c r="H33" s="100">
        <f t="shared" si="18"/>
        <v>34765727</v>
      </c>
      <c r="I33" s="105">
        <f t="shared" si="18"/>
        <v>38548721</v>
      </c>
      <c r="J33" s="105">
        <f t="shared" si="18"/>
        <v>27231897</v>
      </c>
      <c r="K33" s="108">
        <f t="shared" ref="K33:P33" si="19">SUM(K28:K32)</f>
        <v>27825621</v>
      </c>
      <c r="L33" s="117">
        <f t="shared" si="19"/>
        <v>27333890</v>
      </c>
      <c r="M33" s="117">
        <f t="shared" si="19"/>
        <v>14343000</v>
      </c>
      <c r="N33" s="108">
        <f t="shared" si="19"/>
        <v>15396000</v>
      </c>
      <c r="O33" s="108">
        <f t="shared" si="19"/>
        <v>26835238</v>
      </c>
      <c r="P33" s="108">
        <f t="shared" si="19"/>
        <v>25397500</v>
      </c>
      <c r="Q33" s="108">
        <f>SUM(Q28:Q32)</f>
        <v>22718000</v>
      </c>
      <c r="R33" s="108">
        <f>SUM(R28:R32)</f>
        <v>31087500</v>
      </c>
      <c r="S33" s="59">
        <f>SUM(S28:S32)</f>
        <v>335521799</v>
      </c>
      <c r="T33" s="59">
        <f>SUM(T28:T32)</f>
        <v>393349000</v>
      </c>
      <c r="U33" s="60">
        <f>S33/T33</f>
        <v>0.85298754795359844</v>
      </c>
      <c r="V33" s="59">
        <f>SUM(V28:V32)</f>
        <v>27960149.916666664</v>
      </c>
    </row>
    <row r="34" spans="1:22" x14ac:dyDescent="0.25">
      <c r="A34" s="8"/>
      <c r="B34" s="9"/>
      <c r="C34" s="70"/>
      <c r="D34" s="9"/>
      <c r="E34" s="10"/>
      <c r="F34" s="11"/>
      <c r="G34" s="12"/>
      <c r="H34" s="12"/>
      <c r="I34" s="12"/>
      <c r="J34" s="12"/>
      <c r="K34" s="49"/>
      <c r="L34" s="10"/>
      <c r="M34" s="38"/>
      <c r="N34" s="12"/>
      <c r="O34" s="12"/>
      <c r="P34" s="12"/>
      <c r="Q34" s="12"/>
      <c r="R34" s="12"/>
      <c r="S34" s="13"/>
      <c r="T34" s="13"/>
      <c r="U34" s="14"/>
      <c r="V34" s="13"/>
    </row>
    <row r="35" spans="1:22" x14ac:dyDescent="0.25">
      <c r="A35" s="15">
        <v>4</v>
      </c>
      <c r="B35" s="16" t="s">
        <v>82</v>
      </c>
      <c r="C35" s="71" t="s">
        <v>35</v>
      </c>
      <c r="D35" s="45" t="s">
        <v>36</v>
      </c>
      <c r="E35" s="17"/>
      <c r="F35" s="18" t="s">
        <v>9</v>
      </c>
      <c r="G35" s="19"/>
      <c r="H35" s="19"/>
      <c r="I35" s="19"/>
      <c r="J35" s="19"/>
      <c r="K35" s="19"/>
      <c r="L35" s="17"/>
      <c r="M35" s="17"/>
      <c r="N35" s="19"/>
      <c r="O35" s="19"/>
      <c r="P35" s="19"/>
      <c r="Q35" s="19"/>
      <c r="R35" s="19"/>
      <c r="S35" s="20"/>
      <c r="T35" s="20"/>
      <c r="U35" s="21"/>
      <c r="V35" s="20"/>
    </row>
    <row r="36" spans="1:22" x14ac:dyDescent="0.25">
      <c r="A36" s="15"/>
      <c r="B36" s="16" t="s">
        <v>10</v>
      </c>
      <c r="C36" s="71" t="s">
        <v>37</v>
      </c>
      <c r="D36" s="16"/>
      <c r="E36" s="17" t="s">
        <v>38</v>
      </c>
      <c r="F36" s="18" t="s">
        <v>13</v>
      </c>
      <c r="G36" s="22">
        <f>21066000+219000</f>
        <v>21285000</v>
      </c>
      <c r="H36" s="22">
        <f>26020000+290000</f>
        <v>26310000</v>
      </c>
      <c r="I36" s="22">
        <f>29068333+245000</f>
        <v>29313333</v>
      </c>
      <c r="J36" s="22">
        <v>22005000</v>
      </c>
      <c r="K36" s="22">
        <v>16735000</v>
      </c>
      <c r="L36" s="110">
        <v>22409523</v>
      </c>
      <c r="M36" s="110">
        <v>14825619</v>
      </c>
      <c r="N36" s="22">
        <v>17756000</v>
      </c>
      <c r="O36" s="22">
        <v>22500000</v>
      </c>
      <c r="P36" s="22">
        <v>20032000</v>
      </c>
      <c r="Q36" s="22">
        <v>27799000</v>
      </c>
      <c r="R36" s="22">
        <v>25125000</v>
      </c>
      <c r="S36" s="23">
        <f>SUM(G36:R36)</f>
        <v>266095475</v>
      </c>
      <c r="T36" s="23">
        <f>26323000+28634000+30129000+22520000+29349000+20150000+23105000+22000000+22000000+22000000+23000000+22000000</f>
        <v>291210000</v>
      </c>
      <c r="U36" s="21">
        <f t="shared" ref="U36:U43" si="20">S36/T36</f>
        <v>0.9137580268534734</v>
      </c>
      <c r="V36" s="44">
        <f>S36/12</f>
        <v>22174622.916666668</v>
      </c>
    </row>
    <row r="37" spans="1:22" x14ac:dyDescent="0.25">
      <c r="A37" s="15"/>
      <c r="B37" s="16"/>
      <c r="C37" s="71" t="s">
        <v>39</v>
      </c>
      <c r="D37" s="16"/>
      <c r="E37" s="17" t="s">
        <v>40</v>
      </c>
      <c r="F37" s="18" t="s">
        <v>13</v>
      </c>
      <c r="G37" s="22">
        <f>37565000</f>
        <v>37565000</v>
      </c>
      <c r="H37" s="22">
        <v>26985000</v>
      </c>
      <c r="I37" s="22">
        <v>23445000</v>
      </c>
      <c r="J37" s="22">
        <v>21112500</v>
      </c>
      <c r="K37" s="22">
        <v>20772500</v>
      </c>
      <c r="L37" s="110">
        <v>28411500</v>
      </c>
      <c r="M37" s="110">
        <v>24450238</v>
      </c>
      <c r="N37" s="22">
        <v>30667500</v>
      </c>
      <c r="O37" s="22">
        <v>34145000</v>
      </c>
      <c r="P37" s="22">
        <v>30759000</v>
      </c>
      <c r="Q37" s="22">
        <v>32967500</v>
      </c>
      <c r="R37" s="22">
        <v>33477500</v>
      </c>
      <c r="S37" s="23">
        <f t="shared" ref="S37:S43" si="21">SUM(G37:R37)</f>
        <v>344758238</v>
      </c>
      <c r="T37" s="23">
        <f>23365000+27242000+25862000+22333000+21739000+12291000+23000000+22000000+22000000+26000000+25000000+26000000</f>
        <v>276832000</v>
      </c>
      <c r="U37" s="21">
        <f t="shared" si="20"/>
        <v>1.2453698922089931</v>
      </c>
      <c r="V37" s="44">
        <f t="shared" ref="V37:V43" si="22">S37/12</f>
        <v>28729853.166666668</v>
      </c>
    </row>
    <row r="38" spans="1:22" x14ac:dyDescent="0.25">
      <c r="A38" s="15"/>
      <c r="B38" s="16"/>
      <c r="C38" s="71" t="s">
        <v>41</v>
      </c>
      <c r="D38" s="16"/>
      <c r="E38" s="17" t="s">
        <v>42</v>
      </c>
      <c r="F38" s="18" t="s">
        <v>13</v>
      </c>
      <c r="G38" s="22">
        <f>15005000</f>
        <v>15005000</v>
      </c>
      <c r="H38" s="22">
        <v>7901904</v>
      </c>
      <c r="I38" s="22">
        <v>7980475</v>
      </c>
      <c r="J38" s="22">
        <v>10464759</v>
      </c>
      <c r="K38" s="22">
        <v>5754760</v>
      </c>
      <c r="L38" s="110">
        <v>12770950</v>
      </c>
      <c r="M38" s="110">
        <v>8340951</v>
      </c>
      <c r="N38" s="22">
        <v>8666665</v>
      </c>
      <c r="O38" s="22">
        <v>10383330</v>
      </c>
      <c r="P38" s="22">
        <v>13193806</v>
      </c>
      <c r="Q38" s="22">
        <v>19034426</v>
      </c>
      <c r="R38" s="22">
        <v>14594520</v>
      </c>
      <c r="S38" s="23">
        <f t="shared" si="21"/>
        <v>134091546</v>
      </c>
      <c r="T38" s="23">
        <f>11766000+10899000+10776000+16305000+11650000+10349000+10988000+5755000+10500000+23804000+9294000+14970000</f>
        <v>147056000</v>
      </c>
      <c r="U38" s="21">
        <f t="shared" si="20"/>
        <v>0.9118400201283865</v>
      </c>
      <c r="V38" s="44">
        <f t="shared" si="22"/>
        <v>11174295.5</v>
      </c>
    </row>
    <row r="39" spans="1:22" x14ac:dyDescent="0.25">
      <c r="A39" s="15"/>
      <c r="B39" s="16"/>
      <c r="C39" s="71"/>
      <c r="D39" s="16"/>
      <c r="E39" s="17" t="s">
        <v>43</v>
      </c>
      <c r="F39" s="18"/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110">
        <v>0</v>
      </c>
      <c r="M39" s="110">
        <v>0</v>
      </c>
      <c r="N39" s="22">
        <v>0</v>
      </c>
      <c r="O39" s="22">
        <v>0</v>
      </c>
      <c r="P39" s="22">
        <v>0</v>
      </c>
      <c r="Q39" s="22">
        <v>0</v>
      </c>
      <c r="R39" s="22">
        <v>130000</v>
      </c>
      <c r="S39" s="23">
        <f t="shared" si="21"/>
        <v>130000</v>
      </c>
      <c r="T39" s="23">
        <f>734000+692000+2236000+0+744000+0+0+0+0+0+0+0</f>
        <v>4406000</v>
      </c>
      <c r="U39" s="21">
        <f t="shared" si="20"/>
        <v>2.9505220154334998E-2</v>
      </c>
      <c r="V39" s="44">
        <f t="shared" si="22"/>
        <v>10833.333333333334</v>
      </c>
    </row>
    <row r="40" spans="1:22" x14ac:dyDescent="0.25">
      <c r="A40" s="15"/>
      <c r="B40" s="16"/>
      <c r="C40" s="71"/>
      <c r="D40" s="16"/>
      <c r="E40" s="17" t="s">
        <v>44</v>
      </c>
      <c r="F40" s="18"/>
      <c r="G40" s="22">
        <f>18070000</f>
        <v>18070000</v>
      </c>
      <c r="H40" s="22">
        <v>9847500</v>
      </c>
      <c r="I40" s="22">
        <v>24446238</v>
      </c>
      <c r="J40" s="22">
        <v>14202738</v>
      </c>
      <c r="K40" s="22">
        <v>13339047</v>
      </c>
      <c r="L40" s="110">
        <v>12587857</v>
      </c>
      <c r="M40" s="110">
        <v>10570000</v>
      </c>
      <c r="N40" s="22">
        <v>20584619</v>
      </c>
      <c r="O40" s="22">
        <v>15050928</v>
      </c>
      <c r="P40" s="22">
        <v>15955832</v>
      </c>
      <c r="Q40" s="22">
        <v>14185000</v>
      </c>
      <c r="R40" s="22">
        <v>13346904</v>
      </c>
      <c r="S40" s="23">
        <f t="shared" si="21"/>
        <v>182186663</v>
      </c>
      <c r="T40" s="23">
        <f>17432000+23008000+10776000+13703000+13794000+7426000+14913000+13339000+14700000+22166000+22845000+22000000</f>
        <v>196102000</v>
      </c>
      <c r="U40" s="21">
        <f t="shared" si="20"/>
        <v>0.92904031065465931</v>
      </c>
      <c r="V40" s="44">
        <f t="shared" si="22"/>
        <v>15182221.916666666</v>
      </c>
    </row>
    <row r="41" spans="1:22" x14ac:dyDescent="0.25">
      <c r="A41" s="15"/>
      <c r="B41" s="16"/>
      <c r="C41" s="71"/>
      <c r="D41" s="16"/>
      <c r="E41" s="17" t="s">
        <v>45</v>
      </c>
      <c r="F41" s="18"/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110">
        <v>0</v>
      </c>
      <c r="M41" s="110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3">
        <f t="shared" si="21"/>
        <v>0</v>
      </c>
      <c r="T41" s="23">
        <f>0+0+0+0+0+0+0+0+0+0+0+0</f>
        <v>0</v>
      </c>
      <c r="U41" s="21" t="e">
        <f t="shared" si="20"/>
        <v>#DIV/0!</v>
      </c>
      <c r="V41" s="44">
        <f t="shared" si="22"/>
        <v>0</v>
      </c>
    </row>
    <row r="42" spans="1:22" x14ac:dyDescent="0.25">
      <c r="A42" s="15"/>
      <c r="B42" s="16"/>
      <c r="C42" s="71"/>
      <c r="D42" s="16"/>
      <c r="E42" s="17" t="s">
        <v>46</v>
      </c>
      <c r="F42" s="18"/>
      <c r="G42" s="22">
        <f>11720000</f>
        <v>11720000</v>
      </c>
      <c r="H42" s="22">
        <v>3555000</v>
      </c>
      <c r="I42" s="110">
        <v>3775000</v>
      </c>
      <c r="J42" s="22">
        <v>3490000</v>
      </c>
      <c r="K42" s="22">
        <v>5370000</v>
      </c>
      <c r="L42" s="110">
        <v>7248095</v>
      </c>
      <c r="M42" s="110">
        <v>3195000</v>
      </c>
      <c r="N42" s="22">
        <v>2760000</v>
      </c>
      <c r="O42" s="22">
        <v>4140000</v>
      </c>
      <c r="P42" s="22">
        <v>4190000</v>
      </c>
      <c r="Q42" s="22">
        <v>6112500</v>
      </c>
      <c r="R42" s="22">
        <v>3146600</v>
      </c>
      <c r="S42" s="23">
        <f t="shared" si="21"/>
        <v>58702195</v>
      </c>
      <c r="T42" s="23">
        <f>10558000+8712000+10296000+8560000+11444000+5531000+3665000+5370000+3150000+5000000+5000000+5000000</f>
        <v>82286000</v>
      </c>
      <c r="U42" s="21">
        <f t="shared" si="20"/>
        <v>0.71339225384634086</v>
      </c>
      <c r="V42" s="44">
        <f t="shared" si="22"/>
        <v>4891849.583333333</v>
      </c>
    </row>
    <row r="43" spans="1:22" ht="15.75" thickBot="1" x14ac:dyDescent="0.3">
      <c r="A43" s="26"/>
      <c r="B43" s="27"/>
      <c r="C43" s="73"/>
      <c r="D43" s="27"/>
      <c r="E43" s="28" t="s">
        <v>47</v>
      </c>
      <c r="F43" s="29"/>
      <c r="G43" s="32">
        <v>0</v>
      </c>
      <c r="H43" s="115">
        <v>0</v>
      </c>
      <c r="I43" s="115">
        <v>0</v>
      </c>
      <c r="J43" s="32">
        <v>0</v>
      </c>
      <c r="K43" s="115">
        <v>0</v>
      </c>
      <c r="L43" s="115">
        <v>0</v>
      </c>
      <c r="M43" s="111">
        <v>0</v>
      </c>
      <c r="N43" s="32">
        <v>0</v>
      </c>
      <c r="O43" s="22">
        <v>0</v>
      </c>
      <c r="P43" s="22">
        <v>0</v>
      </c>
      <c r="Q43" s="22">
        <v>0</v>
      </c>
      <c r="R43" s="22">
        <v>0</v>
      </c>
      <c r="S43" s="23">
        <f t="shared" si="21"/>
        <v>0</v>
      </c>
      <c r="T43" s="23">
        <f>0+0+1843000+290000+0+0+0+0+0+0+0+0</f>
        <v>2133000</v>
      </c>
      <c r="U43" s="21">
        <f t="shared" si="20"/>
        <v>0</v>
      </c>
      <c r="V43" s="44">
        <f t="shared" si="22"/>
        <v>0</v>
      </c>
    </row>
    <row r="44" spans="1:22" s="62" customFormat="1" ht="15.75" thickBot="1" x14ac:dyDescent="0.3">
      <c r="A44" s="54"/>
      <c r="B44" s="55"/>
      <c r="C44" s="72"/>
      <c r="D44" s="55"/>
      <c r="E44" s="56"/>
      <c r="F44" s="57"/>
      <c r="G44" s="63">
        <f t="shared" ref="G44:L44" si="23">SUM(G36:G43)</f>
        <v>103645000</v>
      </c>
      <c r="H44" s="109">
        <f t="shared" si="23"/>
        <v>74599404</v>
      </c>
      <c r="I44" s="109">
        <f t="shared" si="23"/>
        <v>88960046</v>
      </c>
      <c r="J44" s="63">
        <f t="shared" si="23"/>
        <v>71274997</v>
      </c>
      <c r="K44" s="109">
        <f t="shared" si="23"/>
        <v>61971307</v>
      </c>
      <c r="L44" s="109">
        <f t="shared" si="23"/>
        <v>83427925</v>
      </c>
      <c r="M44" s="109">
        <f t="shared" ref="M44:T44" si="24">SUM(M36:M43)</f>
        <v>61381808</v>
      </c>
      <c r="N44" s="63">
        <f t="shared" si="24"/>
        <v>80434784</v>
      </c>
      <c r="O44" s="63">
        <f t="shared" si="24"/>
        <v>86219258</v>
      </c>
      <c r="P44" s="63">
        <f t="shared" si="24"/>
        <v>84130638</v>
      </c>
      <c r="Q44" s="63">
        <f>SUM(Q36:Q43)</f>
        <v>100098426</v>
      </c>
      <c r="R44" s="63">
        <f>SUM(R36:R43)</f>
        <v>89820524</v>
      </c>
      <c r="S44" s="64">
        <f t="shared" si="24"/>
        <v>985964117</v>
      </c>
      <c r="T44" s="64">
        <f t="shared" si="24"/>
        <v>1000025000</v>
      </c>
      <c r="U44" s="60">
        <f>S44/T44</f>
        <v>0.98593946851328718</v>
      </c>
      <c r="V44" s="64">
        <f>SUM(V36:V43)</f>
        <v>82163676.416666672</v>
      </c>
    </row>
    <row r="45" spans="1:22" ht="15.75" thickBot="1" x14ac:dyDescent="0.3">
      <c r="A45" s="36"/>
      <c r="B45" s="37"/>
      <c r="C45" s="74"/>
      <c r="D45" s="37"/>
      <c r="E45" s="38"/>
      <c r="F45" s="39"/>
      <c r="G45" s="49"/>
      <c r="H45" s="38"/>
      <c r="I45" s="38"/>
      <c r="J45" s="49"/>
      <c r="K45" s="38"/>
      <c r="L45" s="38"/>
      <c r="M45" s="118"/>
      <c r="N45" s="49"/>
      <c r="O45" s="49"/>
      <c r="P45" s="49"/>
      <c r="Q45" s="49"/>
      <c r="R45" s="49"/>
      <c r="S45" s="50"/>
      <c r="T45" s="50"/>
      <c r="U45" s="40"/>
      <c r="V45" s="35"/>
    </row>
    <row r="46" spans="1:22" s="62" customFormat="1" ht="15.75" thickBot="1" x14ac:dyDescent="0.3">
      <c r="A46" s="66"/>
      <c r="B46" s="83"/>
      <c r="C46" s="84"/>
      <c r="D46" s="83"/>
      <c r="E46" s="85"/>
      <c r="F46" s="67"/>
      <c r="G46" s="86">
        <f t="shared" ref="G46:I46" si="25">G15+G25+G33+G44</f>
        <v>288886412</v>
      </c>
      <c r="H46" s="84">
        <f t="shared" si="25"/>
        <v>247888571</v>
      </c>
      <c r="I46" s="84">
        <f t="shared" si="25"/>
        <v>252577178</v>
      </c>
      <c r="J46" s="86">
        <f t="shared" ref="J46:T46" si="26">J15+J25+J33+J44</f>
        <v>201562976</v>
      </c>
      <c r="K46" s="84">
        <f t="shared" si="26"/>
        <v>217100444</v>
      </c>
      <c r="L46" s="84">
        <f t="shared" si="26"/>
        <v>252342198</v>
      </c>
      <c r="M46" s="84">
        <f t="shared" si="26"/>
        <v>188663952</v>
      </c>
      <c r="N46" s="86">
        <f t="shared" si="26"/>
        <v>199150856</v>
      </c>
      <c r="O46" s="86">
        <f>O15+O25+O33+O44</f>
        <v>236600362</v>
      </c>
      <c r="P46" s="86">
        <f>P15+P25+P33+P44</f>
        <v>257500938</v>
      </c>
      <c r="Q46" s="86">
        <f>Q15+Q25+Q33+Q44</f>
        <v>252290476</v>
      </c>
      <c r="R46" s="86">
        <f>R15+R25+R33+R44</f>
        <v>282402752</v>
      </c>
      <c r="S46" s="128">
        <f t="shared" si="26"/>
        <v>2876967115</v>
      </c>
      <c r="T46" s="94">
        <f t="shared" si="26"/>
        <v>2690103000</v>
      </c>
      <c r="U46" s="96">
        <f>S46/T46</f>
        <v>1.0694635539977466</v>
      </c>
      <c r="V46" s="86">
        <f>V15+V25+V33+V44</f>
        <v>239747259.58333331</v>
      </c>
    </row>
    <row r="47" spans="1:22" x14ac:dyDescent="0.25">
      <c r="A47" s="8">
        <v>5</v>
      </c>
      <c r="B47" s="9" t="s">
        <v>82</v>
      </c>
      <c r="C47" s="70" t="s">
        <v>83</v>
      </c>
      <c r="D47" s="47" t="s">
        <v>49</v>
      </c>
      <c r="E47" s="10"/>
      <c r="F47" s="11" t="s">
        <v>13</v>
      </c>
      <c r="G47" s="12"/>
      <c r="H47" s="10"/>
      <c r="I47" s="10"/>
      <c r="J47" s="12"/>
      <c r="K47" s="10"/>
      <c r="L47" s="10"/>
      <c r="M47" s="38"/>
      <c r="N47" s="12"/>
      <c r="O47" s="12"/>
      <c r="P47" s="12"/>
      <c r="Q47" s="12"/>
      <c r="R47" s="12"/>
      <c r="S47" s="13"/>
      <c r="T47" s="13"/>
      <c r="U47" s="14"/>
      <c r="V47" s="13"/>
    </row>
    <row r="48" spans="1:22" x14ac:dyDescent="0.25">
      <c r="A48" s="15"/>
      <c r="B48" s="16"/>
      <c r="C48" s="71"/>
      <c r="D48" s="16"/>
      <c r="E48" s="17" t="s">
        <v>50</v>
      </c>
      <c r="F48" s="18"/>
      <c r="G48" s="22">
        <f>307000</f>
        <v>307000</v>
      </c>
      <c r="H48" s="110">
        <v>220000</v>
      </c>
      <c r="I48" s="110">
        <v>655000</v>
      </c>
      <c r="J48" s="22">
        <v>337000</v>
      </c>
      <c r="K48" s="110">
        <v>690000</v>
      </c>
      <c r="L48" s="110">
        <v>710000</v>
      </c>
      <c r="M48" s="110">
        <v>295000</v>
      </c>
      <c r="N48" s="22">
        <v>455000</v>
      </c>
      <c r="O48" s="22">
        <v>280000</v>
      </c>
      <c r="P48" s="33">
        <v>835000</v>
      </c>
      <c r="Q48" s="33">
        <v>400000</v>
      </c>
      <c r="R48" s="33">
        <v>150000</v>
      </c>
      <c r="S48" s="23">
        <f>SUM(G48:R48)</f>
        <v>5334000</v>
      </c>
      <c r="T48" s="23">
        <f>345000+888000+654000+756000+463000+438000+354000+690000+525000+1000000+374000+557000</f>
        <v>7044000</v>
      </c>
      <c r="U48" s="21">
        <f t="shared" ref="U48:U51" si="27">S48/T48</f>
        <v>0.75724020442930151</v>
      </c>
      <c r="V48" s="24">
        <f>S48/12</f>
        <v>444500</v>
      </c>
    </row>
    <row r="49" spans="1:22" x14ac:dyDescent="0.25">
      <c r="A49" s="15"/>
      <c r="B49" s="16"/>
      <c r="C49" s="71"/>
      <c r="D49" s="16"/>
      <c r="E49" s="17" t="s">
        <v>51</v>
      </c>
      <c r="F49" s="18"/>
      <c r="G49" s="22">
        <f>16662216+411000</f>
        <v>17073216</v>
      </c>
      <c r="H49" s="110">
        <v>13340000</v>
      </c>
      <c r="I49" s="110">
        <f>19758416+265000</f>
        <v>20023416</v>
      </c>
      <c r="J49" s="22">
        <v>11284000</v>
      </c>
      <c r="K49" s="110">
        <v>11120416</v>
      </c>
      <c r="L49" s="110">
        <v>16472083</v>
      </c>
      <c r="M49" s="110">
        <v>8689700</v>
      </c>
      <c r="N49" s="22">
        <v>11368545</v>
      </c>
      <c r="O49" s="22">
        <v>32742404</v>
      </c>
      <c r="P49" s="33">
        <v>25679000</v>
      </c>
      <c r="Q49" s="33">
        <v>33479270</v>
      </c>
      <c r="R49" s="33">
        <v>8248460</v>
      </c>
      <c r="S49" s="23">
        <f t="shared" ref="S49:S50" si="28">SUM(G49:R49)</f>
        <v>209520510</v>
      </c>
      <c r="T49" s="23">
        <f>18094000+20833000+20999000+16040000+18031000+11422000+12000000+15000000+21000000+17500000+20000000+20000000</f>
        <v>210919000</v>
      </c>
      <c r="U49" s="21">
        <f t="shared" si="27"/>
        <v>0.9933695399655792</v>
      </c>
      <c r="V49" s="24">
        <f t="shared" ref="V49:V51" si="29">S49/12</f>
        <v>17460042.5</v>
      </c>
    </row>
    <row r="50" spans="1:22" x14ac:dyDescent="0.25">
      <c r="A50" s="15"/>
      <c r="B50" s="16"/>
      <c r="C50" s="71"/>
      <c r="D50" s="16"/>
      <c r="E50" s="17" t="s">
        <v>52</v>
      </c>
      <c r="F50" s="18"/>
      <c r="G50" s="22">
        <f>11741000+129000</f>
        <v>11870000</v>
      </c>
      <c r="H50" s="110">
        <f>10452000+223000</f>
        <v>10675000</v>
      </c>
      <c r="I50" s="110">
        <f>11619000+116000</f>
        <v>11735000</v>
      </c>
      <c r="J50" s="22">
        <v>10228791</v>
      </c>
      <c r="K50" s="110">
        <v>9237000</v>
      </c>
      <c r="L50" s="110">
        <v>12756332</v>
      </c>
      <c r="M50" s="110">
        <v>9000000</v>
      </c>
      <c r="N50" s="22">
        <v>7586000</v>
      </c>
      <c r="O50" s="22">
        <v>9183000</v>
      </c>
      <c r="P50" s="33">
        <v>18632000</v>
      </c>
      <c r="Q50" s="33">
        <v>12463000</v>
      </c>
      <c r="R50" s="33">
        <v>7218000</v>
      </c>
      <c r="S50" s="23">
        <f t="shared" si="28"/>
        <v>130584123</v>
      </c>
      <c r="T50" s="23">
        <f>8245000+11065000+10956000+4552000+7036000+6657000+10000000+9237000+11000000+12000000+10000000+11000000</f>
        <v>111748000</v>
      </c>
      <c r="U50" s="21">
        <f t="shared" si="27"/>
        <v>1.1685589272291226</v>
      </c>
      <c r="V50" s="24">
        <f t="shared" si="29"/>
        <v>10882010.25</v>
      </c>
    </row>
    <row r="51" spans="1:22" ht="15.75" thickBot="1" x14ac:dyDescent="0.3">
      <c r="A51" s="26"/>
      <c r="B51" s="27"/>
      <c r="C51" s="73"/>
      <c r="D51" s="27"/>
      <c r="E51" s="28" t="s">
        <v>53</v>
      </c>
      <c r="F51" s="29"/>
      <c r="G51" s="32">
        <f>5980500+90500</f>
        <v>6071000</v>
      </c>
      <c r="H51" s="115">
        <v>3822000</v>
      </c>
      <c r="I51" s="115">
        <v>6847000</v>
      </c>
      <c r="J51" s="32">
        <v>6980749</v>
      </c>
      <c r="K51" s="115">
        <v>3547500</v>
      </c>
      <c r="L51" s="115">
        <v>8795083</v>
      </c>
      <c r="M51" s="111">
        <v>4144500</v>
      </c>
      <c r="N51" s="32">
        <v>6827500</v>
      </c>
      <c r="O51" s="22">
        <v>8832000</v>
      </c>
      <c r="P51" s="33">
        <v>10247000</v>
      </c>
      <c r="Q51" s="33">
        <v>10289500</v>
      </c>
      <c r="R51" s="33">
        <v>1634000</v>
      </c>
      <c r="S51" s="23">
        <f>SUM(G51:R51)</f>
        <v>78037832</v>
      </c>
      <c r="T51" s="23">
        <f>3092000+2015000+3558000+2736000+3478000+4215000+5500000+3500000+5000000+7300000+5000000+6000000</f>
        <v>51394000</v>
      </c>
      <c r="U51" s="21">
        <f t="shared" si="27"/>
        <v>1.5184230065766431</v>
      </c>
      <c r="V51" s="24">
        <f t="shared" si="29"/>
        <v>6503152.666666667</v>
      </c>
    </row>
    <row r="52" spans="1:22" s="62" customFormat="1" ht="15.75" thickBot="1" x14ac:dyDescent="0.3">
      <c r="A52" s="54"/>
      <c r="B52" s="55"/>
      <c r="C52" s="72"/>
      <c r="D52" s="55"/>
      <c r="E52" s="56"/>
      <c r="F52" s="57"/>
      <c r="G52" s="63">
        <f t="shared" ref="G52:S52" si="30">SUM(G48:G51)</f>
        <v>35321216</v>
      </c>
      <c r="H52" s="109">
        <f t="shared" si="30"/>
        <v>28057000</v>
      </c>
      <c r="I52" s="109">
        <f t="shared" si="30"/>
        <v>39260416</v>
      </c>
      <c r="J52" s="63">
        <f t="shared" si="30"/>
        <v>28830540</v>
      </c>
      <c r="K52" s="109">
        <f t="shared" ref="K52:P52" si="31">SUM(K48:K51)</f>
        <v>24594916</v>
      </c>
      <c r="L52" s="109">
        <f t="shared" si="31"/>
        <v>38733498</v>
      </c>
      <c r="M52" s="109">
        <f t="shared" si="31"/>
        <v>22129200</v>
      </c>
      <c r="N52" s="63">
        <f t="shared" si="31"/>
        <v>26237045</v>
      </c>
      <c r="O52" s="63">
        <f t="shared" si="31"/>
        <v>51037404</v>
      </c>
      <c r="P52" s="63">
        <f t="shared" si="31"/>
        <v>55393000</v>
      </c>
      <c r="Q52" s="63">
        <f>SUM(Q48:Q51)</f>
        <v>56631770</v>
      </c>
      <c r="R52" s="63">
        <f>SUM(R48:R51)</f>
        <v>17250460</v>
      </c>
      <c r="S52" s="59">
        <f t="shared" si="30"/>
        <v>423476465</v>
      </c>
      <c r="T52" s="59">
        <f>SUM(T48:T51)</f>
        <v>381105000</v>
      </c>
      <c r="U52" s="60">
        <f>S52/T52</f>
        <v>1.1111805539155877</v>
      </c>
      <c r="V52" s="59">
        <f>SUM(V48:V51)</f>
        <v>35289705.416666664</v>
      </c>
    </row>
    <row r="53" spans="1:22" x14ac:dyDescent="0.25">
      <c r="A53" s="8"/>
      <c r="B53" s="9"/>
      <c r="C53" s="70"/>
      <c r="D53" s="9"/>
      <c r="E53" s="10"/>
      <c r="F53" s="11"/>
      <c r="G53" s="12"/>
      <c r="H53" s="12"/>
      <c r="I53" s="12"/>
      <c r="J53" s="12"/>
      <c r="K53" s="12"/>
      <c r="L53" s="10"/>
      <c r="M53" s="38"/>
      <c r="N53" s="12"/>
      <c r="O53" s="12"/>
      <c r="P53" s="12"/>
      <c r="Q53" s="12"/>
      <c r="R53" s="12"/>
      <c r="S53" s="13"/>
      <c r="T53" s="13"/>
      <c r="U53" s="14"/>
      <c r="V53" s="13"/>
    </row>
    <row r="54" spans="1:22" x14ac:dyDescent="0.25">
      <c r="A54" s="15">
        <v>6</v>
      </c>
      <c r="B54" s="16" t="s">
        <v>82</v>
      </c>
      <c r="C54" s="71" t="s">
        <v>84</v>
      </c>
      <c r="D54" s="45" t="s">
        <v>49</v>
      </c>
      <c r="E54" s="17"/>
      <c r="F54" s="18" t="s">
        <v>13</v>
      </c>
      <c r="G54" s="19"/>
      <c r="H54" s="19"/>
      <c r="I54" s="19"/>
      <c r="J54" s="19"/>
      <c r="K54" s="19"/>
      <c r="L54" s="17"/>
      <c r="M54" s="17"/>
      <c r="N54" s="19"/>
      <c r="O54" s="19"/>
      <c r="P54" s="19"/>
      <c r="Q54" s="19"/>
      <c r="R54" s="19"/>
      <c r="S54" s="20"/>
      <c r="T54" s="20"/>
      <c r="U54" s="21"/>
      <c r="V54" s="20"/>
    </row>
    <row r="55" spans="1:22" x14ac:dyDescent="0.25">
      <c r="A55" s="15"/>
      <c r="B55" s="16"/>
      <c r="C55" s="71" t="s">
        <v>87</v>
      </c>
      <c r="D55" s="16"/>
      <c r="E55" s="17" t="s">
        <v>54</v>
      </c>
      <c r="F55" s="18"/>
      <c r="G55" s="22">
        <f>13798953</f>
        <v>13798953</v>
      </c>
      <c r="H55" s="22">
        <v>13913872</v>
      </c>
      <c r="I55" s="22">
        <v>19727872</v>
      </c>
      <c r="J55" s="22">
        <v>9302000</v>
      </c>
      <c r="K55" s="22">
        <v>5670277</v>
      </c>
      <c r="L55" s="110">
        <v>5076148</v>
      </c>
      <c r="M55" s="110">
        <v>5258000</v>
      </c>
      <c r="N55" s="22">
        <v>11434000</v>
      </c>
      <c r="O55" s="22">
        <v>8885000</v>
      </c>
      <c r="P55" s="22">
        <v>14128000</v>
      </c>
      <c r="Q55" s="22">
        <v>20320000</v>
      </c>
      <c r="R55" s="22">
        <v>23283000</v>
      </c>
      <c r="S55" s="23">
        <f>SUM(G55:R55)</f>
        <v>150797122</v>
      </c>
      <c r="T55" s="23">
        <f>5694000+8978000+8621000+6091000+5013000+1924000+12000000+13000000+16000000+16000000+10000000+15000000</f>
        <v>118321000</v>
      </c>
      <c r="U55" s="21">
        <f t="shared" ref="U55:U58" si="32">S55/T55</f>
        <v>1.2744747086316039</v>
      </c>
      <c r="V55" s="24">
        <f>S55/12</f>
        <v>12566426.833333334</v>
      </c>
    </row>
    <row r="56" spans="1:22" x14ac:dyDescent="0.25">
      <c r="A56" s="15"/>
      <c r="B56" s="16"/>
      <c r="C56" s="71" t="s">
        <v>112</v>
      </c>
      <c r="D56" s="16"/>
      <c r="E56" s="17" t="s">
        <v>55</v>
      </c>
      <c r="F56" s="18"/>
      <c r="G56" s="22">
        <f>21558000</f>
        <v>21558000</v>
      </c>
      <c r="H56" s="22">
        <v>23770000</v>
      </c>
      <c r="I56" s="22">
        <v>27686000</v>
      </c>
      <c r="J56" s="22">
        <v>20248000</v>
      </c>
      <c r="K56" s="22">
        <v>14995000</v>
      </c>
      <c r="L56" s="110">
        <v>17995000</v>
      </c>
      <c r="M56" s="110">
        <v>22477000</v>
      </c>
      <c r="N56" s="22">
        <v>18255500</v>
      </c>
      <c r="O56" s="22">
        <v>17859000</v>
      </c>
      <c r="P56" s="22">
        <v>27260000</v>
      </c>
      <c r="Q56" s="22">
        <v>28347000</v>
      </c>
      <c r="R56" s="22">
        <v>28713904</v>
      </c>
      <c r="S56" s="23">
        <f>SUM(G56:R56)</f>
        <v>269164404</v>
      </c>
      <c r="T56" s="23">
        <f>14001000+18758000+16164000+12181000+8400000+7997000+22000000+22000000+20000000+23000000+25000000+23000000</f>
        <v>212501000</v>
      </c>
      <c r="U56" s="21">
        <f t="shared" si="32"/>
        <v>1.2666500581173736</v>
      </c>
      <c r="V56" s="24">
        <f t="shared" ref="V56:V58" si="33">S56/12</f>
        <v>22430367</v>
      </c>
    </row>
    <row r="57" spans="1:22" x14ac:dyDescent="0.25">
      <c r="A57" s="15"/>
      <c r="B57" s="16"/>
      <c r="C57" s="71"/>
      <c r="D57" s="16"/>
      <c r="E57" s="17" t="s">
        <v>56</v>
      </c>
      <c r="F57" s="18"/>
      <c r="G57" s="22">
        <f>210000</f>
        <v>210000</v>
      </c>
      <c r="H57" s="22">
        <f>86000+184000</f>
        <v>270000</v>
      </c>
      <c r="I57" s="22">
        <v>805000</v>
      </c>
      <c r="J57" s="22">
        <v>497000</v>
      </c>
      <c r="K57" s="22">
        <v>485000</v>
      </c>
      <c r="L57" s="110">
        <v>0</v>
      </c>
      <c r="M57" s="110">
        <v>270000</v>
      </c>
      <c r="N57" s="22">
        <v>0</v>
      </c>
      <c r="O57" s="22">
        <v>255000</v>
      </c>
      <c r="P57" s="22">
        <v>60000</v>
      </c>
      <c r="Q57" s="22">
        <v>0</v>
      </c>
      <c r="R57" s="22">
        <v>0</v>
      </c>
      <c r="S57" s="23">
        <f t="shared" ref="S57:S58" si="34">SUM(G57:R57)</f>
        <v>2852000</v>
      </c>
      <c r="T57" s="23">
        <f>305000+0+0+0+122000+0+521000+400000+500000+500000+400000+400000</f>
        <v>3148000</v>
      </c>
      <c r="U57" s="21">
        <f t="shared" si="32"/>
        <v>0.90597204574332912</v>
      </c>
      <c r="V57" s="24">
        <f t="shared" si="33"/>
        <v>237666.66666666666</v>
      </c>
    </row>
    <row r="58" spans="1:22" ht="15.75" thickBot="1" x14ac:dyDescent="0.3">
      <c r="A58" s="15"/>
      <c r="B58" s="16"/>
      <c r="C58" s="71"/>
      <c r="D58" s="16"/>
      <c r="E58" s="28" t="s">
        <v>58</v>
      </c>
      <c r="F58" s="18"/>
      <c r="G58" s="22">
        <f>265000</f>
        <v>265000</v>
      </c>
      <c r="H58" s="22">
        <v>0</v>
      </c>
      <c r="I58" s="22">
        <v>150000</v>
      </c>
      <c r="J58" s="22">
        <v>0</v>
      </c>
      <c r="K58" s="22">
        <v>0</v>
      </c>
      <c r="L58" s="110">
        <v>570000</v>
      </c>
      <c r="M58" s="110">
        <v>800000</v>
      </c>
      <c r="N58" s="22">
        <v>5290000</v>
      </c>
      <c r="O58" s="22">
        <v>800000</v>
      </c>
      <c r="P58" s="22">
        <v>2660000</v>
      </c>
      <c r="Q58" s="22">
        <v>1200000</v>
      </c>
      <c r="R58" s="22">
        <v>1655000</v>
      </c>
      <c r="S58" s="23">
        <f t="shared" si="34"/>
        <v>13390000</v>
      </c>
      <c r="T58" s="23">
        <f>2700000+1368000+1099000+497000+0+280000+0+0+0+300000+0+200000</f>
        <v>6444000</v>
      </c>
      <c r="U58" s="21">
        <f t="shared" si="32"/>
        <v>2.0779019242706394</v>
      </c>
      <c r="V58" s="24">
        <f t="shared" si="33"/>
        <v>1115833.3333333333</v>
      </c>
    </row>
    <row r="59" spans="1:22" s="62" customFormat="1" ht="15.75" thickBot="1" x14ac:dyDescent="0.3">
      <c r="A59" s="54"/>
      <c r="B59" s="55"/>
      <c r="C59" s="72"/>
      <c r="D59" s="55"/>
      <c r="E59" s="56"/>
      <c r="F59" s="57"/>
      <c r="G59" s="63">
        <f t="shared" ref="G59:S59" si="35">SUM(G55:G58)</f>
        <v>35831953</v>
      </c>
      <c r="H59" s="63">
        <f t="shared" si="35"/>
        <v>37953872</v>
      </c>
      <c r="I59" s="99">
        <f t="shared" si="35"/>
        <v>48368872</v>
      </c>
      <c r="J59" s="63">
        <f t="shared" si="35"/>
        <v>30047000</v>
      </c>
      <c r="K59" s="63">
        <f t="shared" si="35"/>
        <v>21150277</v>
      </c>
      <c r="L59" s="109">
        <f t="shared" si="35"/>
        <v>23641148</v>
      </c>
      <c r="M59" s="109">
        <f t="shared" si="35"/>
        <v>28805000</v>
      </c>
      <c r="N59" s="63">
        <f t="shared" si="35"/>
        <v>34979500</v>
      </c>
      <c r="O59" s="63">
        <f t="shared" si="35"/>
        <v>27799000</v>
      </c>
      <c r="P59" s="63">
        <f t="shared" ref="P59:Q59" si="36">SUM(P55:P58)</f>
        <v>44108000</v>
      </c>
      <c r="Q59" s="63">
        <f t="shared" si="36"/>
        <v>49867000</v>
      </c>
      <c r="R59" s="63">
        <f t="shared" ref="R59" si="37">SUM(R55:R58)</f>
        <v>53651904</v>
      </c>
      <c r="S59" s="97">
        <f t="shared" si="35"/>
        <v>436203526</v>
      </c>
      <c r="T59" s="63">
        <f>SUM(T55:T58)</f>
        <v>340414000</v>
      </c>
      <c r="U59" s="60">
        <f>S59/T59</f>
        <v>1.2813912647540935</v>
      </c>
      <c r="V59" s="63">
        <f>SUM(V55:V58)</f>
        <v>36350293.833333336</v>
      </c>
    </row>
    <row r="60" spans="1:22" x14ac:dyDescent="0.25">
      <c r="A60" s="8"/>
      <c r="B60" s="9"/>
      <c r="C60" s="70"/>
      <c r="D60" s="9"/>
      <c r="E60" s="10"/>
      <c r="F60" s="12"/>
      <c r="G60" s="12"/>
      <c r="H60" s="12"/>
      <c r="I60" s="10"/>
      <c r="J60" s="12"/>
      <c r="K60" s="12"/>
      <c r="L60" s="10"/>
      <c r="M60" s="38"/>
      <c r="N60" s="12"/>
      <c r="O60" s="12"/>
      <c r="P60" s="12"/>
      <c r="Q60" s="12"/>
      <c r="R60" s="12"/>
      <c r="S60" s="23"/>
      <c r="T60" s="23"/>
      <c r="U60" s="21"/>
      <c r="V60" s="23"/>
    </row>
    <row r="61" spans="1:22" x14ac:dyDescent="0.25">
      <c r="A61" s="8"/>
      <c r="B61" s="9"/>
      <c r="C61" s="70"/>
      <c r="D61" s="9" t="s">
        <v>79</v>
      </c>
      <c r="E61" s="17"/>
      <c r="F61" s="12"/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110">
        <v>0</v>
      </c>
      <c r="M61" s="110">
        <v>0</v>
      </c>
      <c r="N61" s="103">
        <v>4779175</v>
      </c>
      <c r="O61" s="103">
        <v>0</v>
      </c>
      <c r="P61" s="33">
        <v>4101000</v>
      </c>
      <c r="Q61" s="33">
        <v>1250000</v>
      </c>
      <c r="R61" s="33">
        <v>250000</v>
      </c>
      <c r="S61" s="23">
        <f>SUM(G61:R61)</f>
        <v>10380175</v>
      </c>
      <c r="T61" s="23">
        <f>0+0+8351000+6040000+0+0+0+0+0+0+352000+0</f>
        <v>14743000</v>
      </c>
      <c r="U61" s="21">
        <f>S61/T61</f>
        <v>0.70407481516651971</v>
      </c>
      <c r="V61" s="24">
        <f>S61/12</f>
        <v>865014.58333333337</v>
      </c>
    </row>
    <row r="62" spans="1:22" x14ac:dyDescent="0.25">
      <c r="A62" s="26"/>
      <c r="B62" s="27"/>
      <c r="C62" s="73"/>
      <c r="D62" s="27"/>
      <c r="E62" s="17" t="s">
        <v>78</v>
      </c>
      <c r="F62" s="29"/>
      <c r="G62" s="32">
        <f>15431975</f>
        <v>15431975</v>
      </c>
      <c r="H62" s="32">
        <v>1190000</v>
      </c>
      <c r="I62" s="32">
        <v>980000</v>
      </c>
      <c r="J62" s="32">
        <v>2755000</v>
      </c>
      <c r="K62" s="32">
        <v>3204000</v>
      </c>
      <c r="L62" s="115">
        <v>16852545</v>
      </c>
      <c r="M62" s="115">
        <v>25823450</v>
      </c>
      <c r="N62" s="32">
        <v>7650000</v>
      </c>
      <c r="O62" s="22">
        <v>5080000</v>
      </c>
      <c r="P62" s="33">
        <v>4225000</v>
      </c>
      <c r="Q62" s="33">
        <v>12152000</v>
      </c>
      <c r="R62" s="33">
        <v>29776040</v>
      </c>
      <c r="S62" s="23">
        <f>SUM(G62:R62)</f>
        <v>125120010</v>
      </c>
      <c r="T62" s="23">
        <f>0+0+0+0+0+0+2893000+3204000+5000000+5000000+2000000+5000000</f>
        <v>23097000</v>
      </c>
      <c r="U62" s="21">
        <f t="shared" ref="U62" si="38">S62/T62</f>
        <v>5.4171541758669957</v>
      </c>
      <c r="V62" s="24">
        <f t="shared" ref="V62:V63" si="39">S62/12</f>
        <v>10426667.5</v>
      </c>
    </row>
    <row r="63" spans="1:22" x14ac:dyDescent="0.25">
      <c r="A63" s="15"/>
      <c r="B63" s="16"/>
      <c r="C63" s="71"/>
      <c r="D63" s="16"/>
      <c r="E63" s="28" t="s">
        <v>57</v>
      </c>
      <c r="F63" s="18"/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110">
        <v>0</v>
      </c>
      <c r="M63" s="22">
        <v>0</v>
      </c>
      <c r="N63" s="22">
        <v>0</v>
      </c>
      <c r="O63" s="22">
        <v>0</v>
      </c>
      <c r="P63" s="33">
        <v>0</v>
      </c>
      <c r="Q63" s="33">
        <v>0</v>
      </c>
      <c r="R63" s="33">
        <v>0</v>
      </c>
      <c r="S63" s="23">
        <f t="shared" ref="S63:S64" si="40">SUM(G63:R63)</f>
        <v>0</v>
      </c>
      <c r="T63" s="23">
        <f>104000+109000+0+224000+0+0+0+0+0+0+0+1500000</f>
        <v>1937000</v>
      </c>
      <c r="U63" s="21">
        <f t="shared" ref="U63" si="41">S63/T63</f>
        <v>0</v>
      </c>
      <c r="V63" s="24">
        <f t="shared" si="39"/>
        <v>0</v>
      </c>
    </row>
    <row r="64" spans="1:22" ht="15.75" thickBot="1" x14ac:dyDescent="0.3">
      <c r="A64" s="8"/>
      <c r="B64" s="9"/>
      <c r="C64" s="70"/>
      <c r="D64" s="16" t="s">
        <v>80</v>
      </c>
      <c r="E64" s="125"/>
      <c r="F64" s="12"/>
      <c r="G64" s="22">
        <v>0</v>
      </c>
      <c r="H64" s="22">
        <v>0</v>
      </c>
      <c r="I64" s="22">
        <v>0</v>
      </c>
      <c r="J64" s="103">
        <v>53125</v>
      </c>
      <c r="K64" s="103">
        <v>10000</v>
      </c>
      <c r="L64" s="119">
        <v>72500</v>
      </c>
      <c r="M64" s="119">
        <v>150000</v>
      </c>
      <c r="N64" s="103">
        <v>20000</v>
      </c>
      <c r="O64" s="103">
        <v>79000</v>
      </c>
      <c r="P64" s="33">
        <v>0</v>
      </c>
      <c r="Q64" s="33">
        <v>100000</v>
      </c>
      <c r="R64" s="33">
        <v>0</v>
      </c>
      <c r="S64" s="23">
        <f t="shared" si="40"/>
        <v>484625</v>
      </c>
      <c r="T64" s="23">
        <f>0+0+0+0+0+0+56000+10000+0+0+4000+5000</f>
        <v>75000</v>
      </c>
      <c r="U64" s="21">
        <f t="shared" ref="U64:U84" si="42">S64/T64</f>
        <v>6.4616666666666669</v>
      </c>
      <c r="V64" s="24">
        <f>S64/12</f>
        <v>40385.416666666664</v>
      </c>
    </row>
    <row r="65" spans="1:23" s="62" customFormat="1" ht="15.75" thickBot="1" x14ac:dyDescent="0.3">
      <c r="A65" s="54"/>
      <c r="B65" s="55"/>
      <c r="C65" s="72"/>
      <c r="D65" s="55"/>
      <c r="E65" s="56"/>
      <c r="F65" s="57"/>
      <c r="G65" s="63">
        <f t="shared" ref="G65:S65" si="43">SUM(G61:G64)</f>
        <v>15431975</v>
      </c>
      <c r="H65" s="63">
        <f t="shared" si="43"/>
        <v>1190000</v>
      </c>
      <c r="I65" s="109">
        <f t="shared" si="43"/>
        <v>980000</v>
      </c>
      <c r="J65" s="109">
        <f t="shared" si="43"/>
        <v>2808125</v>
      </c>
      <c r="K65" s="109">
        <f t="shared" ref="K65:P65" si="44">SUM(K61:K64)</f>
        <v>3214000</v>
      </c>
      <c r="L65" s="109">
        <f t="shared" si="44"/>
        <v>16925045</v>
      </c>
      <c r="M65" s="109">
        <f t="shared" si="44"/>
        <v>25973450</v>
      </c>
      <c r="N65" s="63">
        <f t="shared" si="44"/>
        <v>12449175</v>
      </c>
      <c r="O65" s="63">
        <f t="shared" si="44"/>
        <v>5159000</v>
      </c>
      <c r="P65" s="63">
        <f t="shared" si="44"/>
        <v>8326000</v>
      </c>
      <c r="Q65" s="63">
        <f>SUM(Q61:Q64)</f>
        <v>13502000</v>
      </c>
      <c r="R65" s="63">
        <f>SUM(R61:R64)</f>
        <v>30026040</v>
      </c>
      <c r="S65" s="64">
        <f t="shared" si="43"/>
        <v>135984810</v>
      </c>
      <c r="T65" s="64">
        <f>SUM(T61:T64)</f>
        <v>39852000</v>
      </c>
      <c r="U65" s="60">
        <f>S65/T65</f>
        <v>3.4122455585666969</v>
      </c>
      <c r="V65" s="63">
        <f>SUM(V61:V64)</f>
        <v>11332067.5</v>
      </c>
    </row>
    <row r="66" spans="1:23" ht="15.75" thickBot="1" x14ac:dyDescent="0.3">
      <c r="A66" s="66"/>
      <c r="B66" s="83"/>
      <c r="C66" s="84"/>
      <c r="D66" s="83"/>
      <c r="E66" s="85"/>
      <c r="F66" s="67"/>
      <c r="G66" s="92">
        <f t="shared" ref="G66:T66" si="45">G52+G59+G65</f>
        <v>86585144</v>
      </c>
      <c r="H66" s="86">
        <f t="shared" si="45"/>
        <v>67200872</v>
      </c>
      <c r="I66" s="84">
        <f t="shared" si="45"/>
        <v>88609288</v>
      </c>
      <c r="J66" s="77">
        <f t="shared" si="45"/>
        <v>61685665</v>
      </c>
      <c r="K66" s="86">
        <f t="shared" si="45"/>
        <v>48959193</v>
      </c>
      <c r="L66" s="84">
        <f t="shared" si="45"/>
        <v>79299691</v>
      </c>
      <c r="M66" s="84">
        <f t="shared" si="45"/>
        <v>76907650</v>
      </c>
      <c r="N66" s="86">
        <f t="shared" si="45"/>
        <v>73665720</v>
      </c>
      <c r="O66" s="86">
        <f t="shared" si="45"/>
        <v>83995404</v>
      </c>
      <c r="P66" s="86">
        <f t="shared" ref="P66:Q66" si="46">P52+P59+P65</f>
        <v>107827000</v>
      </c>
      <c r="Q66" s="86">
        <f t="shared" si="46"/>
        <v>120000770</v>
      </c>
      <c r="R66" s="86">
        <f t="shared" ref="R66" si="47">R52+R59+R65</f>
        <v>100928404</v>
      </c>
      <c r="S66" s="94">
        <f t="shared" si="45"/>
        <v>995664801</v>
      </c>
      <c r="T66" s="94">
        <f t="shared" si="45"/>
        <v>761371000</v>
      </c>
      <c r="U66" s="96">
        <f>S66/T66</f>
        <v>1.3077261952451564</v>
      </c>
      <c r="V66" s="92">
        <f>V52+V59+V65</f>
        <v>82972066.75</v>
      </c>
      <c r="W66" s="123" t="s">
        <v>109</v>
      </c>
    </row>
    <row r="67" spans="1:23" x14ac:dyDescent="0.25">
      <c r="A67" s="15"/>
      <c r="B67" s="16"/>
      <c r="C67" s="71"/>
      <c r="D67" s="87"/>
      <c r="E67" s="17"/>
      <c r="F67" s="19"/>
      <c r="G67" s="19"/>
      <c r="H67" s="19"/>
      <c r="I67" s="17"/>
      <c r="J67" s="19"/>
      <c r="K67" s="19"/>
      <c r="L67" s="17"/>
      <c r="M67" s="17"/>
      <c r="N67" s="19"/>
      <c r="O67" s="19"/>
      <c r="P67" s="22"/>
      <c r="Q67" s="22"/>
      <c r="R67" s="22"/>
      <c r="S67" s="23"/>
      <c r="T67" s="23"/>
      <c r="U67" s="21"/>
      <c r="V67" s="24"/>
    </row>
    <row r="68" spans="1:23" x14ac:dyDescent="0.25">
      <c r="A68" s="15">
        <v>7</v>
      </c>
      <c r="B68" s="16"/>
      <c r="C68" s="71"/>
      <c r="D68" s="2" t="s">
        <v>59</v>
      </c>
      <c r="E68" s="17"/>
      <c r="F68" s="19"/>
      <c r="G68" s="19"/>
      <c r="H68" s="19"/>
      <c r="I68" s="17"/>
      <c r="J68" s="19"/>
      <c r="K68" s="19"/>
      <c r="L68" s="17"/>
      <c r="M68" s="17"/>
      <c r="N68" s="19"/>
      <c r="O68" s="19"/>
      <c r="P68" s="22"/>
      <c r="Q68" s="22"/>
      <c r="R68" s="22"/>
      <c r="S68" s="23"/>
      <c r="T68" s="23"/>
      <c r="U68" s="21"/>
      <c r="V68" s="24"/>
    </row>
    <row r="69" spans="1:23" x14ac:dyDescent="0.25">
      <c r="A69" s="15"/>
      <c r="B69" s="16"/>
      <c r="C69" s="71"/>
      <c r="D69" s="16"/>
      <c r="E69" s="51" t="s">
        <v>60</v>
      </c>
      <c r="F69" s="19"/>
      <c r="G69" s="22">
        <f>2428166</f>
        <v>2428166</v>
      </c>
      <c r="H69" s="22">
        <v>4482500</v>
      </c>
      <c r="I69" s="22">
        <v>442500</v>
      </c>
      <c r="J69" s="22">
        <v>408500</v>
      </c>
      <c r="K69" s="22">
        <v>0</v>
      </c>
      <c r="L69" s="110">
        <v>1488916</v>
      </c>
      <c r="M69" s="110">
        <v>4310685</v>
      </c>
      <c r="N69" s="22">
        <v>1750000</v>
      </c>
      <c r="O69" s="22">
        <v>4690000</v>
      </c>
      <c r="P69" s="22">
        <v>675080</v>
      </c>
      <c r="Q69" s="22">
        <v>312500</v>
      </c>
      <c r="R69" s="22">
        <v>3824066</v>
      </c>
      <c r="S69" s="23">
        <f>SUM(G69:R69)</f>
        <v>24812913</v>
      </c>
      <c r="T69" s="23">
        <f>175000+550000+305000+438000+5649000+2354000+428000+0+1050000+391000+487000+651000</f>
        <v>12478000</v>
      </c>
      <c r="U69" s="21">
        <f t="shared" si="42"/>
        <v>1.9885328578297805</v>
      </c>
      <c r="V69" s="24">
        <f>S69/12</f>
        <v>2067742.75</v>
      </c>
    </row>
    <row r="70" spans="1:23" x14ac:dyDescent="0.25">
      <c r="A70" s="15"/>
      <c r="B70" s="16"/>
      <c r="C70" s="71"/>
      <c r="D70" s="16"/>
      <c r="E70" s="51" t="s">
        <v>61</v>
      </c>
      <c r="F70" s="19"/>
      <c r="G70" s="22">
        <f>18415500</f>
        <v>18415500</v>
      </c>
      <c r="H70" s="22">
        <v>12242000</v>
      </c>
      <c r="I70" s="22">
        <v>16910000</v>
      </c>
      <c r="J70" s="22">
        <v>9805000</v>
      </c>
      <c r="K70" s="22">
        <v>26653500</v>
      </c>
      <c r="L70" s="110">
        <v>18403000</v>
      </c>
      <c r="M70" s="110">
        <v>7400000</v>
      </c>
      <c r="N70" s="22">
        <v>2225000</v>
      </c>
      <c r="O70" s="22">
        <v>12298000</v>
      </c>
      <c r="P70" s="22">
        <v>11783000</v>
      </c>
      <c r="Q70" s="22">
        <v>15376000</v>
      </c>
      <c r="R70" s="22">
        <v>9958500</v>
      </c>
      <c r="S70" s="23">
        <f t="shared" ref="S70:S84" si="48">SUM(G70:R70)</f>
        <v>161469500</v>
      </c>
      <c r="T70" s="23">
        <f>12368000+16098000+11854000+14823000+23026000+12361000+11000000+10000000+12000000+12000000+12000000+12000000</f>
        <v>159530000</v>
      </c>
      <c r="U70" s="21">
        <f>S70/T70</f>
        <v>1.0121575879144988</v>
      </c>
      <c r="V70" s="24">
        <f t="shared" ref="V70:V84" si="49">S70/12</f>
        <v>13455791.666666666</v>
      </c>
    </row>
    <row r="71" spans="1:23" x14ac:dyDescent="0.25">
      <c r="A71" s="15"/>
      <c r="B71" s="16"/>
      <c r="C71" s="71"/>
      <c r="D71" s="16"/>
      <c r="E71" s="51" t="s">
        <v>62</v>
      </c>
      <c r="F71" s="19"/>
      <c r="G71" s="22">
        <f>3150000</f>
        <v>3150000</v>
      </c>
      <c r="H71" s="22">
        <v>0</v>
      </c>
      <c r="I71" s="22">
        <v>550000</v>
      </c>
      <c r="J71" s="22">
        <v>0</v>
      </c>
      <c r="K71" s="22">
        <v>0</v>
      </c>
      <c r="L71" s="110">
        <v>0</v>
      </c>
      <c r="M71" s="110">
        <v>0</v>
      </c>
      <c r="N71" s="22">
        <v>500000</v>
      </c>
      <c r="O71" s="22">
        <v>300000</v>
      </c>
      <c r="P71" s="22">
        <v>40000</v>
      </c>
      <c r="Q71" s="22">
        <v>0</v>
      </c>
      <c r="R71" s="22">
        <v>5000</v>
      </c>
      <c r="S71" s="23">
        <f t="shared" si="48"/>
        <v>4545000</v>
      </c>
      <c r="T71" s="23">
        <f>1546000+1635000+1616000+508000+1373000+1122000+0+0+0+50000+1575000</f>
        <v>9425000</v>
      </c>
      <c r="U71" s="21">
        <f>S71/T71</f>
        <v>0.48222811671087534</v>
      </c>
      <c r="V71" s="24">
        <f t="shared" si="49"/>
        <v>378750</v>
      </c>
    </row>
    <row r="72" spans="1:23" x14ac:dyDescent="0.25">
      <c r="A72" s="15"/>
      <c r="B72" s="16"/>
      <c r="C72" s="71"/>
      <c r="D72" s="16"/>
      <c r="E72" s="51" t="s">
        <v>63</v>
      </c>
      <c r="F72" s="19"/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110">
        <v>0</v>
      </c>
      <c r="M72" s="110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3">
        <f t="shared" si="48"/>
        <v>0</v>
      </c>
      <c r="T72" s="23">
        <f>0+0+0+0+0+0+0+0+0+0+0</f>
        <v>0</v>
      </c>
      <c r="U72" s="21" t="e">
        <f t="shared" si="42"/>
        <v>#DIV/0!</v>
      </c>
      <c r="V72" s="24">
        <f t="shared" si="49"/>
        <v>0</v>
      </c>
    </row>
    <row r="73" spans="1:23" x14ac:dyDescent="0.25">
      <c r="A73" s="15"/>
      <c r="B73" s="16"/>
      <c r="C73" s="71"/>
      <c r="D73" s="16"/>
      <c r="E73" s="51" t="s">
        <v>64</v>
      </c>
      <c r="F73" s="19"/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110">
        <v>0</v>
      </c>
      <c r="M73" s="110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3">
        <f t="shared" si="48"/>
        <v>0</v>
      </c>
      <c r="T73" s="23">
        <f>0+0+0+0+0+0+0+0+0+0+0</f>
        <v>0</v>
      </c>
      <c r="U73" s="21" t="e">
        <f t="shared" si="42"/>
        <v>#DIV/0!</v>
      </c>
      <c r="V73" s="24">
        <f t="shared" si="49"/>
        <v>0</v>
      </c>
    </row>
    <row r="74" spans="1:23" x14ac:dyDescent="0.25">
      <c r="A74" s="15"/>
      <c r="B74" s="16"/>
      <c r="C74" s="71"/>
      <c r="D74" s="16"/>
      <c r="E74" s="51" t="s">
        <v>65</v>
      </c>
      <c r="F74" s="19"/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110">
        <v>0</v>
      </c>
      <c r="M74" s="110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3">
        <f t="shared" si="48"/>
        <v>0</v>
      </c>
      <c r="T74" s="23">
        <f>2525000+2180000+0+0+2243000+0+0+0+0+0+0</f>
        <v>6948000</v>
      </c>
      <c r="U74" s="21">
        <f t="shared" si="42"/>
        <v>0</v>
      </c>
      <c r="V74" s="24">
        <f t="shared" si="49"/>
        <v>0</v>
      </c>
    </row>
    <row r="75" spans="1:23" x14ac:dyDescent="0.25">
      <c r="A75" s="15"/>
      <c r="B75" s="16"/>
      <c r="C75" s="71"/>
      <c r="D75" s="16"/>
      <c r="E75" s="51" t="s">
        <v>66</v>
      </c>
      <c r="F75" s="19"/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110">
        <v>0</v>
      </c>
      <c r="M75" s="110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3">
        <f t="shared" si="48"/>
        <v>0</v>
      </c>
      <c r="T75" s="23">
        <f>0+1090000+0+0+0+0+0+0+0+0+0</f>
        <v>1090000</v>
      </c>
      <c r="U75" s="21">
        <f t="shared" si="42"/>
        <v>0</v>
      </c>
      <c r="V75" s="24">
        <f t="shared" si="49"/>
        <v>0</v>
      </c>
    </row>
    <row r="76" spans="1:23" x14ac:dyDescent="0.25">
      <c r="A76" s="15"/>
      <c r="B76" s="16"/>
      <c r="C76" s="71"/>
      <c r="D76" s="16"/>
      <c r="E76" s="52" t="s">
        <v>67</v>
      </c>
      <c r="F76" s="19"/>
      <c r="G76" s="22">
        <v>0</v>
      </c>
      <c r="H76" s="22">
        <v>247297</v>
      </c>
      <c r="I76" s="22">
        <v>0</v>
      </c>
      <c r="J76" s="22">
        <v>0</v>
      </c>
      <c r="K76" s="22">
        <v>0</v>
      </c>
      <c r="L76" s="110">
        <v>0</v>
      </c>
      <c r="M76" s="110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3">
        <f t="shared" si="48"/>
        <v>247297</v>
      </c>
      <c r="T76" s="23">
        <f>0+0+0+0+11000+0+0+0+0+0+0</f>
        <v>11000</v>
      </c>
      <c r="U76" s="21">
        <f t="shared" si="42"/>
        <v>22.481545454545454</v>
      </c>
      <c r="V76" s="24">
        <f t="shared" si="49"/>
        <v>20608.083333333332</v>
      </c>
    </row>
    <row r="77" spans="1:23" x14ac:dyDescent="0.25">
      <c r="A77" s="15"/>
      <c r="B77" s="16"/>
      <c r="C77" s="71"/>
      <c r="D77" s="16"/>
      <c r="E77" s="52" t="s">
        <v>102</v>
      </c>
      <c r="F77" s="19"/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110">
        <v>350000</v>
      </c>
      <c r="M77" s="110">
        <v>6000000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3">
        <f t="shared" si="48"/>
        <v>6350000</v>
      </c>
      <c r="T77" s="23">
        <f>0+0+0+0+0+0+0+0+0+0</f>
        <v>0</v>
      </c>
      <c r="U77" s="21" t="e">
        <f t="shared" si="42"/>
        <v>#DIV/0!</v>
      </c>
      <c r="V77" s="24">
        <f t="shared" si="49"/>
        <v>529166.66666666663</v>
      </c>
    </row>
    <row r="78" spans="1:23" x14ac:dyDescent="0.25">
      <c r="A78" s="15"/>
      <c r="B78" s="16"/>
      <c r="C78" s="71"/>
      <c r="D78" s="16"/>
      <c r="E78" s="52" t="s">
        <v>68</v>
      </c>
      <c r="F78" s="19"/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110">
        <v>400000</v>
      </c>
      <c r="M78" s="110">
        <v>66000</v>
      </c>
      <c r="N78" s="22">
        <v>0</v>
      </c>
      <c r="O78" s="22">
        <v>0</v>
      </c>
      <c r="P78" s="22">
        <v>0</v>
      </c>
      <c r="Q78" s="22">
        <v>0</v>
      </c>
      <c r="R78" s="22">
        <v>285000</v>
      </c>
      <c r="S78" s="23">
        <f t="shared" si="48"/>
        <v>751000</v>
      </c>
      <c r="T78" s="23">
        <f>0+0+0+0+0+0+0+0+420000+200000+295000</f>
        <v>915000</v>
      </c>
      <c r="U78" s="21">
        <f>S78/T78</f>
        <v>0.82076502732240442</v>
      </c>
      <c r="V78" s="24">
        <f t="shared" si="49"/>
        <v>62583.333333333336</v>
      </c>
    </row>
    <row r="79" spans="1:23" x14ac:dyDescent="0.25">
      <c r="A79" s="15"/>
      <c r="B79" s="16"/>
      <c r="C79" s="71"/>
      <c r="D79" s="16"/>
      <c r="E79" s="52" t="s">
        <v>104</v>
      </c>
      <c r="F79" s="19"/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110">
        <v>0</v>
      </c>
      <c r="M79" s="110">
        <v>70000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3">
        <f>SUM(G79:R79)</f>
        <v>70000</v>
      </c>
      <c r="T79" s="23">
        <f>0+0+0+0+0+0+0+0+0+0</f>
        <v>0</v>
      </c>
      <c r="U79" s="21" t="e">
        <f>S79/T79</f>
        <v>#DIV/0!</v>
      </c>
      <c r="V79" s="24">
        <f t="shared" si="49"/>
        <v>5833.333333333333</v>
      </c>
    </row>
    <row r="80" spans="1:23" x14ac:dyDescent="0.25">
      <c r="A80" s="15"/>
      <c r="B80" s="16"/>
      <c r="C80" s="71"/>
      <c r="D80" s="16"/>
      <c r="E80" s="52" t="s">
        <v>69</v>
      </c>
      <c r="F80" s="19"/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110">
        <v>0</v>
      </c>
      <c r="M80" s="110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3">
        <f t="shared" si="48"/>
        <v>0</v>
      </c>
      <c r="T80" s="23">
        <f>1366000+0+0+0+372000+0+0+0+0+0+0</f>
        <v>1738000</v>
      </c>
      <c r="U80" s="21">
        <f t="shared" si="42"/>
        <v>0</v>
      </c>
      <c r="V80" s="24">
        <f t="shared" si="49"/>
        <v>0</v>
      </c>
    </row>
    <row r="81" spans="1:22" x14ac:dyDescent="0.25">
      <c r="A81" s="15"/>
      <c r="B81" s="16"/>
      <c r="C81" s="71"/>
      <c r="D81" s="16"/>
      <c r="E81" s="52" t="s">
        <v>70</v>
      </c>
      <c r="F81" s="19"/>
      <c r="G81" s="22">
        <v>0</v>
      </c>
      <c r="H81" s="22">
        <v>0</v>
      </c>
      <c r="I81" s="22">
        <v>0</v>
      </c>
      <c r="J81" s="22">
        <v>0</v>
      </c>
      <c r="K81" s="22">
        <v>50000</v>
      </c>
      <c r="L81" s="110">
        <v>400000</v>
      </c>
      <c r="M81" s="110">
        <v>650000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3">
        <f t="shared" si="48"/>
        <v>1100000</v>
      </c>
      <c r="T81" s="23">
        <f>0+163000+169000+91000+0+0+0+0+0+0+0</f>
        <v>423000</v>
      </c>
      <c r="U81" s="21">
        <f t="shared" si="42"/>
        <v>2.6004728132387709</v>
      </c>
      <c r="V81" s="24">
        <f t="shared" si="49"/>
        <v>91666.666666666672</v>
      </c>
    </row>
    <row r="82" spans="1:22" x14ac:dyDescent="0.25">
      <c r="A82" s="15"/>
      <c r="B82" s="16"/>
      <c r="C82" s="71"/>
      <c r="D82" s="16"/>
      <c r="E82" s="52" t="s">
        <v>71</v>
      </c>
      <c r="F82" s="19"/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110">
        <v>0</v>
      </c>
      <c r="M82" s="110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3">
        <f t="shared" si="48"/>
        <v>0</v>
      </c>
      <c r="T82" s="23">
        <f>0+0+0+0+0+0+0+0+0+0+0</f>
        <v>0</v>
      </c>
      <c r="U82" s="21" t="e">
        <f t="shared" si="42"/>
        <v>#DIV/0!</v>
      </c>
      <c r="V82" s="24">
        <f t="shared" si="49"/>
        <v>0</v>
      </c>
    </row>
    <row r="83" spans="1:22" x14ac:dyDescent="0.25">
      <c r="A83" s="15"/>
      <c r="B83" s="16"/>
      <c r="C83" s="71"/>
      <c r="D83" s="16"/>
      <c r="E83" s="52" t="s">
        <v>72</v>
      </c>
      <c r="F83" s="19"/>
      <c r="G83" s="22">
        <v>0</v>
      </c>
      <c r="H83" s="22">
        <v>0</v>
      </c>
      <c r="I83" s="22">
        <v>300000</v>
      </c>
      <c r="J83" s="22">
        <v>0</v>
      </c>
      <c r="K83" s="22">
        <v>0</v>
      </c>
      <c r="L83" s="110">
        <v>0</v>
      </c>
      <c r="M83" s="110">
        <v>0</v>
      </c>
      <c r="N83" s="22">
        <v>0</v>
      </c>
      <c r="O83" s="22">
        <v>0</v>
      </c>
      <c r="P83" s="22">
        <v>0</v>
      </c>
      <c r="Q83" s="22">
        <v>0</v>
      </c>
      <c r="R83" s="22">
        <v>1500000</v>
      </c>
      <c r="S83" s="23">
        <f t="shared" si="48"/>
        <v>1800000</v>
      </c>
      <c r="T83" s="23">
        <f>721000+545000+0+1533000+0+337000+0+0+0+0+300000</f>
        <v>3436000</v>
      </c>
      <c r="U83" s="21">
        <f t="shared" si="42"/>
        <v>0.52386495925494758</v>
      </c>
      <c r="V83" s="24">
        <f t="shared" si="49"/>
        <v>150000</v>
      </c>
    </row>
    <row r="84" spans="1:22" ht="15.75" thickBot="1" x14ac:dyDescent="0.3">
      <c r="A84" s="41"/>
      <c r="B84" s="42"/>
      <c r="C84" s="75"/>
      <c r="D84" s="42"/>
      <c r="E84" s="53" t="s">
        <v>73</v>
      </c>
      <c r="F84" s="43"/>
      <c r="G84" s="32">
        <v>0</v>
      </c>
      <c r="H84" s="32">
        <v>0</v>
      </c>
      <c r="I84" s="32">
        <v>0</v>
      </c>
      <c r="J84" s="32">
        <v>0</v>
      </c>
      <c r="K84" s="104">
        <v>0</v>
      </c>
      <c r="L84" s="111">
        <v>0</v>
      </c>
      <c r="M84" s="111">
        <v>0</v>
      </c>
      <c r="N84" s="104">
        <v>0</v>
      </c>
      <c r="O84" s="22">
        <v>0</v>
      </c>
      <c r="P84" s="19">
        <v>150000</v>
      </c>
      <c r="Q84" s="22">
        <v>0</v>
      </c>
      <c r="R84" s="22">
        <v>0</v>
      </c>
      <c r="S84" s="23">
        <f t="shared" si="48"/>
        <v>150000</v>
      </c>
      <c r="T84" s="23">
        <f>0+0+0+0+0+2120000+0+0+0+0+0</f>
        <v>2120000</v>
      </c>
      <c r="U84" s="21">
        <f t="shared" si="42"/>
        <v>7.0754716981132074E-2</v>
      </c>
      <c r="V84" s="24">
        <f t="shared" si="49"/>
        <v>12500</v>
      </c>
    </row>
    <row r="85" spans="1:22" s="62" customFormat="1" ht="15.75" thickBot="1" x14ac:dyDescent="0.3">
      <c r="A85" s="66"/>
      <c r="B85" s="67"/>
      <c r="C85" s="77"/>
      <c r="D85" s="67"/>
      <c r="E85" s="67"/>
      <c r="F85" s="67"/>
      <c r="G85" s="88">
        <f t="shared" ref="G85:I85" si="50">SUM(G69:G84)</f>
        <v>23993666</v>
      </c>
      <c r="H85" s="68">
        <f t="shared" si="50"/>
        <v>16971797</v>
      </c>
      <c r="I85" s="68">
        <f t="shared" si="50"/>
        <v>18202500</v>
      </c>
      <c r="J85" s="68">
        <f t="shared" ref="J85:T85" si="51">SUM(J69:J84)</f>
        <v>10213500</v>
      </c>
      <c r="K85" s="68">
        <f t="shared" si="51"/>
        <v>26703500</v>
      </c>
      <c r="L85" s="68">
        <f t="shared" si="51"/>
        <v>21041916</v>
      </c>
      <c r="M85" s="68">
        <f t="shared" si="51"/>
        <v>18496685</v>
      </c>
      <c r="N85" s="68">
        <f t="shared" si="51"/>
        <v>4475000</v>
      </c>
      <c r="O85" s="68">
        <f>SUM(O69:O84)</f>
        <v>17288000</v>
      </c>
      <c r="P85" s="68">
        <f>SUM(P69:P84)</f>
        <v>12648080</v>
      </c>
      <c r="Q85" s="68">
        <f>SUM(Q69:Q84)</f>
        <v>15688500</v>
      </c>
      <c r="R85" s="68">
        <f>SUM(R69:R84)</f>
        <v>15572566</v>
      </c>
      <c r="S85" s="68">
        <f>SUM(S69:S84)</f>
        <v>201295710</v>
      </c>
      <c r="T85" s="95">
        <f t="shared" si="51"/>
        <v>198114000</v>
      </c>
      <c r="U85" s="96">
        <f>S85/T85</f>
        <v>1.0160599957600169</v>
      </c>
      <c r="V85" s="88">
        <f>SUM(V69:V84)</f>
        <v>16774642.5</v>
      </c>
    </row>
    <row r="86" spans="1:22" s="62" customFormat="1" ht="15.75" thickBot="1" x14ac:dyDescent="0.3">
      <c r="A86" s="54"/>
      <c r="B86" s="57"/>
      <c r="C86" s="76"/>
      <c r="D86" s="57"/>
      <c r="E86" s="57"/>
      <c r="F86" s="57"/>
      <c r="G86" s="106">
        <f t="shared" ref="G86:T86" si="52">G46+G66+G85</f>
        <v>399465222</v>
      </c>
      <c r="H86" s="65">
        <f t="shared" si="52"/>
        <v>332061240</v>
      </c>
      <c r="I86" s="65">
        <f t="shared" si="52"/>
        <v>359388966</v>
      </c>
      <c r="J86" s="65">
        <f t="shared" si="52"/>
        <v>273462141</v>
      </c>
      <c r="K86" s="65">
        <f t="shared" si="52"/>
        <v>292763137</v>
      </c>
      <c r="L86" s="65">
        <f t="shared" si="52"/>
        <v>352683805</v>
      </c>
      <c r="M86" s="65">
        <f t="shared" si="52"/>
        <v>284068287</v>
      </c>
      <c r="N86" s="65">
        <f t="shared" si="52"/>
        <v>277291576</v>
      </c>
      <c r="O86" s="65">
        <f t="shared" si="52"/>
        <v>337883766</v>
      </c>
      <c r="P86" s="65">
        <f t="shared" ref="P86:Q86" si="53">P46+P66+P85</f>
        <v>377976018</v>
      </c>
      <c r="Q86" s="65">
        <f t="shared" si="53"/>
        <v>387979746</v>
      </c>
      <c r="R86" s="65">
        <f>R46+R66+R85</f>
        <v>398903722</v>
      </c>
      <c r="S86" s="65">
        <f t="shared" si="52"/>
        <v>4073927626</v>
      </c>
      <c r="T86" s="65">
        <f t="shared" si="52"/>
        <v>3649588000</v>
      </c>
      <c r="U86" s="89">
        <f>S86/T86</f>
        <v>1.1162705560189259</v>
      </c>
      <c r="V86" s="65">
        <f>V46+V66+V85</f>
        <v>339493968.83333331</v>
      </c>
    </row>
    <row r="87" spans="1:22" x14ac:dyDescent="0.25">
      <c r="A87" s="5"/>
      <c r="B87" s="6"/>
      <c r="C87" s="6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7"/>
      <c r="V87" s="6"/>
    </row>
    <row r="88" spans="1:22" x14ac:dyDescent="0.25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130" t="s">
        <v>118</v>
      </c>
      <c r="V88" s="130"/>
    </row>
    <row r="89" spans="1:22" x14ac:dyDescent="0.25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07"/>
      <c r="V89" s="107"/>
    </row>
    <row r="90" spans="1:22" x14ac:dyDescent="0.25">
      <c r="B90" s="80" t="s">
        <v>119</v>
      </c>
      <c r="C90" s="69"/>
      <c r="D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29"/>
      <c r="V90" s="129"/>
    </row>
    <row r="91" spans="1:22" x14ac:dyDescent="0.25">
      <c r="B91" s="6" t="s">
        <v>88</v>
      </c>
      <c r="C91" s="69">
        <v>395264522</v>
      </c>
      <c r="D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29"/>
      <c r="V91" s="129"/>
    </row>
    <row r="92" spans="1:22" ht="15.75" thickBot="1" x14ac:dyDescent="0.3">
      <c r="B92" s="6" t="s">
        <v>89</v>
      </c>
      <c r="C92" s="79">
        <v>3639200</v>
      </c>
      <c r="D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29"/>
      <c r="V92" s="129"/>
    </row>
    <row r="93" spans="1:22" ht="15.75" thickTop="1" x14ac:dyDescent="0.25">
      <c r="B93" s="6"/>
      <c r="C93" s="81">
        <f>SUM(C91:C92)</f>
        <v>398903722</v>
      </c>
      <c r="D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29"/>
      <c r="V93" s="129"/>
    </row>
    <row r="94" spans="1:22" x14ac:dyDescent="0.25">
      <c r="B94" s="6"/>
      <c r="C94" s="69"/>
      <c r="D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29"/>
      <c r="V94" s="129"/>
    </row>
    <row r="95" spans="1:22" x14ac:dyDescent="0.25">
      <c r="B95" s="6"/>
      <c r="C95" s="82">
        <f>R86-C93</f>
        <v>0</v>
      </c>
      <c r="D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29"/>
      <c r="V95" s="129"/>
    </row>
    <row r="96" spans="1:22" x14ac:dyDescent="0.25">
      <c r="B96" s="90"/>
      <c r="C96" s="91"/>
      <c r="D96" s="9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29"/>
      <c r="V96" s="129"/>
    </row>
    <row r="97" spans="2:22" x14ac:dyDescent="0.25">
      <c r="B97" s="80" t="s">
        <v>116</v>
      </c>
      <c r="C97" s="69"/>
      <c r="D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27"/>
      <c r="V97" s="127"/>
    </row>
    <row r="98" spans="2:22" x14ac:dyDescent="0.25">
      <c r="B98" s="6" t="s">
        <v>88</v>
      </c>
      <c r="C98" s="69">
        <v>382997946</v>
      </c>
      <c r="D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27"/>
      <c r="V98" s="127"/>
    </row>
    <row r="99" spans="2:22" ht="15.75" thickBot="1" x14ac:dyDescent="0.3">
      <c r="B99" s="6" t="s">
        <v>89</v>
      </c>
      <c r="C99" s="79">
        <v>4981800</v>
      </c>
      <c r="D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27"/>
      <c r="V99" s="127"/>
    </row>
    <row r="100" spans="2:22" ht="15.75" thickTop="1" x14ac:dyDescent="0.25">
      <c r="B100" s="6"/>
      <c r="C100" s="81">
        <f>SUM(C98:C99)</f>
        <v>387979746</v>
      </c>
      <c r="D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27"/>
      <c r="V100" s="127"/>
    </row>
    <row r="101" spans="2:22" x14ac:dyDescent="0.25">
      <c r="B101" s="6"/>
      <c r="C101" s="69"/>
      <c r="D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127"/>
      <c r="V101" s="127"/>
    </row>
    <row r="102" spans="2:22" x14ac:dyDescent="0.25">
      <c r="B102" s="6"/>
      <c r="C102" s="82">
        <f>Q86-C100</f>
        <v>0</v>
      </c>
      <c r="D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127"/>
      <c r="V102" s="127"/>
    </row>
    <row r="103" spans="2:22" x14ac:dyDescent="0.25">
      <c r="B103" s="90"/>
      <c r="C103" s="91"/>
      <c r="D103" s="9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127"/>
      <c r="V103" s="127"/>
    </row>
    <row r="104" spans="2:22" x14ac:dyDescent="0.25">
      <c r="B104" s="80" t="s">
        <v>114</v>
      </c>
      <c r="C104" s="69"/>
      <c r="D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126"/>
      <c r="V104" s="126"/>
    </row>
    <row r="105" spans="2:22" x14ac:dyDescent="0.25">
      <c r="B105" s="6" t="s">
        <v>88</v>
      </c>
      <c r="C105" s="69">
        <v>373772018</v>
      </c>
      <c r="D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126"/>
      <c r="V105" s="126"/>
    </row>
    <row r="106" spans="2:22" ht="15.75" thickBot="1" x14ac:dyDescent="0.3">
      <c r="B106" s="6" t="s">
        <v>89</v>
      </c>
      <c r="C106" s="79">
        <v>4204000</v>
      </c>
      <c r="D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126"/>
      <c r="V106" s="126"/>
    </row>
    <row r="107" spans="2:22" ht="15.75" thickTop="1" x14ac:dyDescent="0.25">
      <c r="B107" s="6"/>
      <c r="C107" s="81">
        <f>SUM(C105:C106)</f>
        <v>377976018</v>
      </c>
      <c r="D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126"/>
      <c r="V107" s="126"/>
    </row>
    <row r="108" spans="2:22" x14ac:dyDescent="0.25">
      <c r="B108" s="6"/>
      <c r="C108" s="69"/>
      <c r="D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126"/>
      <c r="V108" s="126"/>
    </row>
    <row r="109" spans="2:22" x14ac:dyDescent="0.25">
      <c r="B109" s="6"/>
      <c r="C109" s="82">
        <f>P86-C107</f>
        <v>0</v>
      </c>
      <c r="D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126"/>
      <c r="V109" s="126"/>
    </row>
    <row r="110" spans="2:22" x14ac:dyDescent="0.25">
      <c r="B110" s="90"/>
      <c r="C110" s="91"/>
      <c r="D110" s="9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126"/>
      <c r="V110" s="126"/>
    </row>
    <row r="111" spans="2:22" x14ac:dyDescent="0.25">
      <c r="B111" s="80" t="s">
        <v>110</v>
      </c>
      <c r="C111" s="69"/>
      <c r="D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124"/>
      <c r="V111" s="124"/>
    </row>
    <row r="112" spans="2:22" x14ac:dyDescent="0.25">
      <c r="B112" s="6" t="s">
        <v>88</v>
      </c>
      <c r="C112" s="69">
        <f>337883766-1151000</f>
        <v>336732766</v>
      </c>
      <c r="D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124"/>
      <c r="V112" s="124"/>
    </row>
    <row r="113" spans="2:22" ht="15.75" thickBot="1" x14ac:dyDescent="0.3">
      <c r="B113" s="6" t="s">
        <v>89</v>
      </c>
      <c r="C113" s="79">
        <v>1151000</v>
      </c>
      <c r="D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124"/>
      <c r="V113" s="124"/>
    </row>
    <row r="114" spans="2:22" ht="15.75" thickTop="1" x14ac:dyDescent="0.25">
      <c r="B114" s="6"/>
      <c r="C114" s="81">
        <f>SUM(C112:C113)</f>
        <v>337883766</v>
      </c>
      <c r="D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124"/>
      <c r="V114" s="124"/>
    </row>
    <row r="115" spans="2:22" x14ac:dyDescent="0.25">
      <c r="B115" s="6"/>
      <c r="C115" s="69"/>
      <c r="D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124"/>
      <c r="V115" s="124"/>
    </row>
    <row r="116" spans="2:22" x14ac:dyDescent="0.25">
      <c r="B116" s="6"/>
      <c r="C116" s="82">
        <f>O86-C114</f>
        <v>0</v>
      </c>
      <c r="D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124"/>
      <c r="V116" s="124"/>
    </row>
    <row r="117" spans="2:22" x14ac:dyDescent="0.25">
      <c r="B117" s="90"/>
      <c r="C117" s="91"/>
      <c r="D117" s="9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124"/>
      <c r="V117" s="124"/>
    </row>
    <row r="118" spans="2:22" x14ac:dyDescent="0.25">
      <c r="B118" s="80" t="s">
        <v>107</v>
      </c>
      <c r="C118" s="69"/>
      <c r="D118" s="6"/>
    </row>
    <row r="119" spans="2:22" x14ac:dyDescent="0.25">
      <c r="B119" s="6" t="s">
        <v>88</v>
      </c>
      <c r="C119" s="69">
        <v>276338576</v>
      </c>
      <c r="D119" s="6"/>
    </row>
    <row r="120" spans="2:22" ht="15.75" thickBot="1" x14ac:dyDescent="0.3">
      <c r="B120" s="6" t="s">
        <v>89</v>
      </c>
      <c r="C120" s="79">
        <v>953000</v>
      </c>
      <c r="D120" s="6"/>
    </row>
    <row r="121" spans="2:22" ht="15.75" thickTop="1" x14ac:dyDescent="0.25">
      <c r="B121" s="6"/>
      <c r="C121" s="81">
        <f>SUM(C119:C120)</f>
        <v>277291576</v>
      </c>
      <c r="D121" s="6"/>
    </row>
    <row r="122" spans="2:22" x14ac:dyDescent="0.25">
      <c r="B122" s="6"/>
      <c r="C122" s="69"/>
      <c r="D122" s="6"/>
    </row>
    <row r="123" spans="2:22" x14ac:dyDescent="0.25">
      <c r="B123" s="6"/>
      <c r="C123" s="82">
        <f>N86-C121</f>
        <v>0</v>
      </c>
      <c r="D123" s="6"/>
    </row>
    <row r="124" spans="2:22" x14ac:dyDescent="0.25">
      <c r="B124" s="90"/>
      <c r="C124" s="91"/>
      <c r="D124" s="90"/>
    </row>
    <row r="125" spans="2:22" x14ac:dyDescent="0.25">
      <c r="B125" s="80" t="s">
        <v>105</v>
      </c>
      <c r="C125" s="69"/>
      <c r="D125" s="6"/>
    </row>
    <row r="126" spans="2:22" x14ac:dyDescent="0.25">
      <c r="B126" s="6" t="s">
        <v>88</v>
      </c>
      <c r="C126" s="69">
        <v>283046287</v>
      </c>
      <c r="D126" s="6"/>
    </row>
    <row r="127" spans="2:22" ht="15.75" thickBot="1" x14ac:dyDescent="0.3">
      <c r="B127" s="6" t="s">
        <v>89</v>
      </c>
      <c r="C127" s="79">
        <v>1022000</v>
      </c>
      <c r="D127" s="6"/>
    </row>
    <row r="128" spans="2:22" ht="15.75" thickTop="1" x14ac:dyDescent="0.25">
      <c r="B128" s="6"/>
      <c r="C128" s="81">
        <f>SUM(C126:C127)</f>
        <v>284068287</v>
      </c>
      <c r="D128" s="6"/>
    </row>
    <row r="129" spans="2:4" x14ac:dyDescent="0.25">
      <c r="B129" s="6"/>
      <c r="C129" s="69"/>
      <c r="D129" s="6"/>
    </row>
    <row r="130" spans="2:4" x14ac:dyDescent="0.25">
      <c r="B130" s="6"/>
      <c r="C130" s="82">
        <f>M86-C128</f>
        <v>0</v>
      </c>
      <c r="D130" s="6"/>
    </row>
    <row r="131" spans="2:4" x14ac:dyDescent="0.25">
      <c r="B131" s="90"/>
      <c r="C131" s="91"/>
      <c r="D131" s="90"/>
    </row>
    <row r="132" spans="2:4" x14ac:dyDescent="0.25">
      <c r="B132" s="80" t="s">
        <v>100</v>
      </c>
      <c r="C132" s="69"/>
      <c r="D132" s="6"/>
    </row>
    <row r="133" spans="2:4" x14ac:dyDescent="0.25">
      <c r="B133" s="6" t="s">
        <v>88</v>
      </c>
      <c r="C133" s="69">
        <v>352094805</v>
      </c>
      <c r="D133" s="6"/>
    </row>
    <row r="134" spans="2:4" ht="15.75" thickBot="1" x14ac:dyDescent="0.3">
      <c r="B134" s="6" t="s">
        <v>89</v>
      </c>
      <c r="C134" s="79">
        <v>589000</v>
      </c>
      <c r="D134" s="6"/>
    </row>
    <row r="135" spans="2:4" ht="15.75" thickTop="1" x14ac:dyDescent="0.25">
      <c r="B135" s="6"/>
      <c r="C135" s="81">
        <f>SUM(C133:C134)</f>
        <v>352683805</v>
      </c>
      <c r="D135" s="6"/>
    </row>
    <row r="136" spans="2:4" x14ac:dyDescent="0.25">
      <c r="B136" s="6"/>
      <c r="C136" s="69"/>
      <c r="D136" s="6"/>
    </row>
    <row r="137" spans="2:4" x14ac:dyDescent="0.25">
      <c r="B137" s="6"/>
      <c r="C137" s="82">
        <f>L86-C135</f>
        <v>0</v>
      </c>
      <c r="D137" s="6"/>
    </row>
    <row r="138" spans="2:4" x14ac:dyDescent="0.25">
      <c r="B138" s="90"/>
      <c r="C138" s="91"/>
      <c r="D138" s="90"/>
    </row>
    <row r="139" spans="2:4" x14ac:dyDescent="0.25">
      <c r="B139" s="80" t="s">
        <v>98</v>
      </c>
      <c r="C139" s="69"/>
      <c r="D139" s="6"/>
    </row>
    <row r="140" spans="2:4" x14ac:dyDescent="0.25">
      <c r="B140" s="6" t="s">
        <v>88</v>
      </c>
      <c r="C140" s="69">
        <v>291460637</v>
      </c>
      <c r="D140" s="6"/>
    </row>
    <row r="141" spans="2:4" ht="15.75" thickBot="1" x14ac:dyDescent="0.3">
      <c r="B141" s="6" t="s">
        <v>89</v>
      </c>
      <c r="C141" s="79">
        <v>1302500</v>
      </c>
      <c r="D141" s="6"/>
    </row>
    <row r="142" spans="2:4" ht="15.75" thickTop="1" x14ac:dyDescent="0.25">
      <c r="B142" s="6"/>
      <c r="C142" s="81">
        <f>SUM(C140:C141)</f>
        <v>292763137</v>
      </c>
      <c r="D142" s="6"/>
    </row>
    <row r="143" spans="2:4" x14ac:dyDescent="0.25">
      <c r="B143" s="6"/>
      <c r="C143" s="69"/>
      <c r="D143" s="6"/>
    </row>
    <row r="144" spans="2:4" x14ac:dyDescent="0.25">
      <c r="B144" s="6"/>
      <c r="C144" s="82">
        <f>K86-C142</f>
        <v>0</v>
      </c>
      <c r="D144" s="6"/>
    </row>
    <row r="145" spans="1:21" x14ac:dyDescent="0.25">
      <c r="B145" s="90"/>
      <c r="C145" s="91"/>
      <c r="D145" s="90"/>
    </row>
    <row r="146" spans="1:21" x14ac:dyDescent="0.25">
      <c r="B146" s="80" t="s">
        <v>95</v>
      </c>
      <c r="C146" s="69"/>
      <c r="D146" s="6"/>
    </row>
    <row r="147" spans="1:21" x14ac:dyDescent="0.25">
      <c r="B147" s="6" t="s">
        <v>88</v>
      </c>
      <c r="C147" s="69">
        <v>273462141</v>
      </c>
      <c r="D147" s="6"/>
    </row>
    <row r="148" spans="1:21" ht="15.75" thickBot="1" x14ac:dyDescent="0.3">
      <c r="B148" s="6" t="s">
        <v>89</v>
      </c>
      <c r="C148" s="79">
        <f>'[1]Cash Back &amp; Penggantian'!$I$434</f>
        <v>1042000</v>
      </c>
      <c r="D148" s="6"/>
    </row>
    <row r="149" spans="1:21" ht="15.75" thickTop="1" x14ac:dyDescent="0.25">
      <c r="B149" s="6"/>
      <c r="C149" s="81">
        <f>SUM(C147:C148)</f>
        <v>274504141</v>
      </c>
      <c r="D149" s="6"/>
    </row>
    <row r="150" spans="1:21" x14ac:dyDescent="0.25">
      <c r="B150" s="6"/>
      <c r="C150" s="69"/>
      <c r="D150" s="6"/>
    </row>
    <row r="151" spans="1:21" x14ac:dyDescent="0.25">
      <c r="B151" s="6"/>
      <c r="C151" s="82">
        <f>J86-C149</f>
        <v>-1042000</v>
      </c>
      <c r="D151" s="6"/>
    </row>
    <row r="152" spans="1:21" x14ac:dyDescent="0.25">
      <c r="B152" s="90"/>
      <c r="C152" s="91"/>
      <c r="D152" s="90"/>
    </row>
    <row r="153" spans="1:21" s="6" customFormat="1" x14ac:dyDescent="0.25">
      <c r="A153" s="5"/>
      <c r="B153" s="80" t="s">
        <v>94</v>
      </c>
      <c r="C153" s="69"/>
      <c r="U153" s="7"/>
    </row>
    <row r="154" spans="1:21" s="6" customFormat="1" ht="14.25" x14ac:dyDescent="0.2">
      <c r="A154" s="5"/>
      <c r="B154" s="6" t="s">
        <v>88</v>
      </c>
      <c r="C154" s="69">
        <v>357386966</v>
      </c>
      <c r="U154" s="7"/>
    </row>
    <row r="155" spans="1:21" s="6" customFormat="1" thickBot="1" x14ac:dyDescent="0.25">
      <c r="A155" s="5"/>
      <c r="B155" s="6" t="s">
        <v>89</v>
      </c>
      <c r="C155" s="79">
        <v>2002000</v>
      </c>
      <c r="U155" s="7"/>
    </row>
    <row r="156" spans="1:21" s="6" customFormat="1" ht="15.75" thickTop="1" x14ac:dyDescent="0.25">
      <c r="A156" s="5"/>
      <c r="C156" s="81">
        <f>SUM(C154:C155)</f>
        <v>359388966</v>
      </c>
      <c r="U156" s="7"/>
    </row>
    <row r="157" spans="1:21" s="6" customFormat="1" ht="14.25" x14ac:dyDescent="0.2">
      <c r="A157" s="5"/>
      <c r="C157" s="69"/>
      <c r="U157" s="7"/>
    </row>
    <row r="158" spans="1:21" s="6" customFormat="1" x14ac:dyDescent="0.25">
      <c r="A158" s="5"/>
      <c r="C158" s="82">
        <f>I86-C156</f>
        <v>0</v>
      </c>
      <c r="U158" s="7"/>
    </row>
    <row r="159" spans="1:21" s="6" customFormat="1" ht="14.25" x14ac:dyDescent="0.2">
      <c r="A159" s="5"/>
      <c r="B159" s="90"/>
      <c r="C159" s="91"/>
      <c r="D159" s="90"/>
      <c r="U159" s="7"/>
    </row>
    <row r="160" spans="1:21" s="6" customFormat="1" x14ac:dyDescent="0.25">
      <c r="A160" s="5"/>
      <c r="B160" s="80" t="s">
        <v>92</v>
      </c>
      <c r="C160" s="69"/>
      <c r="T160" s="69"/>
      <c r="U160" s="7"/>
    </row>
    <row r="161" spans="1:21" s="6" customFormat="1" ht="14.25" x14ac:dyDescent="0.2">
      <c r="A161" s="5"/>
      <c r="B161" s="6" t="s">
        <v>88</v>
      </c>
      <c r="C161" s="69">
        <v>330536240</v>
      </c>
      <c r="U161" s="7"/>
    </row>
    <row r="162" spans="1:21" s="6" customFormat="1" thickBot="1" x14ac:dyDescent="0.25">
      <c r="A162" s="5"/>
      <c r="B162" s="6" t="s">
        <v>89</v>
      </c>
      <c r="C162" s="79">
        <v>1525000</v>
      </c>
      <c r="U162" s="7"/>
    </row>
    <row r="163" spans="1:21" s="6" customFormat="1" ht="15.75" thickTop="1" x14ac:dyDescent="0.25">
      <c r="A163" s="5"/>
      <c r="C163" s="81">
        <f>SUM(C161:C162)</f>
        <v>332061240</v>
      </c>
      <c r="U163" s="7"/>
    </row>
    <row r="164" spans="1:21" s="6" customFormat="1" ht="14.25" x14ac:dyDescent="0.2">
      <c r="A164" s="5"/>
      <c r="C164" s="69"/>
      <c r="U164" s="7"/>
    </row>
    <row r="165" spans="1:21" s="6" customFormat="1" x14ac:dyDescent="0.25">
      <c r="A165" s="5"/>
      <c r="C165" s="82">
        <f>H86-C163</f>
        <v>0</v>
      </c>
      <c r="U165" s="7"/>
    </row>
    <row r="166" spans="1:21" s="6" customFormat="1" ht="14.25" x14ac:dyDescent="0.2">
      <c r="A166" s="5"/>
      <c r="B166" s="90"/>
      <c r="C166" s="91"/>
      <c r="D166" s="90"/>
      <c r="U166" s="7"/>
    </row>
    <row r="167" spans="1:21" s="6" customFormat="1" x14ac:dyDescent="0.25">
      <c r="A167" s="5"/>
      <c r="B167" s="80" t="s">
        <v>91</v>
      </c>
      <c r="C167" s="69"/>
      <c r="U167" s="7"/>
    </row>
    <row r="168" spans="1:21" s="6" customFormat="1" ht="14.25" x14ac:dyDescent="0.2">
      <c r="A168" s="5"/>
      <c r="B168" s="6" t="s">
        <v>88</v>
      </c>
      <c r="C168" s="69">
        <v>397387722</v>
      </c>
      <c r="U168" s="7"/>
    </row>
    <row r="169" spans="1:21" s="6" customFormat="1" thickBot="1" x14ac:dyDescent="0.25">
      <c r="A169" s="5"/>
      <c r="B169" s="6" t="s">
        <v>89</v>
      </c>
      <c r="C169" s="79">
        <v>2077500</v>
      </c>
      <c r="U169" s="7"/>
    </row>
    <row r="170" spans="1:21" s="6" customFormat="1" ht="17.100000000000001" customHeight="1" thickTop="1" x14ac:dyDescent="0.25">
      <c r="A170" s="5"/>
      <c r="C170" s="81">
        <f>SUM(C168:C169)</f>
        <v>399465222</v>
      </c>
      <c r="U170" s="7"/>
    </row>
    <row r="171" spans="1:21" s="6" customFormat="1" ht="14.25" x14ac:dyDescent="0.2">
      <c r="A171" s="5"/>
      <c r="C171" s="69"/>
      <c r="U171" s="7"/>
    </row>
    <row r="172" spans="1:21" s="6" customFormat="1" x14ac:dyDescent="0.25">
      <c r="A172" s="5"/>
      <c r="C172" s="82">
        <f>G86-C170</f>
        <v>0</v>
      </c>
      <c r="U172" s="7"/>
    </row>
    <row r="173" spans="1:21" s="6" customFormat="1" ht="14.25" x14ac:dyDescent="0.2">
      <c r="A173" s="5"/>
      <c r="C173" s="69"/>
      <c r="U173" s="7"/>
    </row>
    <row r="174" spans="1:21" s="6" customFormat="1" ht="14.25" x14ac:dyDescent="0.2">
      <c r="A174" s="5"/>
      <c r="C174" s="69"/>
      <c r="U174" s="7"/>
    </row>
    <row r="175" spans="1:21" s="6" customFormat="1" ht="14.25" x14ac:dyDescent="0.2">
      <c r="A175" s="5"/>
      <c r="C175" s="69"/>
      <c r="U175" s="7"/>
    </row>
  </sheetData>
  <mergeCells count="12">
    <mergeCell ref="U88:V88"/>
    <mergeCell ref="U4:U5"/>
    <mergeCell ref="A2:V2"/>
    <mergeCell ref="A1:V1"/>
    <mergeCell ref="A4:A5"/>
    <mergeCell ref="B4:C5"/>
    <mergeCell ref="D4:E5"/>
    <mergeCell ref="F4:F5"/>
    <mergeCell ref="S4:S5"/>
    <mergeCell ref="V4:V5"/>
    <mergeCell ref="T4:T5"/>
    <mergeCell ref="G4:R4"/>
  </mergeCells>
  <printOptions horizontalCentered="1"/>
  <pageMargins left="0.11811023622047245" right="0.15748031496062992" top="0.15748031496062992" bottom="0.12" header="0.11811023622047245" footer="0.11811023622047245"/>
  <pageSetup paperSize="9" scale="45" orientation="landscape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RPD 2020</vt:lpstr>
      <vt:lpstr>Sheet5</vt:lpstr>
      <vt:lpstr>'RPD 2020'!Print_Area</vt:lpstr>
      <vt:lpstr>'RPD 2020'!Print_Titles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APRIZALDI</cp:lastModifiedBy>
  <cp:lastPrinted>2021-06-11T01:01:50Z</cp:lastPrinted>
  <dcterms:created xsi:type="dcterms:W3CDTF">2020-01-06T01:47:07Z</dcterms:created>
  <dcterms:modified xsi:type="dcterms:W3CDTF">2025-11-06T13:13:14Z</dcterms:modified>
</cp:coreProperties>
</file>