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kanzha Naufal Virendra\01. File Lap. Keuangan 2021\03. Lap. Akhir Bulan\Lap. Ke Pak Direktur Keuangan 2021\12. Lap. Akhir Bulan Per Desember 2021\"/>
    </mc:Choice>
  </mc:AlternateContent>
  <xr:revisionPtr revIDLastSave="0" documentId="13_ncr:1_{597B242E-970F-40D8-B97E-28609A5FBD0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PD 2020" sheetId="1" r:id="rId1"/>
    <sheet name="Sheet5" sheetId="5" r:id="rId2"/>
  </sheets>
  <definedNames>
    <definedName name="_xlnm.Print_Area" localSheetId="0">'RPD 2020'!$A$1:$V$92</definedName>
    <definedName name="_xlnm.Print_Titles" localSheetId="0">'RPD 2020'!$4:$5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88" i="1" l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69" i="1"/>
  <c r="T68" i="1"/>
  <c r="T67" i="1"/>
  <c r="T66" i="1"/>
  <c r="T65" i="1"/>
  <c r="T64" i="1"/>
  <c r="T63" i="1"/>
  <c r="T62" i="1"/>
  <c r="T61" i="1"/>
  <c r="T22" i="1"/>
  <c r="T38" i="1"/>
  <c r="T40" i="1"/>
  <c r="T42" i="1"/>
  <c r="T56" i="1"/>
  <c r="T55" i="1"/>
  <c r="T54" i="1"/>
  <c r="T53" i="1"/>
  <c r="T49" i="1"/>
  <c r="T48" i="1"/>
  <c r="T47" i="1"/>
  <c r="T46" i="1"/>
  <c r="T41" i="1"/>
  <c r="T39" i="1"/>
  <c r="T37" i="1"/>
  <c r="T36" i="1"/>
  <c r="T35" i="1"/>
  <c r="T31" i="1"/>
  <c r="T30" i="1"/>
  <c r="T29" i="1"/>
  <c r="T28" i="1"/>
  <c r="T27" i="1"/>
  <c r="T23" i="1"/>
  <c r="T21" i="1"/>
  <c r="T20" i="1"/>
  <c r="T19" i="1"/>
  <c r="T18" i="1"/>
  <c r="T14" i="1"/>
  <c r="T13" i="1"/>
  <c r="T12" i="1"/>
  <c r="T11" i="1"/>
  <c r="T10" i="1"/>
  <c r="T9" i="1"/>
  <c r="T8" i="1"/>
  <c r="S12" i="1"/>
  <c r="V12" i="1" s="1"/>
  <c r="S11" i="1"/>
  <c r="V11" i="1" s="1"/>
  <c r="S8" i="1"/>
  <c r="V8" i="1" s="1"/>
  <c r="S29" i="1"/>
  <c r="V29" i="1" s="1"/>
  <c r="S19" i="1"/>
  <c r="V19" i="1" s="1"/>
  <c r="V88" i="1"/>
  <c r="V84" i="1"/>
  <c r="V70" i="1"/>
  <c r="V53" i="1"/>
  <c r="V39" i="1"/>
  <c r="V35" i="1"/>
  <c r="V20" i="1"/>
  <c r="S88" i="1"/>
  <c r="S87" i="1"/>
  <c r="V87" i="1" s="1"/>
  <c r="S86" i="1"/>
  <c r="V86" i="1" s="1"/>
  <c r="S85" i="1"/>
  <c r="V85" i="1" s="1"/>
  <c r="S84" i="1"/>
  <c r="S83" i="1"/>
  <c r="V83" i="1" s="1"/>
  <c r="S82" i="1"/>
  <c r="V82" i="1" s="1"/>
  <c r="S81" i="1"/>
  <c r="V81" i="1" s="1"/>
  <c r="S80" i="1"/>
  <c r="V80" i="1" s="1"/>
  <c r="S79" i="1"/>
  <c r="V79" i="1" s="1"/>
  <c r="S78" i="1"/>
  <c r="V78" i="1" s="1"/>
  <c r="S77" i="1"/>
  <c r="V77" i="1" s="1"/>
  <c r="S76" i="1"/>
  <c r="V76" i="1" s="1"/>
  <c r="S75" i="1"/>
  <c r="V75" i="1" s="1"/>
  <c r="S74" i="1"/>
  <c r="V74" i="1" s="1"/>
  <c r="S70" i="1"/>
  <c r="S69" i="1"/>
  <c r="V69" i="1" s="1"/>
  <c r="S68" i="1"/>
  <c r="V68" i="1" s="1"/>
  <c r="S67" i="1"/>
  <c r="V67" i="1" s="1"/>
  <c r="S66" i="1"/>
  <c r="V66" i="1" s="1"/>
  <c r="S65" i="1"/>
  <c r="V65" i="1" s="1"/>
  <c r="S64" i="1"/>
  <c r="V64" i="1" s="1"/>
  <c r="S63" i="1"/>
  <c r="V63" i="1" s="1"/>
  <c r="S62" i="1"/>
  <c r="V62" i="1" s="1"/>
  <c r="S61" i="1"/>
  <c r="V61" i="1" s="1"/>
  <c r="S56" i="1"/>
  <c r="V56" i="1" s="1"/>
  <c r="S55" i="1"/>
  <c r="V55" i="1" s="1"/>
  <c r="S54" i="1"/>
  <c r="V54" i="1" s="1"/>
  <c r="S53" i="1"/>
  <c r="S49" i="1"/>
  <c r="V49" i="1" s="1"/>
  <c r="S48" i="1"/>
  <c r="V48" i="1" s="1"/>
  <c r="S47" i="1"/>
  <c r="V47" i="1" s="1"/>
  <c r="S46" i="1"/>
  <c r="V46" i="1" s="1"/>
  <c r="S42" i="1"/>
  <c r="V42" i="1" s="1"/>
  <c r="S41" i="1"/>
  <c r="V41" i="1" s="1"/>
  <c r="S40" i="1"/>
  <c r="V40" i="1" s="1"/>
  <c r="S39" i="1"/>
  <c r="S38" i="1"/>
  <c r="V38" i="1" s="1"/>
  <c r="S37" i="1"/>
  <c r="V37" i="1" s="1"/>
  <c r="S36" i="1"/>
  <c r="V36" i="1" s="1"/>
  <c r="S35" i="1"/>
  <c r="S31" i="1"/>
  <c r="V31" i="1" s="1"/>
  <c r="S30" i="1"/>
  <c r="V30" i="1" s="1"/>
  <c r="S28" i="1"/>
  <c r="V28" i="1" s="1"/>
  <c r="S27" i="1"/>
  <c r="V27" i="1" s="1"/>
  <c r="S23" i="1"/>
  <c r="V23" i="1" s="1"/>
  <c r="S22" i="1"/>
  <c r="V22" i="1" s="1"/>
  <c r="S21" i="1"/>
  <c r="V21" i="1" s="1"/>
  <c r="S20" i="1"/>
  <c r="S18" i="1"/>
  <c r="V18" i="1" s="1"/>
  <c r="S14" i="1"/>
  <c r="V14" i="1" s="1"/>
  <c r="S13" i="1"/>
  <c r="V13" i="1" s="1"/>
  <c r="S10" i="1"/>
  <c r="V10" i="1" s="1"/>
  <c r="S9" i="1"/>
  <c r="V9" i="1" s="1"/>
  <c r="C96" i="1"/>
  <c r="R24" i="1"/>
  <c r="R32" i="1"/>
  <c r="R89" i="1"/>
  <c r="R71" i="1"/>
  <c r="R57" i="1"/>
  <c r="R50" i="1"/>
  <c r="R43" i="1"/>
  <c r="R15" i="1"/>
  <c r="Q89" i="1"/>
  <c r="C103" i="1"/>
  <c r="R58" i="1" l="1"/>
  <c r="R44" i="1"/>
  <c r="T70" i="1"/>
  <c r="Q24" i="1"/>
  <c r="Q15" i="1"/>
  <c r="Q71" i="1"/>
  <c r="Q57" i="1"/>
  <c r="Q50" i="1"/>
  <c r="Q43" i="1"/>
  <c r="Q32" i="1"/>
  <c r="C110" i="1"/>
  <c r="P89" i="1"/>
  <c r="P71" i="1"/>
  <c r="P57" i="1"/>
  <c r="P50" i="1"/>
  <c r="P43" i="1"/>
  <c r="P32" i="1"/>
  <c r="P24" i="1"/>
  <c r="P15" i="1"/>
  <c r="O15" i="1"/>
  <c r="R90" i="1" l="1"/>
  <c r="C98" i="1" s="1"/>
  <c r="Q58" i="1"/>
  <c r="Q44" i="1"/>
  <c r="P58" i="1"/>
  <c r="P44" i="1"/>
  <c r="P90" i="1" s="1"/>
  <c r="C112" i="1" s="1"/>
  <c r="S15" i="1"/>
  <c r="Q90" i="1" l="1"/>
  <c r="C105" i="1" s="1"/>
  <c r="C117" i="1"/>
  <c r="O89" i="1"/>
  <c r="O71" i="1"/>
  <c r="O57" i="1"/>
  <c r="O50" i="1"/>
  <c r="O43" i="1"/>
  <c r="O32" i="1"/>
  <c r="O24" i="1"/>
  <c r="C124" i="1"/>
  <c r="N24" i="1"/>
  <c r="N15" i="1"/>
  <c r="N89" i="1"/>
  <c r="N71" i="1"/>
  <c r="N57" i="1"/>
  <c r="N50" i="1"/>
  <c r="N43" i="1"/>
  <c r="N32" i="1"/>
  <c r="C131" i="1"/>
  <c r="M89" i="1"/>
  <c r="M71" i="1"/>
  <c r="M57" i="1"/>
  <c r="M50" i="1"/>
  <c r="M43" i="1"/>
  <c r="M32" i="1"/>
  <c r="M24" i="1"/>
  <c r="M15" i="1"/>
  <c r="O58" i="1" l="1"/>
  <c r="O44" i="1"/>
  <c r="N58" i="1"/>
  <c r="N44" i="1"/>
  <c r="M58" i="1"/>
  <c r="M44" i="1"/>
  <c r="C138" i="1"/>
  <c r="L89" i="1"/>
  <c r="L71" i="1"/>
  <c r="L57" i="1"/>
  <c r="L50" i="1"/>
  <c r="L43" i="1"/>
  <c r="L32" i="1"/>
  <c r="L24" i="1"/>
  <c r="L15" i="1"/>
  <c r="M90" i="1" l="1"/>
  <c r="C133" i="1" s="1"/>
  <c r="O90" i="1"/>
  <c r="C119" i="1" s="1"/>
  <c r="N90" i="1"/>
  <c r="C126" i="1" s="1"/>
  <c r="L58" i="1"/>
  <c r="L44" i="1"/>
  <c r="L90" i="1" l="1"/>
  <c r="C140" i="1" s="1"/>
  <c r="C145" i="1"/>
  <c r="K89" i="1"/>
  <c r="K71" i="1"/>
  <c r="K57" i="1"/>
  <c r="K50" i="1"/>
  <c r="K43" i="1"/>
  <c r="K32" i="1"/>
  <c r="K24" i="1"/>
  <c r="K15" i="1"/>
  <c r="K58" i="1" l="1"/>
  <c r="K44" i="1"/>
  <c r="K90" i="1" l="1"/>
  <c r="C147" i="1" s="1"/>
  <c r="C152" i="1"/>
  <c r="J43" i="1" l="1"/>
  <c r="J32" i="1"/>
  <c r="J24" i="1"/>
  <c r="J15" i="1"/>
  <c r="J44" i="1" l="1"/>
  <c r="J50" i="1"/>
  <c r="J57" i="1"/>
  <c r="J71" i="1"/>
  <c r="J89" i="1"/>
  <c r="J58" i="1" l="1"/>
  <c r="J90" i="1" s="1"/>
  <c r="C154" i="1" s="1"/>
  <c r="I89" i="1"/>
  <c r="C159" i="1"/>
  <c r="I71" i="1"/>
  <c r="I57" i="1"/>
  <c r="I50" i="1"/>
  <c r="I43" i="1"/>
  <c r="I32" i="1"/>
  <c r="I24" i="1"/>
  <c r="I15" i="1"/>
  <c r="S32" i="1" l="1"/>
  <c r="I44" i="1"/>
  <c r="I58" i="1"/>
  <c r="H89" i="1"/>
  <c r="T89" i="1"/>
  <c r="I90" i="1" l="1"/>
  <c r="C161" i="1" s="1"/>
  <c r="U8" i="1"/>
  <c r="G89" i="1" l="1"/>
  <c r="H71" i="1" l="1"/>
  <c r="T71" i="1"/>
  <c r="G71" i="1"/>
  <c r="G57" i="1"/>
  <c r="C166" i="1"/>
  <c r="C173" i="1"/>
  <c r="H32" i="1"/>
  <c r="H57" i="1"/>
  <c r="H50" i="1"/>
  <c r="H43" i="1"/>
  <c r="H24" i="1"/>
  <c r="H15" i="1"/>
  <c r="S89" i="1" l="1"/>
  <c r="V89" i="1"/>
  <c r="S71" i="1"/>
  <c r="U71" i="1" s="1"/>
  <c r="H58" i="1"/>
  <c r="H44" i="1"/>
  <c r="H90" i="1" l="1"/>
  <c r="C168" i="1" s="1"/>
  <c r="U64" i="1"/>
  <c r="U66" i="1"/>
  <c r="U69" i="1"/>
  <c r="U19" i="1"/>
  <c r="V71" i="1" l="1"/>
  <c r="S43" i="1"/>
  <c r="T43" i="1"/>
  <c r="U20" i="1"/>
  <c r="U21" i="1"/>
  <c r="U68" i="1"/>
  <c r="U67" i="1"/>
  <c r="U65" i="1"/>
  <c r="U10" i="1"/>
  <c r="G50" i="1"/>
  <c r="S50" i="1"/>
  <c r="G32" i="1"/>
  <c r="S24" i="1"/>
  <c r="G43" i="1"/>
  <c r="G15" i="1"/>
  <c r="G24" i="1"/>
  <c r="S44" i="1" l="1"/>
  <c r="U43" i="1"/>
  <c r="G44" i="1"/>
  <c r="G58" i="1"/>
  <c r="S57" i="1"/>
  <c r="U63" i="1"/>
  <c r="G90" i="1" l="1"/>
  <c r="C175" i="1" s="1"/>
  <c r="S58" i="1"/>
  <c r="S90" i="1" s="1"/>
  <c r="T24" i="1"/>
  <c r="T15" i="1"/>
  <c r="T32" i="1" l="1"/>
  <c r="T44" i="1" s="1"/>
  <c r="T50" i="1"/>
  <c r="T57" i="1"/>
  <c r="U62" i="1"/>
  <c r="T58" i="1" l="1"/>
  <c r="U58" i="1" s="1"/>
  <c r="U44" i="1"/>
  <c r="U61" i="1"/>
  <c r="U83" i="1"/>
  <c r="T90" i="1" l="1"/>
  <c r="U82" i="1"/>
  <c r="U81" i="1" l="1"/>
  <c r="U31" i="1" l="1"/>
  <c r="U30" i="1" l="1"/>
  <c r="V43" i="1" l="1"/>
  <c r="U89" i="1"/>
  <c r="U74" i="1"/>
  <c r="U75" i="1"/>
  <c r="V24" i="1" l="1"/>
  <c r="V32" i="1"/>
  <c r="U9" i="1"/>
  <c r="U11" i="1"/>
  <c r="U14" i="1" l="1"/>
  <c r="U12" i="1"/>
  <c r="U47" i="1"/>
  <c r="U49" i="1"/>
  <c r="U55" i="1"/>
  <c r="U56" i="1"/>
  <c r="U77" i="1"/>
  <c r="U79" i="1"/>
  <c r="U85" i="1"/>
  <c r="U87" i="1"/>
  <c r="U46" i="1"/>
  <c r="U48" i="1"/>
  <c r="U54" i="1"/>
  <c r="U76" i="1"/>
  <c r="U78" i="1"/>
  <c r="U80" i="1"/>
  <c r="U84" i="1"/>
  <c r="U86" i="1"/>
  <c r="U88" i="1"/>
  <c r="U70" i="1"/>
  <c r="U53" i="1"/>
  <c r="U35" i="1"/>
  <c r="U27" i="1"/>
  <c r="U42" i="1"/>
  <c r="U41" i="1"/>
  <c r="U40" i="1"/>
  <c r="U39" i="1"/>
  <c r="U38" i="1"/>
  <c r="U37" i="1"/>
  <c r="U36" i="1"/>
  <c r="U29" i="1"/>
  <c r="U28" i="1"/>
  <c r="V50" i="1"/>
  <c r="U24" i="1"/>
  <c r="U18" i="1"/>
  <c r="U23" i="1"/>
  <c r="U22" i="1"/>
  <c r="V57" i="1"/>
  <c r="V58" i="1" l="1"/>
  <c r="U32" i="1"/>
  <c r="U50" i="1"/>
  <c r="U57" i="1"/>
  <c r="U13" i="1"/>
  <c r="U15" i="1"/>
  <c r="V15" i="1"/>
  <c r="V44" i="1" s="1"/>
  <c r="V90" i="1" l="1"/>
  <c r="U90" i="1"/>
</calcChain>
</file>

<file path=xl/sharedStrings.xml><?xml version="1.0" encoding="utf-8"?>
<sst xmlns="http://schemas.openxmlformats.org/spreadsheetml/2006/main" count="169" uniqueCount="126">
  <si>
    <t>No</t>
  </si>
  <si>
    <t>Pemasaran Daerah</t>
  </si>
  <si>
    <t>Wilayah</t>
  </si>
  <si>
    <t>Fasilitas</t>
  </si>
  <si>
    <t>Target</t>
  </si>
  <si>
    <t>TOTAL</t>
  </si>
  <si>
    <t>RATA RATA</t>
  </si>
  <si>
    <t>: Eleaser</t>
  </si>
  <si>
    <t>Sulawesi Barat</t>
  </si>
  <si>
    <t>Mobil 1 Unit</t>
  </si>
  <si>
    <t xml:space="preserve">Anggota </t>
  </si>
  <si>
    <t>: Valdi Arnada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</si>
  <si>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</si>
  <si>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</si>
  <si>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</si>
  <si>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</si>
  <si>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</si>
  <si>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</si>
  <si>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</si>
  <si>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</si>
  <si>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: Arifin</t>
  </si>
  <si>
    <t>Toli Toli</t>
  </si>
  <si>
    <t>Gorontalo</t>
  </si>
  <si>
    <t>Palu</t>
  </si>
  <si>
    <t>Poso</t>
  </si>
  <si>
    <t>Morowali</t>
  </si>
  <si>
    <t>: Fachruddin</t>
  </si>
  <si>
    <t>Luwu Raya</t>
  </si>
  <si>
    <t>: Abd Malik S</t>
  </si>
  <si>
    <t>Luwu Utara</t>
  </si>
  <si>
    <t>Luwu Timur</t>
  </si>
  <si>
    <t>Luwu</t>
  </si>
  <si>
    <t>Palopo</t>
  </si>
  <si>
    <t>: Ahmad Muhammad</t>
  </si>
  <si>
    <t>Sulawesi Tenggara</t>
  </si>
  <si>
    <t>: Munandar</t>
  </si>
  <si>
    <t>Kolaka Utara</t>
  </si>
  <si>
    <t>Kolaka Kota</t>
  </si>
  <si>
    <t xml:space="preserve">  Zaenul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</si>
  <si>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</si>
  <si>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</si>
  <si>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</si>
  <si>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</si>
  <si>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</si>
  <si>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</si>
  <si>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</si>
  <si>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</si>
  <si>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</si>
  <si>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</si>
  <si>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</si>
  <si>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</si>
  <si>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</si>
  <si>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</si>
  <si>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</si>
  <si>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Jeneponto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</si>
  <si>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</si>
  <si>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</si>
  <si>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</si>
  <si>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</si>
  <si>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</si>
  <si>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</si>
  <si>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</si>
  <si>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</si>
  <si>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</si>
  <si>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</si>
  <si>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</si>
  <si>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</si>
  <si>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</si>
  <si>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</si>
  <si>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</si>
  <si>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</si>
  <si>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</si>
  <si>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</si>
  <si>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</si>
  <si>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</si>
  <si>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</si>
  <si>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</si>
  <si>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</si>
  <si>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REALISASI PEMASARAN DAERAH</t>
  </si>
  <si>
    <t>Asist. Korwil</t>
  </si>
  <si>
    <t>: Wahyudi</t>
  </si>
  <si>
    <t>: Sam Nugraha Kinas</t>
  </si>
  <si>
    <t>Januari</t>
  </si>
  <si>
    <t>: Riswandi</t>
  </si>
  <si>
    <t>: Wawan Gunawan</t>
  </si>
  <si>
    <t>Jumlah</t>
  </si>
  <si>
    <t>Cash Back</t>
  </si>
  <si>
    <t>Pontianak, Kalbar</t>
  </si>
  <si>
    <t>Batu Licin, Kalsel</t>
  </si>
  <si>
    <t xml:space="preserve"> </t>
  </si>
  <si>
    <t>: Putra Jaya Sasmita</t>
  </si>
  <si>
    <t>: Syahrul Usman</t>
  </si>
  <si>
    <t>Sulawesi Tengah</t>
  </si>
  <si>
    <t>: Syahrun Nuzul K</t>
  </si>
  <si>
    <t xml:space="preserve">  Hardiansyah</t>
  </si>
  <si>
    <t>Parigi (Intens)</t>
  </si>
  <si>
    <t>Lingadan (Intens)</t>
  </si>
  <si>
    <t>Sinay, Parigi (Intens)</t>
  </si>
  <si>
    <t>Jalang'E (Petak 7, 8 9)</t>
  </si>
  <si>
    <t>Jalang'E (Petak 3)</t>
  </si>
  <si>
    <t>Februari</t>
  </si>
  <si>
    <t>Tambak Intensif</t>
  </si>
  <si>
    <t>Penjualan per 01 s/d 31 Januari 2021</t>
  </si>
  <si>
    <t>Penjualan per 01 s/d 28 Februari 2021</t>
  </si>
  <si>
    <t>Maret</t>
  </si>
  <si>
    <t>Penjualan per 01 s/d 31 Maret 2021</t>
  </si>
  <si>
    <t>April</t>
  </si>
  <si>
    <t>Penjualan per 01 s/d 30 April 2021</t>
  </si>
  <si>
    <t>Mei</t>
  </si>
  <si>
    <t>Penjualan per 01 s/d 31 Mei 2021</t>
  </si>
  <si>
    <t>Penjualan per 01 s/d 30 Juni 2021</t>
  </si>
  <si>
    <t>Juni</t>
  </si>
  <si>
    <t>Juli</t>
  </si>
  <si>
    <t>Penjualan per 01 s/d 31 Juli 2021</t>
  </si>
  <si>
    <t>Agustus</t>
  </si>
  <si>
    <t>Penjualan per 01 s/d 31 Agustus 2021</t>
  </si>
  <si>
    <t>September</t>
  </si>
  <si>
    <t>Penjualan per 01 s/d 30 September 2021</t>
  </si>
  <si>
    <t>Oktober</t>
  </si>
  <si>
    <t>Penjualan per 01 s/d 31 Oktober 2021</t>
  </si>
  <si>
    <t>November</t>
  </si>
  <si>
    <t>Penjualan per 01 s/d 30 November 2021</t>
  </si>
  <si>
    <t>BULAN DESEMBER  2021</t>
  </si>
  <si>
    <t>Desember</t>
  </si>
  <si>
    <t>Jalang'E, 02 Januari 2022</t>
  </si>
  <si>
    <t>Penjualan per 01 s/d 31 Desember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</si>
</sst>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4" fillId="0" borderId="20" xfId="3" applyFont="1" applyBorder="1"/>
    <xf numFmtId="41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5" fillId="0" borderId="0" xfId="2" applyNumberFormat="1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2" borderId="15" xfId="0" applyFont="1" applyFill="1" applyBorder="1"/>
    <xf numFmtId="10" fontId="5" fillId="2" borderId="15" xfId="2" applyNumberFormat="1" applyFont="1" applyFill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21" xfId="0" applyFont="1" applyFill="1" applyBorder="1"/>
    <xf numFmtId="10" fontId="5" fillId="2" borderId="21" xfId="2" applyNumberFormat="1" applyFont="1" applyFill="1" applyBorder="1"/>
    <xf numFmtId="164" fontId="5" fillId="0" borderId="20" xfId="1" applyFont="1" applyBorder="1"/>
    <xf numFmtId="41" fontId="5" fillId="2" borderId="21" xfId="0" applyNumberFormat="1" applyFont="1" applyFill="1" applyBorder="1"/>
    <xf numFmtId="165" fontId="5" fillId="2" borderId="21" xfId="0" applyNumberFormat="1" applyFont="1" applyFill="1" applyBorder="1"/>
    <xf numFmtId="41" fontId="5" fillId="0" borderId="20" xfId="1" applyNumberFormat="1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41" fontId="5" fillId="0" borderId="26" xfId="1" applyNumberFormat="1" applyFont="1" applyBorder="1"/>
    <xf numFmtId="41" fontId="5" fillId="0" borderId="14" xfId="1" applyNumberFormat="1" applyFont="1" applyBorder="1"/>
    <xf numFmtId="164" fontId="5" fillId="0" borderId="26" xfId="1" applyFont="1" applyBorder="1"/>
    <xf numFmtId="164" fontId="5" fillId="0" borderId="14" xfId="1" applyFont="1" applyBorder="1"/>
    <xf numFmtId="0" fontId="7" fillId="0" borderId="19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4" fillId="0" borderId="17" xfId="0" applyFont="1" applyBorder="1"/>
    <xf numFmtId="0" fontId="8" fillId="0" borderId="0" xfId="0" applyFont="1" applyAlignment="1">
      <alignment horizontal="center" vertical="center"/>
    </xf>
    <xf numFmtId="0" fontId="4" fillId="0" borderId="11" xfId="0" applyFont="1" applyBorder="1"/>
    <xf numFmtId="41" fontId="5" fillId="2" borderId="15" xfId="0" applyNumberFormat="1" applyFont="1" applyFill="1" applyBorder="1"/>
    <xf numFmtId="0" fontId="5" fillId="0" borderId="18" xfId="3" applyFont="1" applyBorder="1"/>
    <xf numFmtId="0" fontId="5" fillId="0" borderId="18" xfId="3" applyFont="1" applyFill="1" applyBorder="1"/>
    <xf numFmtId="0" fontId="5" fillId="0" borderId="6" xfId="3" applyFont="1" applyFill="1" applyBorder="1"/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41" fontId="4" fillId="3" borderId="31" xfId="1" applyNumberFormat="1" applyFont="1" applyFill="1" applyBorder="1"/>
    <xf numFmtId="41" fontId="4" fillId="3" borderId="32" xfId="0" applyNumberFormat="1" applyFont="1" applyFill="1" applyBorder="1"/>
    <xf numFmtId="10" fontId="4" fillId="3" borderId="32" xfId="2" applyNumberFormat="1" applyFont="1" applyFill="1" applyBorder="1"/>
    <xf numFmtId="165" fontId="4" fillId="3" borderId="32" xfId="0" applyNumberFormat="1" applyFont="1" applyFill="1" applyBorder="1"/>
    <xf numFmtId="0" fontId="8" fillId="0" borderId="0" xfId="0" applyFont="1"/>
    <xf numFmtId="164" fontId="4" fillId="3" borderId="31" xfId="1" applyFont="1" applyFill="1" applyBorder="1"/>
    <xf numFmtId="164" fontId="4" fillId="3" borderId="32" xfId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/>
    <xf numFmtId="41" fontId="4" fillId="4" borderId="33" xfId="0" applyNumberFormat="1" applyFont="1" applyFill="1" applyBorder="1"/>
    <xf numFmtId="164" fontId="5" fillId="0" borderId="0" xfId="0" applyNumberFormat="1" applyFont="1"/>
    <xf numFmtId="164" fontId="5" fillId="0" borderId="12" xfId="0" applyNumberFormat="1" applyFont="1" applyBorder="1"/>
    <xf numFmtId="164" fontId="5" fillId="0" borderId="18" xfId="0" applyNumberFormat="1" applyFont="1" applyBorder="1"/>
    <xf numFmtId="164" fontId="4" fillId="3" borderId="29" xfId="0" applyNumberFormat="1" applyFont="1" applyFill="1" applyBorder="1"/>
    <xf numFmtId="164" fontId="5" fillId="0" borderId="24" xfId="0" applyNumberFormat="1" applyFont="1" applyBorder="1"/>
    <xf numFmtId="164" fontId="5" fillId="0" borderId="6" xfId="0" applyNumberFormat="1" applyFont="1" applyBorder="1"/>
    <xf numFmtId="164" fontId="4" fillId="3" borderId="30" xfId="0" applyNumberFormat="1" applyFont="1" applyFill="1" applyBorder="1"/>
    <xf numFmtId="164" fontId="4" fillId="4" borderId="30" xfId="0" applyNumberFormat="1" applyFont="1" applyFill="1" applyBorder="1"/>
    <xf numFmtId="164" fontId="0" fillId="0" borderId="0" xfId="0" applyNumberFormat="1"/>
    <xf numFmtId="164" fontId="5" fillId="0" borderId="35" xfId="0" applyNumberFormat="1" applyFont="1" applyBorder="1"/>
    <xf numFmtId="0" fontId="11" fillId="0" borderId="0" xfId="0" applyFont="1"/>
    <xf numFmtId="164" fontId="4" fillId="0" borderId="0" xfId="0" applyNumberFormat="1" applyFont="1"/>
    <xf numFmtId="164" fontId="11" fillId="0" borderId="36" xfId="0" applyNumberFormat="1" applyFont="1" applyBorder="1"/>
    <xf numFmtId="0" fontId="4" fillId="4" borderId="28" xfId="0" applyFont="1" applyFill="1" applyBorder="1"/>
    <xf numFmtId="164" fontId="4" fillId="4" borderId="29" xfId="0" applyNumberFormat="1" applyFont="1" applyFill="1" applyBorder="1"/>
    <xf numFmtId="0" fontId="4" fillId="4" borderId="29" xfId="0" applyFont="1" applyFill="1" applyBorder="1"/>
    <xf numFmtId="164" fontId="4" fillId="4" borderId="31" xfId="0" applyNumberFormat="1" applyFont="1" applyFill="1" applyBorder="1"/>
    <xf numFmtId="0" fontId="4" fillId="0" borderId="17" xfId="3" applyFont="1" applyBorder="1"/>
    <xf numFmtId="41" fontId="4" fillId="4" borderId="34" xfId="0" applyNumberFormat="1" applyFont="1" applyFill="1" applyBorder="1"/>
    <xf numFmtId="10" fontId="4" fillId="3" borderId="33" xfId="2" applyNumberFormat="1" applyFont="1" applyFill="1" applyBorder="1"/>
    <xf numFmtId="164" fontId="4" fillId="4" borderId="33" xfId="0" applyNumberFormat="1" applyFont="1" applyFill="1" applyBorder="1"/>
    <xf numFmtId="164" fontId="4" fillId="3" borderId="28" xfId="1" applyFont="1" applyFill="1" applyBorder="1"/>
    <xf numFmtId="164" fontId="4" fillId="4" borderId="32" xfId="0" applyNumberFormat="1" applyFont="1" applyFill="1" applyBorder="1"/>
    <xf numFmtId="41" fontId="4" fillId="4" borderId="27" xfId="0" applyNumberFormat="1" applyFont="1" applyFill="1" applyBorder="1"/>
    <xf numFmtId="10" fontId="4" fillId="4" borderId="32" xfId="2" applyNumberFormat="1" applyFont="1" applyFill="1" applyBorder="1"/>
    <xf numFmtId="164" fontId="4" fillId="3" borderId="33" xfId="1" applyFont="1" applyFill="1" applyBorder="1"/>
    <xf numFmtId="0" fontId="4" fillId="4" borderId="39" xfId="0" applyFont="1" applyFill="1" applyBorder="1" applyAlignment="1">
      <alignment horizontal="center" vertical="center"/>
    </xf>
    <xf numFmtId="41" fontId="4" fillId="3" borderId="34" xfId="0" applyNumberFormat="1" applyFont="1" applyFill="1" applyBorder="1"/>
    <xf numFmtId="10" fontId="10" fillId="0" borderId="0" xfId="2" applyNumberFormat="1" applyFont="1" applyAlignment="1">
      <alignment horizontal="right"/>
    </xf>
    <xf numFmtId="41" fontId="4" fillId="3" borderId="31" xfId="0" applyNumberFormat="1" applyFont="1" applyFill="1" applyBorder="1"/>
    <xf numFmtId="0" fontId="12" fillId="0" borderId="0" xfId="0" applyFont="1" applyFill="1"/>
    <xf numFmtId="10" fontId="10" fillId="0" borderId="0" xfId="2" applyNumberFormat="1" applyFont="1" applyAlignment="1">
      <alignment horizontal="right"/>
    </xf>
    <xf numFmtId="164" fontId="4" fillId="4" borderId="27" xfId="0" applyNumberFormat="1" applyFont="1" applyFill="1" applyBorder="1"/>
    <xf numFmtId="0" fontId="0" fillId="0" borderId="17" xfId="0" applyBorder="1"/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0" fontId="4" fillId="4" borderId="41" xfId="0" applyFont="1" applyFill="1" applyBorder="1" applyAlignment="1">
      <alignment horizontal="center" vertical="center"/>
    </xf>
    <xf numFmtId="164" fontId="5" fillId="0" borderId="19" xfId="1" applyFont="1" applyBorder="1"/>
    <xf numFmtId="41" fontId="5" fillId="0" borderId="19" xfId="1" applyNumberFormat="1" applyFont="1" applyBorder="1"/>
    <xf numFmtId="41" fontId="5" fillId="0" borderId="13" xfId="1" applyNumberFormat="1" applyFont="1" applyBorder="1"/>
    <xf numFmtId="164" fontId="5" fillId="0" borderId="25" xfId="1" applyFont="1" applyBorder="1"/>
    <xf numFmtId="164" fontId="5" fillId="0" borderId="13" xfId="1" applyFont="1" applyBorder="1"/>
    <xf numFmtId="41" fontId="5" fillId="0" borderId="25" xfId="1" applyNumberFormat="1" applyFont="1" applyBorder="1"/>
    <xf numFmtId="10" fontId="10" fillId="0" borderId="0" xfId="2" applyNumberFormat="1" applyFont="1" applyAlignment="1">
      <alignment horizontal="right"/>
    </xf>
    <xf numFmtId="164" fontId="4" fillId="3" borderId="30" xfId="1" applyFont="1" applyFill="1" applyBorder="1"/>
    <xf numFmtId="0" fontId="5" fillId="0" borderId="42" xfId="0" applyFont="1" applyBorder="1"/>
    <xf numFmtId="164" fontId="5" fillId="0" borderId="18" xfId="1" applyFont="1" applyBorder="1"/>
    <xf numFmtId="164" fontId="5" fillId="0" borderId="24" xfId="1" applyFont="1" applyBorder="1"/>
    <xf numFmtId="164" fontId="5" fillId="0" borderId="12" xfId="1" applyFont="1" applyBorder="1"/>
    <xf numFmtId="41" fontId="5" fillId="0" borderId="24" xfId="1" applyNumberFormat="1" applyFont="1" applyBorder="1"/>
    <xf numFmtId="164" fontId="5" fillId="0" borderId="6" xfId="1" applyFont="1" applyBorder="1"/>
    <xf numFmtId="10" fontId="10" fillId="0" borderId="0" xfId="2" applyNumberFormat="1" applyFont="1" applyAlignment="1">
      <alignment horizontal="right"/>
    </xf>
    <xf numFmtId="10" fontId="10" fillId="0" borderId="0" xfId="2" applyNumberFormat="1" applyFont="1" applyAlignment="1">
      <alignment horizontal="right"/>
    </xf>
    <xf numFmtId="41" fontId="4" fillId="3" borderId="30" xfId="1" applyNumberFormat="1" applyFont="1" applyFill="1" applyBorder="1"/>
    <xf numFmtId="41" fontId="4" fillId="3" borderId="30" xfId="0" applyNumberFormat="1" applyFont="1" applyFill="1" applyBorder="1"/>
    <xf numFmtId="0" fontId="5" fillId="0" borderId="43" xfId="0" applyFont="1" applyBorder="1"/>
    <xf numFmtId="164" fontId="5" fillId="0" borderId="17" xfId="1" applyFont="1" applyBorder="1"/>
    <xf numFmtId="41" fontId="5" fillId="0" borderId="17" xfId="1" applyNumberFormat="1" applyFont="1" applyBorder="1"/>
    <xf numFmtId="41" fontId="5" fillId="0" borderId="11" xfId="1" applyNumberFormat="1" applyFont="1" applyBorder="1"/>
    <xf numFmtId="164" fontId="5" fillId="0" borderId="23" xfId="1" applyFont="1" applyBorder="1"/>
    <xf numFmtId="164" fontId="5" fillId="0" borderId="11" xfId="1" applyFont="1" applyBorder="1"/>
    <xf numFmtId="41" fontId="5" fillId="0" borderId="23" xfId="1" applyNumberFormat="1" applyFont="1" applyBorder="1"/>
    <xf numFmtId="164" fontId="5" fillId="0" borderId="5" xfId="1" applyFont="1" applyBorder="1"/>
    <xf numFmtId="10" fontId="10" fillId="0" borderId="0" xfId="2" applyNumberFormat="1" applyFont="1" applyAlignment="1">
      <alignment horizontal="right"/>
    </xf>
    <xf numFmtId="10" fontId="4" fillId="2" borderId="3" xfId="2" applyNumberFormat="1" applyFont="1" applyFill="1" applyBorder="1" applyAlignment="1">
      <alignment horizontal="center" vertical="center"/>
    </xf>
    <xf numFmtId="10" fontId="4" fillId="2" borderId="9" xfId="2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164" fontId="13" fillId="0" borderId="20" xfId="1" applyFont="1" applyBorder="1"/>
  </cellXfs>
  <cellStyles count="5">
    <cellStyle name="Comma [0]" xfId="1" builtinId="6"/>
    <cellStyle name="Comma [0] 3" xfId="4" xr:uid="{00000000-0005-0000-0000-000001000000}"/>
    <cellStyle name="Normal" xfId="0" builtinId="0"/>
    <cellStyle name="Normal 3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W178"/>
  <sheetViews>
    <sheetView tabSelected="1" zoomScale="60" zoomScaleNormal="60" workbookViewId="0">
      <pane ySplit="5" topLeftCell="A6" activePane="bottomLeft" state="frozen"/>
      <selection pane="bottomLeft" activeCell="A2" sqref="A2:V2"/>
    </sheetView>
  </sheetViews>
  <sheetFormatPr defaultRowHeight="15" x14ac:dyDescent="0.25"/>
  <cols>
    <col min="1" max="1" width="5" style="1" customWidth="1"/>
    <col min="2" max="2" width="13.125" customWidth="1"/>
    <col min="3" max="3" width="20.75" style="67" customWidth="1"/>
    <col min="4" max="4" width="3.75" customWidth="1"/>
    <col min="5" max="5" width="29.25" customWidth="1"/>
    <col min="6" max="6" width="16.25" hidden="1" customWidth="1"/>
    <col min="7" max="18" width="16.125" customWidth="1"/>
    <col min="19" max="19" width="16.625" customWidth="1"/>
    <col min="20" max="20" width="16.875" customWidth="1"/>
    <col min="21" max="21" width="14.375" style="4" customWidth="1"/>
    <col min="22" max="22" width="15.75" customWidth="1"/>
  </cols>
  <sheetData>
    <row r="1" spans="1:22" ht="18" x14ac:dyDescent="0.25">
      <c r="A1" s="132" t="s">
        <v>78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</row>
    <row r="2" spans="1:22" ht="18.75" thickBot="1" x14ac:dyDescent="0.3">
      <c r="A2" s="131" t="s">
        <v>122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 spans="1:22" ht="7.5" customHeight="1" thickTop="1" thickBot="1" x14ac:dyDescent="0.3">
      <c r="A3" s="5"/>
      <c r="B3" s="6"/>
      <c r="C3" s="5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2" s="39" customFormat="1" ht="15.75" thickBot="1" x14ac:dyDescent="0.3">
      <c r="A4" s="133" t="s">
        <v>0</v>
      </c>
      <c r="B4" s="133" t="s">
        <v>1</v>
      </c>
      <c r="C4" s="135"/>
      <c r="D4" s="133" t="s">
        <v>2</v>
      </c>
      <c r="E4" s="135"/>
      <c r="F4" s="137" t="s">
        <v>3</v>
      </c>
      <c r="G4" s="143" t="s">
        <v>71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5"/>
      <c r="S4" s="139" t="s">
        <v>5</v>
      </c>
      <c r="T4" s="139" t="s">
        <v>4</v>
      </c>
      <c r="U4" s="129" t="s">
        <v>72</v>
      </c>
      <c r="V4" s="141" t="s">
        <v>6</v>
      </c>
    </row>
    <row r="5" spans="1:22" s="39" customFormat="1" ht="15.75" thickBot="1" x14ac:dyDescent="0.3">
      <c r="A5" s="134"/>
      <c r="B5" s="134"/>
      <c r="C5" s="136"/>
      <c r="D5" s="134"/>
      <c r="E5" s="136"/>
      <c r="F5" s="138"/>
      <c r="G5" s="85" t="s">
        <v>82</v>
      </c>
      <c r="H5" s="85" t="s">
        <v>100</v>
      </c>
      <c r="I5" s="85" t="s">
        <v>104</v>
      </c>
      <c r="J5" s="85" t="s">
        <v>106</v>
      </c>
      <c r="K5" s="85" t="s">
        <v>108</v>
      </c>
      <c r="L5" s="85" t="s">
        <v>111</v>
      </c>
      <c r="M5" s="85" t="s">
        <v>112</v>
      </c>
      <c r="N5" s="85" t="s">
        <v>114</v>
      </c>
      <c r="O5" s="85" t="s">
        <v>116</v>
      </c>
      <c r="P5" s="101" t="s">
        <v>118</v>
      </c>
      <c r="Q5" s="101" t="s">
        <v>120</v>
      </c>
      <c r="R5" s="101" t="s">
        <v>123</v>
      </c>
      <c r="S5" s="140"/>
      <c r="T5" s="140"/>
      <c r="U5" s="130"/>
      <c r="V5" s="142"/>
    </row>
    <row r="6" spans="1:22" x14ac:dyDescent="0.25">
      <c r="A6" s="8"/>
      <c r="B6" s="9"/>
      <c r="C6" s="60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110"/>
      <c r="Q6" s="11"/>
      <c r="R6" s="120"/>
      <c r="S6" s="13"/>
      <c r="T6" s="13"/>
      <c r="U6" s="14"/>
      <c r="V6" s="13"/>
    </row>
    <row r="7" spans="1:22" x14ac:dyDescent="0.25">
      <c r="A7" s="15">
        <v>1</v>
      </c>
      <c r="B7" s="16" t="s">
        <v>79</v>
      </c>
      <c r="C7" s="61" t="s">
        <v>7</v>
      </c>
      <c r="D7" s="38" t="s">
        <v>8</v>
      </c>
      <c r="E7" s="17"/>
      <c r="F7" s="18" t="s">
        <v>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8"/>
      <c r="R7" s="16"/>
      <c r="S7" s="20"/>
      <c r="T7" s="20"/>
      <c r="U7" s="21"/>
      <c r="V7" s="20"/>
    </row>
    <row r="8" spans="1:22" x14ac:dyDescent="0.25">
      <c r="A8" s="15"/>
      <c r="B8" s="16" t="s">
        <v>10</v>
      </c>
      <c r="C8" s="61" t="s">
        <v>11</v>
      </c>
      <c r="D8" s="16"/>
      <c r="E8" s="17" t="s">
        <v>12</v>
      </c>
      <c r="F8" s="18" t="s">
        <v>13</v>
      </c>
      <c r="G8" s="22">
        <v>2345000</v>
      </c>
      <c r="H8" s="22">
        <v>2065000</v>
      </c>
      <c r="I8" s="22">
        <v>1400000</v>
      </c>
      <c r="J8" s="22">
        <v>1620000</v>
      </c>
      <c r="K8" s="22">
        <v>2645000</v>
      </c>
      <c r="L8" s="22">
        <v>1968000</v>
      </c>
      <c r="M8" s="22">
        <v>1175000</v>
      </c>
      <c r="N8" s="22">
        <v>5075000</v>
      </c>
      <c r="O8" s="22">
        <v>2565000</v>
      </c>
      <c r="P8" s="22">
        <v>3950000</v>
      </c>
      <c r="Q8" s="102">
        <v>1000000</v>
      </c>
      <c r="R8" s="121">
        <v>2580000</v>
      </c>
      <c r="S8" s="23">
        <f>SUM(G8:R8)</f>
        <v>28388000</v>
      </c>
      <c r="T8" s="23">
        <f>1015000+357000+0+2654925+1096000+1013250+808500+210000+1291500+849450+330750+1102500</f>
        <v>10728875</v>
      </c>
      <c r="U8" s="21">
        <f>S8/T8</f>
        <v>2.6459437732287867</v>
      </c>
      <c r="V8" s="24">
        <f>S8/12</f>
        <v>2365666.6666666665</v>
      </c>
    </row>
    <row r="9" spans="1:22" x14ac:dyDescent="0.25">
      <c r="A9" s="15"/>
      <c r="B9" s="16"/>
      <c r="C9" s="61" t="s">
        <v>83</v>
      </c>
      <c r="D9" s="16"/>
      <c r="E9" s="17" t="s">
        <v>14</v>
      </c>
      <c r="F9" s="18"/>
      <c r="G9" s="22">
        <v>11374000</v>
      </c>
      <c r="H9" s="22">
        <v>13279000</v>
      </c>
      <c r="I9" s="22">
        <v>13352000</v>
      </c>
      <c r="J9" s="22">
        <v>9082000</v>
      </c>
      <c r="K9" s="22">
        <v>11309000</v>
      </c>
      <c r="L9" s="22">
        <v>12382500</v>
      </c>
      <c r="M9" s="22">
        <v>12560000</v>
      </c>
      <c r="N9" s="22">
        <v>7330142</v>
      </c>
      <c r="O9" s="22">
        <v>8260000</v>
      </c>
      <c r="P9" s="22">
        <v>12056000</v>
      </c>
      <c r="Q9" s="102">
        <v>11320000</v>
      </c>
      <c r="R9" s="121">
        <v>8147000</v>
      </c>
      <c r="S9" s="23">
        <f t="shared" ref="S9:S14" si="0">SUM(G9:R9)</f>
        <v>130451642</v>
      </c>
      <c r="T9" s="23">
        <f>21316122+18517100+15935867+12670119+14026516+11906724+8878800+11190900+11587800+21000000+19495350+21000000</f>
        <v>187525298</v>
      </c>
      <c r="U9" s="21">
        <f>S9/T9</f>
        <v>0.69564823195214975</v>
      </c>
      <c r="V9" s="24">
        <f t="shared" ref="V9:V14" si="1">S9/12</f>
        <v>10870970.166666666</v>
      </c>
    </row>
    <row r="10" spans="1:22" x14ac:dyDescent="0.25">
      <c r="A10" s="15"/>
      <c r="B10" s="16"/>
      <c r="C10" s="61" t="s">
        <v>90</v>
      </c>
      <c r="D10" s="16" t="s">
        <v>89</v>
      </c>
      <c r="E10" s="17" t="s">
        <v>15</v>
      </c>
      <c r="F10" s="18"/>
      <c r="G10" s="22">
        <v>12188000</v>
      </c>
      <c r="H10" s="22">
        <v>12645000</v>
      </c>
      <c r="I10" s="22">
        <v>11185000</v>
      </c>
      <c r="J10" s="22">
        <v>12665000</v>
      </c>
      <c r="K10" s="22">
        <v>7115000</v>
      </c>
      <c r="L10" s="22">
        <v>10069000</v>
      </c>
      <c r="M10" s="22">
        <v>9967500</v>
      </c>
      <c r="N10" s="22">
        <v>8502500</v>
      </c>
      <c r="O10" s="22">
        <v>9559000</v>
      </c>
      <c r="P10" s="22">
        <v>11446000</v>
      </c>
      <c r="Q10" s="102">
        <v>5942000</v>
      </c>
      <c r="R10" s="121">
        <v>7659000</v>
      </c>
      <c r="S10" s="23">
        <f t="shared" si="0"/>
        <v>118943000</v>
      </c>
      <c r="T10" s="23">
        <f>13299319+11432219+12621000+12942030+13482992+11239837+9043650+11535300+7171500+12600000+12390000+12600000</f>
        <v>140357847</v>
      </c>
      <c r="U10" s="21">
        <f t="shared" ref="U10:U14" si="2">S10/T10</f>
        <v>0.84742679189144299</v>
      </c>
      <c r="V10" s="24">
        <f t="shared" si="1"/>
        <v>9911916.666666666</v>
      </c>
    </row>
    <row r="11" spans="1:22" x14ac:dyDescent="0.25">
      <c r="A11" s="15"/>
      <c r="B11" s="16"/>
      <c r="C11" s="61"/>
      <c r="D11" s="16"/>
      <c r="E11" s="17" t="s">
        <v>16</v>
      </c>
      <c r="F11" s="18"/>
      <c r="G11" s="22">
        <v>6060000</v>
      </c>
      <c r="H11" s="22">
        <v>10780000</v>
      </c>
      <c r="I11" s="22">
        <v>10680000</v>
      </c>
      <c r="J11" s="22">
        <v>8691000</v>
      </c>
      <c r="K11" s="22">
        <v>9638000</v>
      </c>
      <c r="L11" s="22">
        <v>10974500</v>
      </c>
      <c r="M11" s="22">
        <v>8875000</v>
      </c>
      <c r="N11" s="22">
        <v>8549000</v>
      </c>
      <c r="O11" s="22">
        <v>7263000</v>
      </c>
      <c r="P11" s="22">
        <v>10393500</v>
      </c>
      <c r="Q11" s="102">
        <v>10327500</v>
      </c>
      <c r="R11" s="121">
        <v>7250000</v>
      </c>
      <c r="S11" s="23">
        <f>SUM(G11:R11)</f>
        <v>109481500</v>
      </c>
      <c r="T11" s="23">
        <f>7570888+9948750+6805563+5305182+4296320+5008350+4546500+4981200+8001000+7844550+8018850+7875000</f>
        <v>80202153</v>
      </c>
      <c r="U11" s="21">
        <f>S11/T11</f>
        <v>1.3650693392233497</v>
      </c>
      <c r="V11" s="24">
        <f t="shared" si="1"/>
        <v>9123458.333333334</v>
      </c>
    </row>
    <row r="12" spans="1:22" x14ac:dyDescent="0.25">
      <c r="A12" s="15"/>
      <c r="B12" s="16"/>
      <c r="C12" s="61"/>
      <c r="D12" s="16"/>
      <c r="E12" s="17" t="s">
        <v>17</v>
      </c>
      <c r="F12" s="18"/>
      <c r="G12" s="22">
        <v>8349500</v>
      </c>
      <c r="H12" s="22">
        <v>12211500</v>
      </c>
      <c r="I12" s="22">
        <v>11707000</v>
      </c>
      <c r="J12" s="22">
        <v>10513928</v>
      </c>
      <c r="K12" s="22">
        <v>9953572</v>
      </c>
      <c r="L12" s="22">
        <v>10564309</v>
      </c>
      <c r="M12" s="22">
        <v>11972000</v>
      </c>
      <c r="N12" s="22">
        <v>6850000</v>
      </c>
      <c r="O12" s="22">
        <v>11645500</v>
      </c>
      <c r="P12" s="22">
        <v>15162500</v>
      </c>
      <c r="Q12" s="102">
        <v>9048000</v>
      </c>
      <c r="R12" s="121">
        <v>7671500</v>
      </c>
      <c r="S12" s="23">
        <f>SUM(G12:R12)</f>
        <v>125649309</v>
      </c>
      <c r="T12" s="23">
        <f>10307833+9934093+10978275+6761598+7732280+8816240+8280300+7235550+9560250+10374650+10386850+10484000</f>
        <v>110851919</v>
      </c>
      <c r="U12" s="21">
        <f t="shared" si="2"/>
        <v>1.1334879010980405</v>
      </c>
      <c r="V12" s="24">
        <f t="shared" si="1"/>
        <v>10470775.75</v>
      </c>
    </row>
    <row r="13" spans="1:22" x14ac:dyDescent="0.25">
      <c r="A13" s="15"/>
      <c r="B13" s="16"/>
      <c r="C13" s="61"/>
      <c r="D13" s="16"/>
      <c r="E13" s="17" t="s">
        <v>45</v>
      </c>
      <c r="F13" s="18"/>
      <c r="G13" s="33">
        <v>8069000</v>
      </c>
      <c r="H13" s="22">
        <v>15293000</v>
      </c>
      <c r="I13" s="22">
        <v>12077380</v>
      </c>
      <c r="J13" s="22">
        <v>9410432</v>
      </c>
      <c r="K13" s="22">
        <v>9681380</v>
      </c>
      <c r="L13" s="22">
        <v>12892500</v>
      </c>
      <c r="M13" s="22">
        <v>9224000</v>
      </c>
      <c r="N13" s="22">
        <v>8746000</v>
      </c>
      <c r="O13" s="22">
        <v>15332670</v>
      </c>
      <c r="P13" s="22">
        <v>18271500</v>
      </c>
      <c r="Q13" s="102">
        <v>13336000</v>
      </c>
      <c r="R13" s="121">
        <v>12085500</v>
      </c>
      <c r="S13" s="23">
        <f t="shared" si="0"/>
        <v>144419362</v>
      </c>
      <c r="T13" s="41">
        <f>11656207+8782200+10544115+9123606+8469888+11836690+6499500+6928950+12331200+12023800+12495250+12176600</f>
        <v>122868006</v>
      </c>
      <c r="U13" s="14">
        <f>S13/T13</f>
        <v>1.1754025047008576</v>
      </c>
      <c r="V13" s="24">
        <f t="shared" si="1"/>
        <v>12034946.833333334</v>
      </c>
    </row>
    <row r="14" spans="1:22" ht="15.75" thickBot="1" x14ac:dyDescent="0.3">
      <c r="A14" s="15"/>
      <c r="B14" s="16"/>
      <c r="C14" s="61"/>
      <c r="D14" s="16"/>
      <c r="E14" s="17" t="s">
        <v>18</v>
      </c>
      <c r="F14" s="18"/>
      <c r="G14" s="25">
        <v>1590000</v>
      </c>
      <c r="H14" s="25">
        <v>660000</v>
      </c>
      <c r="I14" s="25">
        <v>613000</v>
      </c>
      <c r="J14" s="25">
        <v>840000</v>
      </c>
      <c r="K14" s="25">
        <v>515000</v>
      </c>
      <c r="L14" s="25">
        <v>1100000</v>
      </c>
      <c r="M14" s="25">
        <v>1300000</v>
      </c>
      <c r="N14" s="25">
        <v>1355000</v>
      </c>
      <c r="O14" s="25">
        <v>1725000</v>
      </c>
      <c r="P14" s="25">
        <v>1765000</v>
      </c>
      <c r="Q14" s="103">
        <v>720000</v>
      </c>
      <c r="R14" s="122">
        <v>990000</v>
      </c>
      <c r="S14" s="23">
        <f t="shared" si="0"/>
        <v>13173000</v>
      </c>
      <c r="T14" s="23">
        <f>690000+1262100+771750+565995+676780+120625+928200+782250+635250+1260000+910350+1050000</f>
        <v>9653300</v>
      </c>
      <c r="U14" s="21">
        <f t="shared" si="2"/>
        <v>1.3646110656459449</v>
      </c>
      <c r="V14" s="24">
        <f t="shared" si="1"/>
        <v>1097750</v>
      </c>
    </row>
    <row r="15" spans="1:22" s="53" customFormat="1" ht="15.75" thickBot="1" x14ac:dyDescent="0.3">
      <c r="A15" s="45"/>
      <c r="B15" s="46"/>
      <c r="C15" s="62"/>
      <c r="D15" s="46"/>
      <c r="E15" s="47"/>
      <c r="F15" s="48"/>
      <c r="G15" s="49">
        <f t="shared" ref="G15:T15" si="3">SUM(G8:G14)</f>
        <v>49975500</v>
      </c>
      <c r="H15" s="49">
        <f t="shared" si="3"/>
        <v>66933500</v>
      </c>
      <c r="I15" s="49">
        <f t="shared" si="3"/>
        <v>61014380</v>
      </c>
      <c r="J15" s="49">
        <f t="shared" ref="J15:N15" si="4">SUM(J8:J14)</f>
        <v>52822360</v>
      </c>
      <c r="K15" s="49">
        <f t="shared" si="4"/>
        <v>50856952</v>
      </c>
      <c r="L15" s="49">
        <f t="shared" si="4"/>
        <v>59950809</v>
      </c>
      <c r="M15" s="49">
        <f t="shared" si="4"/>
        <v>55073500</v>
      </c>
      <c r="N15" s="49">
        <f t="shared" si="4"/>
        <v>46407642</v>
      </c>
      <c r="O15" s="49">
        <f>SUM(O8:O14)</f>
        <v>56350170</v>
      </c>
      <c r="P15" s="49">
        <f>SUM(P8:P14)</f>
        <v>73044500</v>
      </c>
      <c r="Q15" s="118">
        <f>SUM(Q8:Q14)</f>
        <v>51693500</v>
      </c>
      <c r="R15" s="49">
        <f>SUM(R8:R14)</f>
        <v>46383000</v>
      </c>
      <c r="S15" s="50">
        <f>SUM(S8:S14)</f>
        <v>670505813</v>
      </c>
      <c r="T15" s="50">
        <f t="shared" si="3"/>
        <v>662187398</v>
      </c>
      <c r="U15" s="51">
        <f>S15/T15</f>
        <v>1.0125620255310266</v>
      </c>
      <c r="V15" s="52">
        <f>SUM(V8:V14)</f>
        <v>55875484.416666672</v>
      </c>
    </row>
    <row r="16" spans="1:22" x14ac:dyDescent="0.25">
      <c r="A16" s="8"/>
      <c r="B16" s="9"/>
      <c r="C16" s="60"/>
      <c r="D16" s="9"/>
      <c r="E16" s="1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104"/>
      <c r="R16" s="123"/>
      <c r="S16" s="13"/>
      <c r="T16" s="13"/>
      <c r="U16" s="14"/>
      <c r="V16" s="13"/>
    </row>
    <row r="17" spans="1:22" x14ac:dyDescent="0.25">
      <c r="A17" s="15">
        <v>2</v>
      </c>
      <c r="B17" s="16" t="s">
        <v>79</v>
      </c>
      <c r="C17" s="61" t="s">
        <v>26</v>
      </c>
      <c r="D17" s="38" t="s">
        <v>92</v>
      </c>
      <c r="E17" s="17"/>
      <c r="F17" s="18" t="s">
        <v>9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6"/>
      <c r="S17" s="20"/>
      <c r="T17" s="20"/>
      <c r="U17" s="21"/>
      <c r="V17" s="20"/>
    </row>
    <row r="18" spans="1:22" x14ac:dyDescent="0.25">
      <c r="A18" s="15"/>
      <c r="B18" s="16" t="s">
        <v>10</v>
      </c>
      <c r="C18" s="61" t="s">
        <v>20</v>
      </c>
      <c r="D18" s="16"/>
      <c r="E18" s="17" t="s">
        <v>73</v>
      </c>
      <c r="F18" s="18" t="s">
        <v>13</v>
      </c>
      <c r="G18" s="22">
        <v>15737385</v>
      </c>
      <c r="H18" s="22">
        <v>10891900</v>
      </c>
      <c r="I18" s="22">
        <v>20529000</v>
      </c>
      <c r="J18" s="22">
        <v>15583000</v>
      </c>
      <c r="K18" s="22">
        <v>12695000</v>
      </c>
      <c r="L18" s="22">
        <v>18039500</v>
      </c>
      <c r="M18" s="146">
        <v>13971658</v>
      </c>
      <c r="N18" s="22">
        <v>14383000</v>
      </c>
      <c r="O18" s="22">
        <v>14148386</v>
      </c>
      <c r="P18" s="111">
        <v>21969193</v>
      </c>
      <c r="Q18" s="102">
        <v>16177200</v>
      </c>
      <c r="R18" s="121">
        <v>18540000</v>
      </c>
      <c r="S18" s="23">
        <f t="shared" ref="S18:S23" si="5">SUM(G18:R18)</f>
        <v>192665222</v>
      </c>
      <c r="T18" s="23">
        <f>13430332+9877350+11277412+17415237+12651082+17845331+11919852+12852126+17733660+10500000+13515600+13635300</f>
        <v>162653282</v>
      </c>
      <c r="U18" s="21">
        <f>S18/T18</f>
        <v>1.1845148135406207</v>
      </c>
      <c r="V18" s="24">
        <f t="shared" ref="V18:V23" si="6">S18/12</f>
        <v>16055435.166666666</v>
      </c>
    </row>
    <row r="19" spans="1:22" x14ac:dyDescent="0.25">
      <c r="A19" s="15"/>
      <c r="B19" s="16"/>
      <c r="C19" s="61" t="s">
        <v>93</v>
      </c>
      <c r="D19" s="16"/>
      <c r="E19" s="17" t="s">
        <v>74</v>
      </c>
      <c r="F19" s="18"/>
      <c r="G19" s="22">
        <v>43320595</v>
      </c>
      <c r="H19" s="22">
        <v>37225000</v>
      </c>
      <c r="I19" s="22">
        <v>38552500</v>
      </c>
      <c r="J19" s="22">
        <v>34315000</v>
      </c>
      <c r="K19" s="22">
        <v>24430000</v>
      </c>
      <c r="L19" s="22">
        <v>33755000</v>
      </c>
      <c r="M19" s="22">
        <v>36610000</v>
      </c>
      <c r="N19" s="22">
        <v>35410000</v>
      </c>
      <c r="O19" s="22">
        <v>35199500</v>
      </c>
      <c r="P19" s="111">
        <v>15035000</v>
      </c>
      <c r="Q19" s="102">
        <v>28420000</v>
      </c>
      <c r="R19" s="121">
        <v>32685000</v>
      </c>
      <c r="S19" s="23">
        <f>SUM(G19:R19)</f>
        <v>394957595</v>
      </c>
      <c r="T19" s="23">
        <f>35865695+36702750+30375450+30955842+36166964+34258947+34368700+29106000+37554999+35700000+35700000+35700000</f>
        <v>412455347</v>
      </c>
      <c r="U19" s="21">
        <f>S19/T19</f>
        <v>0.95757661495415158</v>
      </c>
      <c r="V19" s="24">
        <f t="shared" si="6"/>
        <v>32913132.916666668</v>
      </c>
    </row>
    <row r="20" spans="1:22" x14ac:dyDescent="0.25">
      <c r="A20" s="15"/>
      <c r="B20" s="16"/>
      <c r="C20" s="61"/>
      <c r="D20" s="16"/>
      <c r="E20" s="17" t="s">
        <v>21</v>
      </c>
      <c r="F20" s="18" t="s">
        <v>13</v>
      </c>
      <c r="G20" s="22">
        <v>0</v>
      </c>
      <c r="H20" s="22">
        <v>0</v>
      </c>
      <c r="I20" s="22">
        <v>340000</v>
      </c>
      <c r="J20" s="22">
        <v>0</v>
      </c>
      <c r="K20" s="22"/>
      <c r="L20" s="22">
        <v>0</v>
      </c>
      <c r="M20" s="22">
        <v>0</v>
      </c>
      <c r="N20" s="22">
        <v>0</v>
      </c>
      <c r="O20" s="22">
        <v>230000</v>
      </c>
      <c r="P20" s="111">
        <v>0</v>
      </c>
      <c r="Q20" s="102">
        <v>0</v>
      </c>
      <c r="R20" s="121">
        <v>30000</v>
      </c>
      <c r="S20" s="23">
        <f t="shared" si="5"/>
        <v>600000</v>
      </c>
      <c r="T20" s="23">
        <f>0+0+472500+0+0+434250+157500+194250+105000+1050000+1050000</f>
        <v>3463500</v>
      </c>
      <c r="U20" s="21">
        <f>S20/T20</f>
        <v>0.17323516673884798</v>
      </c>
      <c r="V20" s="24">
        <f t="shared" si="6"/>
        <v>50000</v>
      </c>
    </row>
    <row r="21" spans="1:22" x14ac:dyDescent="0.25">
      <c r="A21" s="15"/>
      <c r="B21" s="16"/>
      <c r="C21" s="61"/>
      <c r="D21" s="16"/>
      <c r="E21" s="17" t="s">
        <v>22</v>
      </c>
      <c r="F21" s="18"/>
      <c r="G21" s="22">
        <v>34987500</v>
      </c>
      <c r="H21" s="22">
        <v>28945000</v>
      </c>
      <c r="I21" s="22">
        <v>34416000</v>
      </c>
      <c r="J21" s="22">
        <v>30890000</v>
      </c>
      <c r="K21" s="22">
        <v>25007500</v>
      </c>
      <c r="L21" s="22">
        <v>32802000</v>
      </c>
      <c r="M21" s="22">
        <v>27182500</v>
      </c>
      <c r="N21" s="22">
        <v>26939400</v>
      </c>
      <c r="O21" s="22">
        <v>34772500</v>
      </c>
      <c r="P21" s="111">
        <v>45477500</v>
      </c>
      <c r="Q21" s="102">
        <v>27380000</v>
      </c>
      <c r="R21" s="121">
        <v>31270000</v>
      </c>
      <c r="S21" s="23">
        <f t="shared" si="5"/>
        <v>380069900</v>
      </c>
      <c r="T21" s="23">
        <f>23916500+37334050+26809650+26414331+24114192+26347625+22600099+20272050+22739750+26250000+27300000+27300000</f>
        <v>311398247</v>
      </c>
      <c r="U21" s="21">
        <f>S21/T21</f>
        <v>1.2205267809359248</v>
      </c>
      <c r="V21" s="24">
        <f t="shared" si="6"/>
        <v>31672491.666666668</v>
      </c>
    </row>
    <row r="22" spans="1:22" x14ac:dyDescent="0.25">
      <c r="A22" s="15"/>
      <c r="B22" s="16"/>
      <c r="C22" s="61"/>
      <c r="D22" s="16"/>
      <c r="E22" s="17" t="s">
        <v>23</v>
      </c>
      <c r="F22" s="18"/>
      <c r="G22" s="22">
        <v>390000</v>
      </c>
      <c r="H22" s="22">
        <v>400000</v>
      </c>
      <c r="I22" s="22">
        <v>100000</v>
      </c>
      <c r="J22" s="22">
        <v>0</v>
      </c>
      <c r="K22" s="22">
        <v>200000</v>
      </c>
      <c r="L22" s="22">
        <v>330000</v>
      </c>
      <c r="M22" s="22">
        <v>145000</v>
      </c>
      <c r="N22" s="22">
        <v>900000</v>
      </c>
      <c r="O22" s="22">
        <v>1645000</v>
      </c>
      <c r="P22" s="111">
        <v>550000</v>
      </c>
      <c r="Q22" s="102">
        <v>884000</v>
      </c>
      <c r="R22" s="121">
        <v>1000000</v>
      </c>
      <c r="S22" s="23">
        <f t="shared" si="5"/>
        <v>6544000</v>
      </c>
      <c r="T22" s="23">
        <f>200000+0+577500+0+1030240+863675+1438500+1995000+1559250+992250+0+0</f>
        <v>8656415</v>
      </c>
      <c r="U22" s="21">
        <f t="shared" ref="U22:U23" si="7">S22/T22</f>
        <v>0.755971149719601</v>
      </c>
      <c r="V22" s="24">
        <f t="shared" si="6"/>
        <v>545333.33333333337</v>
      </c>
    </row>
    <row r="23" spans="1:22" ht="15.75" thickBot="1" x14ac:dyDescent="0.3">
      <c r="A23" s="26"/>
      <c r="B23" s="27"/>
      <c r="C23" s="63"/>
      <c r="D23" s="27"/>
      <c r="E23" s="28" t="s">
        <v>24</v>
      </c>
      <c r="F23" s="29"/>
      <c r="G23" s="32">
        <v>6000000</v>
      </c>
      <c r="H23" s="32">
        <v>2424000</v>
      </c>
      <c r="I23" s="32">
        <v>3345000</v>
      </c>
      <c r="J23" s="32">
        <v>3163700</v>
      </c>
      <c r="K23" s="32">
        <v>3397800</v>
      </c>
      <c r="L23" s="32">
        <v>6295000</v>
      </c>
      <c r="M23" s="32">
        <v>2460000</v>
      </c>
      <c r="N23" s="32">
        <v>2980000</v>
      </c>
      <c r="O23" s="32">
        <v>3920000</v>
      </c>
      <c r="P23" s="112">
        <v>2425000</v>
      </c>
      <c r="Q23" s="105">
        <v>2635000</v>
      </c>
      <c r="R23" s="124">
        <v>3205000</v>
      </c>
      <c r="S23" s="23">
        <f t="shared" si="5"/>
        <v>42250500</v>
      </c>
      <c r="T23" s="23">
        <f>1934811+1302000+4152750+1878870+1397400+4231525+2908500+2152500+1806000+4095000+2122050+2803500</f>
        <v>30784906</v>
      </c>
      <c r="U23" s="21">
        <f t="shared" si="7"/>
        <v>1.3724420662515584</v>
      </c>
      <c r="V23" s="24">
        <f t="shared" si="6"/>
        <v>3520875</v>
      </c>
    </row>
    <row r="24" spans="1:22" s="53" customFormat="1" ht="15.75" thickBot="1" x14ac:dyDescent="0.3">
      <c r="A24" s="45"/>
      <c r="B24" s="46"/>
      <c r="C24" s="62"/>
      <c r="D24" s="46"/>
      <c r="E24" s="47"/>
      <c r="F24" s="48"/>
      <c r="G24" s="80">
        <f t="shared" ref="G24:T24" si="8">SUM(G18:G23)</f>
        <v>100435480</v>
      </c>
      <c r="H24" s="80">
        <f t="shared" si="8"/>
        <v>79885900</v>
      </c>
      <c r="I24" s="80">
        <f t="shared" si="8"/>
        <v>97282500</v>
      </c>
      <c r="J24" s="80">
        <f t="shared" ref="J24:P24" si="9">SUM(J18:J23)</f>
        <v>83951700</v>
      </c>
      <c r="K24" s="80">
        <f t="shared" si="9"/>
        <v>65730300</v>
      </c>
      <c r="L24" s="80">
        <f t="shared" si="9"/>
        <v>91221500</v>
      </c>
      <c r="M24" s="80">
        <f t="shared" si="9"/>
        <v>80369158</v>
      </c>
      <c r="N24" s="80">
        <f t="shared" si="9"/>
        <v>80612400</v>
      </c>
      <c r="O24" s="80">
        <f t="shared" si="9"/>
        <v>89915386</v>
      </c>
      <c r="P24" s="54">
        <f t="shared" si="9"/>
        <v>85456693</v>
      </c>
      <c r="Q24" s="109">
        <f>SUM(Q18:Q23)</f>
        <v>75496200</v>
      </c>
      <c r="R24" s="80">
        <f>SUM(R18:R23)</f>
        <v>86730000</v>
      </c>
      <c r="S24" s="50">
        <f t="shared" si="8"/>
        <v>1017087217</v>
      </c>
      <c r="T24" s="50">
        <f t="shared" si="8"/>
        <v>929411697</v>
      </c>
      <c r="U24" s="51">
        <f>S24/T24</f>
        <v>1.0943344271252484</v>
      </c>
      <c r="V24" s="50">
        <f>SUM(V18:V23)</f>
        <v>84757268.083333328</v>
      </c>
    </row>
    <row r="25" spans="1:22" x14ac:dyDescent="0.25">
      <c r="A25" s="8"/>
      <c r="B25" s="9"/>
      <c r="C25" s="60"/>
      <c r="D25" s="9"/>
      <c r="E25" s="10"/>
      <c r="F25" s="11"/>
      <c r="G25" s="33"/>
      <c r="H25" s="33"/>
      <c r="I25" s="33"/>
      <c r="J25" s="33"/>
      <c r="K25" s="33"/>
      <c r="L25" s="33"/>
      <c r="M25" s="33"/>
      <c r="N25" s="33"/>
      <c r="O25" s="33"/>
      <c r="P25" s="113"/>
      <c r="Q25" s="106"/>
      <c r="R25" s="125"/>
      <c r="S25" s="13"/>
      <c r="T25" s="13"/>
      <c r="U25" s="14"/>
      <c r="V25" s="13"/>
    </row>
    <row r="26" spans="1:22" x14ac:dyDescent="0.25">
      <c r="A26" s="15">
        <v>3</v>
      </c>
      <c r="B26" s="16" t="s">
        <v>79</v>
      </c>
      <c r="C26" s="61" t="s">
        <v>19</v>
      </c>
      <c r="D26" s="38" t="s">
        <v>27</v>
      </c>
      <c r="E26" s="17"/>
      <c r="F26" s="34" t="s">
        <v>9</v>
      </c>
      <c r="G26" s="19"/>
      <c r="H26" s="19"/>
      <c r="I26" s="19"/>
      <c r="J26" s="19"/>
      <c r="K26" s="19"/>
      <c r="L26" s="19"/>
      <c r="M26" s="19"/>
      <c r="N26" s="19"/>
      <c r="O26" s="19"/>
      <c r="P26" s="17"/>
      <c r="Q26" s="18"/>
      <c r="R26" s="16"/>
      <c r="S26" s="20"/>
      <c r="T26" s="20"/>
      <c r="U26" s="21"/>
      <c r="V26" s="20"/>
    </row>
    <row r="27" spans="1:22" x14ac:dyDescent="0.25">
      <c r="A27" s="15"/>
      <c r="B27" s="16" t="s">
        <v>10</v>
      </c>
      <c r="C27" s="61" t="s">
        <v>28</v>
      </c>
      <c r="D27" s="16"/>
      <c r="E27" s="17" t="s">
        <v>29</v>
      </c>
      <c r="F27" s="18" t="s">
        <v>13</v>
      </c>
      <c r="G27" s="22">
        <v>8558000</v>
      </c>
      <c r="H27" s="22">
        <v>9620000</v>
      </c>
      <c r="I27" s="22">
        <v>10795000</v>
      </c>
      <c r="J27" s="22">
        <v>9269000</v>
      </c>
      <c r="K27" s="22">
        <v>7802000</v>
      </c>
      <c r="L27" s="22">
        <v>8552018</v>
      </c>
      <c r="M27" s="22">
        <v>8783000</v>
      </c>
      <c r="N27" s="22">
        <v>7460000</v>
      </c>
      <c r="O27" s="22">
        <v>5507500</v>
      </c>
      <c r="P27" s="111">
        <v>11036000</v>
      </c>
      <c r="Q27" s="102">
        <v>5202000</v>
      </c>
      <c r="R27" s="121">
        <v>5820000</v>
      </c>
      <c r="S27" s="23">
        <f t="shared" ref="S27:S31" si="10">SUM(G27:R27)</f>
        <v>98404518</v>
      </c>
      <c r="T27" s="23">
        <f>10233000+9316105+11914306+8795679+5469040+4997031+4783550+5996550+8923425+12600000+10500000+10500000</f>
        <v>104028686</v>
      </c>
      <c r="U27" s="21">
        <f>S27/T27</f>
        <v>0.94593637374214268</v>
      </c>
      <c r="V27" s="24">
        <f t="shared" ref="V27:V31" si="11">S27/12</f>
        <v>8200376.5</v>
      </c>
    </row>
    <row r="28" spans="1:22" x14ac:dyDescent="0.25">
      <c r="A28" s="15"/>
      <c r="B28" s="16"/>
      <c r="C28" s="61"/>
      <c r="D28" s="16"/>
      <c r="E28" s="17" t="s">
        <v>30</v>
      </c>
      <c r="F28" s="18"/>
      <c r="G28" s="22">
        <v>24219000</v>
      </c>
      <c r="H28" s="22">
        <v>17216000</v>
      </c>
      <c r="I28" s="22">
        <v>22560000</v>
      </c>
      <c r="J28" s="22">
        <v>15898000</v>
      </c>
      <c r="K28" s="22">
        <v>10748000</v>
      </c>
      <c r="L28" s="22">
        <v>13808000</v>
      </c>
      <c r="M28" s="22">
        <v>12106000</v>
      </c>
      <c r="N28" s="22">
        <v>11966500</v>
      </c>
      <c r="O28" s="22">
        <v>15311900</v>
      </c>
      <c r="P28" s="111">
        <v>16135000</v>
      </c>
      <c r="Q28" s="102">
        <v>9199000</v>
      </c>
      <c r="R28" s="121">
        <v>14522000</v>
      </c>
      <c r="S28" s="23">
        <f t="shared" si="10"/>
        <v>183689400</v>
      </c>
      <c r="T28" s="23">
        <f>20652455+20104858+20228206+17920159+12839606+18681731+10649400+10069250+15803550+12050000+14150000+12050000</f>
        <v>185199215</v>
      </c>
      <c r="U28" s="21">
        <f t="shared" ref="U28:U29" si="12">S28/T28</f>
        <v>0.99184761663271626</v>
      </c>
      <c r="V28" s="24">
        <f t="shared" si="11"/>
        <v>15307450</v>
      </c>
    </row>
    <row r="29" spans="1:22" x14ac:dyDescent="0.25">
      <c r="A29" s="15"/>
      <c r="B29" s="16"/>
      <c r="C29" s="61"/>
      <c r="D29" s="16"/>
      <c r="E29" s="17" t="s">
        <v>31</v>
      </c>
      <c r="F29" s="18"/>
      <c r="G29" s="22">
        <v>2762500</v>
      </c>
      <c r="H29" s="22">
        <v>1529800</v>
      </c>
      <c r="I29" s="22">
        <v>2995000</v>
      </c>
      <c r="J29" s="22">
        <v>1956500</v>
      </c>
      <c r="K29" s="22">
        <v>1934000</v>
      </c>
      <c r="L29" s="22">
        <v>2422000</v>
      </c>
      <c r="M29" s="22">
        <v>1846000</v>
      </c>
      <c r="N29" s="22">
        <v>3020000</v>
      </c>
      <c r="O29" s="22">
        <v>3996000</v>
      </c>
      <c r="P29" s="111">
        <v>3754000</v>
      </c>
      <c r="Q29" s="102">
        <v>2637500</v>
      </c>
      <c r="R29" s="121">
        <v>3188000</v>
      </c>
      <c r="S29" s="23">
        <f>SUM(G29:R29)</f>
        <v>32041300</v>
      </c>
      <c r="T29" s="23">
        <f>1555000+2688000+2714696+1340808+2583043+1377618+754950+346500+1344525+2625000+2100000+2415000</f>
        <v>21845140</v>
      </c>
      <c r="U29" s="21">
        <f t="shared" si="12"/>
        <v>1.46674729482164</v>
      </c>
      <c r="V29" s="24">
        <f t="shared" si="11"/>
        <v>2670108.3333333335</v>
      </c>
    </row>
    <row r="30" spans="1:22" x14ac:dyDescent="0.25">
      <c r="A30" s="26"/>
      <c r="B30" s="27"/>
      <c r="C30" s="63"/>
      <c r="D30" s="27"/>
      <c r="E30" s="28" t="s">
        <v>32</v>
      </c>
      <c r="F30" s="29"/>
      <c r="G30" s="32">
        <v>2636000</v>
      </c>
      <c r="H30" s="32">
        <v>2868000</v>
      </c>
      <c r="I30" s="32">
        <v>4958500</v>
      </c>
      <c r="J30" s="32">
        <v>2477000</v>
      </c>
      <c r="K30" s="32">
        <v>2725000</v>
      </c>
      <c r="L30" s="32">
        <v>2895000</v>
      </c>
      <c r="M30" s="32">
        <v>2505000</v>
      </c>
      <c r="N30" s="32">
        <v>3791000</v>
      </c>
      <c r="O30" s="32">
        <v>3737000</v>
      </c>
      <c r="P30" s="112">
        <v>3747000</v>
      </c>
      <c r="Q30" s="105">
        <v>2809000</v>
      </c>
      <c r="R30" s="124">
        <v>3059500</v>
      </c>
      <c r="S30" s="23">
        <f t="shared" si="10"/>
        <v>38208000</v>
      </c>
      <c r="T30" s="23">
        <f>3598250+2395050+3008949+2893240+1947592+1741825+2672250+1753500+2105500+3675000+3150000+3150000</f>
        <v>32091156</v>
      </c>
      <c r="U30" s="21">
        <f t="shared" ref="U30:U31" si="13">S30/T30</f>
        <v>1.1906084031376121</v>
      </c>
      <c r="V30" s="24">
        <f t="shared" si="11"/>
        <v>3184000</v>
      </c>
    </row>
    <row r="31" spans="1:22" ht="15.75" thickBot="1" x14ac:dyDescent="0.3">
      <c r="A31" s="26"/>
      <c r="B31" s="27"/>
      <c r="C31" s="63"/>
      <c r="D31" s="27"/>
      <c r="E31" s="28" t="s">
        <v>25</v>
      </c>
      <c r="F31" s="29"/>
      <c r="G31" s="30">
        <v>500000</v>
      </c>
      <c r="H31" s="30">
        <v>800000</v>
      </c>
      <c r="I31" s="30">
        <v>330000</v>
      </c>
      <c r="J31" s="30">
        <v>110000</v>
      </c>
      <c r="K31" s="30">
        <v>0</v>
      </c>
      <c r="L31" s="30">
        <v>0</v>
      </c>
      <c r="M31" s="30">
        <v>220000</v>
      </c>
      <c r="N31" s="30">
        <v>825000</v>
      </c>
      <c r="O31" s="30">
        <v>565000</v>
      </c>
      <c r="P31" s="114">
        <v>420000</v>
      </c>
      <c r="Q31" s="107">
        <v>555000</v>
      </c>
      <c r="R31" s="126">
        <v>365000</v>
      </c>
      <c r="S31" s="23">
        <f t="shared" si="10"/>
        <v>4690000</v>
      </c>
      <c r="T31" s="23">
        <f>0+0+2610000+898590+657600+579000+0+0+0+1365000+1050000+945000</f>
        <v>8105190</v>
      </c>
      <c r="U31" s="21">
        <f t="shared" si="13"/>
        <v>0.57864158644029318</v>
      </c>
      <c r="V31" s="24">
        <f t="shared" si="11"/>
        <v>390833.33333333331</v>
      </c>
    </row>
    <row r="32" spans="1:22" s="53" customFormat="1" ht="15.75" thickBot="1" x14ac:dyDescent="0.3">
      <c r="A32" s="45"/>
      <c r="B32" s="46"/>
      <c r="C32" s="62"/>
      <c r="D32" s="46"/>
      <c r="E32" s="47"/>
      <c r="F32" s="48"/>
      <c r="G32" s="88">
        <f t="shared" ref="G32" si="14">SUM(G27:G31)</f>
        <v>38675500</v>
      </c>
      <c r="H32" s="88">
        <f t="shared" ref="H32:T32" si="15">SUM(H27:H31)</f>
        <v>32033800</v>
      </c>
      <c r="I32" s="88">
        <f t="shared" si="15"/>
        <v>41638500</v>
      </c>
      <c r="J32" s="88">
        <f t="shared" si="15"/>
        <v>29710500</v>
      </c>
      <c r="K32" s="88">
        <f t="shared" si="15"/>
        <v>23209000</v>
      </c>
      <c r="L32" s="88">
        <f t="shared" ref="L32:M32" si="16">SUM(L27:L31)</f>
        <v>27677018</v>
      </c>
      <c r="M32" s="88">
        <f t="shared" si="16"/>
        <v>25460000</v>
      </c>
      <c r="N32" s="88">
        <f t="shared" ref="N32:P32" si="17">SUM(N27:N31)</f>
        <v>27062500</v>
      </c>
      <c r="O32" s="88">
        <f t="shared" si="17"/>
        <v>29117400</v>
      </c>
      <c r="P32" s="88">
        <f t="shared" si="17"/>
        <v>35092000</v>
      </c>
      <c r="Q32" s="119">
        <f t="shared" ref="Q32" si="18">SUM(Q27:Q31)</f>
        <v>20402500</v>
      </c>
      <c r="R32" s="88">
        <f>SUM(R27:R31)</f>
        <v>26954500</v>
      </c>
      <c r="S32" s="50">
        <f t="shared" si="15"/>
        <v>357033218</v>
      </c>
      <c r="T32" s="50">
        <f t="shared" si="15"/>
        <v>351269387</v>
      </c>
      <c r="U32" s="51">
        <f>S32/T32</f>
        <v>1.0164085776139666</v>
      </c>
      <c r="V32" s="50">
        <f>SUM(V27:V31)</f>
        <v>29752768.166666664</v>
      </c>
    </row>
    <row r="33" spans="1:22" x14ac:dyDescent="0.25">
      <c r="A33" s="8"/>
      <c r="B33" s="9"/>
      <c r="C33" s="60"/>
      <c r="D33" s="9"/>
      <c r="E33" s="10"/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0"/>
      <c r="Q33" s="11"/>
      <c r="R33" s="9"/>
      <c r="S33" s="13"/>
      <c r="T33" s="13"/>
      <c r="U33" s="14"/>
      <c r="V33" s="13"/>
    </row>
    <row r="34" spans="1:22" x14ac:dyDescent="0.25">
      <c r="A34" s="15">
        <v>4</v>
      </c>
      <c r="B34" s="16" t="s">
        <v>79</v>
      </c>
      <c r="C34" s="61" t="s">
        <v>33</v>
      </c>
      <c r="D34" s="38" t="s">
        <v>34</v>
      </c>
      <c r="E34" s="17"/>
      <c r="F34" s="18" t="s">
        <v>9</v>
      </c>
      <c r="G34" s="19"/>
      <c r="H34" s="19"/>
      <c r="I34" s="19"/>
      <c r="J34" s="19"/>
      <c r="K34" s="19"/>
      <c r="L34" s="19"/>
      <c r="M34" s="19"/>
      <c r="N34" s="19"/>
      <c r="O34" s="19"/>
      <c r="P34" s="17"/>
      <c r="Q34" s="18"/>
      <c r="R34" s="16"/>
      <c r="S34" s="20"/>
      <c r="T34" s="20"/>
      <c r="U34" s="21"/>
      <c r="V34" s="20"/>
    </row>
    <row r="35" spans="1:22" x14ac:dyDescent="0.25">
      <c r="A35" s="15"/>
      <c r="B35" s="16" t="s">
        <v>10</v>
      </c>
      <c r="C35" s="61" t="s">
        <v>35</v>
      </c>
      <c r="D35" s="16"/>
      <c r="E35" s="17" t="s">
        <v>36</v>
      </c>
      <c r="F35" s="18" t="s">
        <v>13</v>
      </c>
      <c r="G35" s="22">
        <v>21205000</v>
      </c>
      <c r="H35" s="22">
        <v>23612500</v>
      </c>
      <c r="I35" s="22">
        <v>24806000</v>
      </c>
      <c r="J35" s="22">
        <v>25935000</v>
      </c>
      <c r="K35" s="22">
        <v>24359666</v>
      </c>
      <c r="L35" s="22">
        <v>29412000</v>
      </c>
      <c r="M35" s="22">
        <v>32685000</v>
      </c>
      <c r="N35" s="22">
        <v>33475000</v>
      </c>
      <c r="O35" s="22">
        <v>25160000</v>
      </c>
      <c r="P35" s="111">
        <v>32240000</v>
      </c>
      <c r="Q35" s="102">
        <v>25396000</v>
      </c>
      <c r="R35" s="121">
        <v>25662000</v>
      </c>
      <c r="S35" s="23">
        <f t="shared" ref="S35:S42" si="19">SUM(G35:R35)</f>
        <v>323948166</v>
      </c>
      <c r="T35" s="23">
        <f>21285000+27625500+30779000+26029935+24341560+21625189+15566900+18643800+23625000+23100000+24150000+23100000</f>
        <v>279871884</v>
      </c>
      <c r="U35" s="21">
        <f t="shared" ref="U35:U42" si="20">S35/T35</f>
        <v>1.1574873523201066</v>
      </c>
      <c r="V35" s="24">
        <f t="shared" ref="V35:V42" si="21">S35/12</f>
        <v>26995680.5</v>
      </c>
    </row>
    <row r="36" spans="1:22" x14ac:dyDescent="0.25">
      <c r="A36" s="15"/>
      <c r="B36" s="16"/>
      <c r="C36" s="61" t="s">
        <v>94</v>
      </c>
      <c r="D36" s="16"/>
      <c r="E36" s="17" t="s">
        <v>37</v>
      </c>
      <c r="F36" s="18" t="s">
        <v>13</v>
      </c>
      <c r="G36" s="22">
        <v>29345000</v>
      </c>
      <c r="H36" s="22">
        <v>25390000</v>
      </c>
      <c r="I36" s="22">
        <v>20392500</v>
      </c>
      <c r="J36" s="22">
        <v>24105000</v>
      </c>
      <c r="K36" s="22">
        <v>25522500</v>
      </c>
      <c r="L36" s="22">
        <v>20767500</v>
      </c>
      <c r="M36" s="22">
        <v>25802500</v>
      </c>
      <c r="N36" s="22">
        <v>18594500</v>
      </c>
      <c r="O36" s="22">
        <v>23462500</v>
      </c>
      <c r="P36" s="111">
        <v>26249000</v>
      </c>
      <c r="Q36" s="102">
        <v>30725000</v>
      </c>
      <c r="R36" s="121">
        <v>16539000</v>
      </c>
      <c r="S36" s="23">
        <f t="shared" si="19"/>
        <v>286895000</v>
      </c>
      <c r="T36" s="23">
        <f>30565000+28334250+24617250+24638288+22766660+22417098+25672750+32200875+35852250+37300000+36250000+37300000</f>
        <v>357914421</v>
      </c>
      <c r="U36" s="21">
        <f t="shared" si="20"/>
        <v>0.8015742958845461</v>
      </c>
      <c r="V36" s="24">
        <f t="shared" si="21"/>
        <v>23907916.666666668</v>
      </c>
    </row>
    <row r="37" spans="1:22" x14ac:dyDescent="0.25">
      <c r="A37" s="15"/>
      <c r="B37" s="16"/>
      <c r="C37" s="61" t="s">
        <v>38</v>
      </c>
      <c r="D37" s="16"/>
      <c r="E37" s="17" t="s">
        <v>39</v>
      </c>
      <c r="F37" s="18" t="s">
        <v>13</v>
      </c>
      <c r="G37" s="22">
        <v>20631900</v>
      </c>
      <c r="H37" s="22">
        <v>10824166</v>
      </c>
      <c r="I37" s="22">
        <v>16310000</v>
      </c>
      <c r="J37" s="22">
        <v>13865000</v>
      </c>
      <c r="K37" s="22">
        <v>15470000</v>
      </c>
      <c r="L37" s="22">
        <v>13095000</v>
      </c>
      <c r="M37" s="22">
        <v>6065500</v>
      </c>
      <c r="N37" s="22">
        <v>9867000</v>
      </c>
      <c r="O37" s="22">
        <v>10880000</v>
      </c>
      <c r="P37" s="111">
        <v>18362047</v>
      </c>
      <c r="Q37" s="102">
        <v>19031023</v>
      </c>
      <c r="R37" s="121">
        <v>13673332</v>
      </c>
      <c r="S37" s="23">
        <f t="shared" si="19"/>
        <v>168074968</v>
      </c>
      <c r="T37" s="23">
        <f>10005000+8296999+8379498+12212374+9307216+12323967+8757999+9099998+10902497+24994200+19759750+19718500</f>
        <v>153757998</v>
      </c>
      <c r="U37" s="21">
        <f t="shared" si="20"/>
        <v>1.0931136603378511</v>
      </c>
      <c r="V37" s="24">
        <f t="shared" si="21"/>
        <v>14006247.333333334</v>
      </c>
    </row>
    <row r="38" spans="1:22" x14ac:dyDescent="0.25">
      <c r="A38" s="15"/>
      <c r="B38" s="16"/>
      <c r="C38" s="61"/>
      <c r="D38" s="16"/>
      <c r="E38" s="17" t="s">
        <v>40</v>
      </c>
      <c r="F38" s="18"/>
      <c r="G38" s="22">
        <v>620000</v>
      </c>
      <c r="H38" s="22">
        <v>0</v>
      </c>
      <c r="I38" s="22">
        <v>2260000</v>
      </c>
      <c r="J38" s="22">
        <v>0</v>
      </c>
      <c r="K38" s="22"/>
      <c r="L38" s="22">
        <v>1000000</v>
      </c>
      <c r="M38" s="22">
        <v>0</v>
      </c>
      <c r="N38" s="22">
        <v>1420000</v>
      </c>
      <c r="O38" s="22">
        <v>2100000</v>
      </c>
      <c r="P38" s="111">
        <v>1760000</v>
      </c>
      <c r="Q38" s="102">
        <v>0</v>
      </c>
      <c r="R38" s="121"/>
      <c r="S38" s="23">
        <f t="shared" si="19"/>
        <v>9160000</v>
      </c>
      <c r="T38" s="23">
        <f>0+0+0+0+0+0+0+0+0+0+0+0</f>
        <v>0</v>
      </c>
      <c r="U38" s="21" t="e">
        <f t="shared" si="20"/>
        <v>#DIV/0!</v>
      </c>
      <c r="V38" s="24">
        <f t="shared" si="21"/>
        <v>763333.33333333337</v>
      </c>
    </row>
    <row r="39" spans="1:22" x14ac:dyDescent="0.25">
      <c r="A39" s="15"/>
      <c r="B39" s="16"/>
      <c r="C39" s="61"/>
      <c r="D39" s="16"/>
      <c r="E39" s="17" t="s">
        <v>41</v>
      </c>
      <c r="F39" s="18"/>
      <c r="G39" s="22">
        <v>16106190</v>
      </c>
      <c r="H39" s="22">
        <v>13150000</v>
      </c>
      <c r="I39" s="22">
        <v>13365000</v>
      </c>
      <c r="J39" s="22">
        <v>20262000</v>
      </c>
      <c r="K39" s="22">
        <v>21016500</v>
      </c>
      <c r="L39" s="22">
        <v>21846500</v>
      </c>
      <c r="M39" s="22">
        <v>23246000</v>
      </c>
      <c r="N39" s="22">
        <v>25590000</v>
      </c>
      <c r="O39" s="22">
        <v>19490000</v>
      </c>
      <c r="P39" s="111">
        <v>21615000</v>
      </c>
      <c r="Q39" s="102">
        <v>24897500</v>
      </c>
      <c r="R39" s="121">
        <v>21683333</v>
      </c>
      <c r="S39" s="23">
        <f t="shared" si="19"/>
        <v>242268023</v>
      </c>
      <c r="T39" s="23">
        <f>18070000+10339875+25668550+16574595+14619596+12147282+11098500+21613850+22803474+23274300+23987250+23100000</f>
        <v>223297272</v>
      </c>
      <c r="U39" s="21">
        <f t="shared" si="20"/>
        <v>1.084957379147919</v>
      </c>
      <c r="V39" s="24">
        <f t="shared" si="21"/>
        <v>20189001.916666668</v>
      </c>
    </row>
    <row r="40" spans="1:22" x14ac:dyDescent="0.25">
      <c r="A40" s="15"/>
      <c r="B40" s="16"/>
      <c r="C40" s="61"/>
      <c r="D40" s="16"/>
      <c r="E40" s="17" t="s">
        <v>42</v>
      </c>
      <c r="F40" s="18"/>
      <c r="G40" s="22">
        <v>0</v>
      </c>
      <c r="H40" s="22">
        <v>0</v>
      </c>
      <c r="I40" s="22">
        <v>0</v>
      </c>
      <c r="J40" s="22">
        <v>0</v>
      </c>
      <c r="K40" s="22"/>
      <c r="L40" s="22">
        <v>0</v>
      </c>
      <c r="M40" s="22">
        <v>0</v>
      </c>
      <c r="N40" s="22">
        <v>0</v>
      </c>
      <c r="O40" s="22">
        <v>0</v>
      </c>
      <c r="P40" s="111">
        <v>0</v>
      </c>
      <c r="Q40" s="102">
        <v>0</v>
      </c>
      <c r="R40" s="121"/>
      <c r="S40" s="23">
        <f t="shared" si="19"/>
        <v>0</v>
      </c>
      <c r="T40" s="23">
        <f>0+0+0+0+0+0+0+0+0+0+0+0</f>
        <v>0</v>
      </c>
      <c r="U40" s="21" t="e">
        <f t="shared" si="20"/>
        <v>#DIV/0!</v>
      </c>
      <c r="V40" s="24">
        <f t="shared" si="21"/>
        <v>0</v>
      </c>
    </row>
    <row r="41" spans="1:22" x14ac:dyDescent="0.25">
      <c r="A41" s="15"/>
      <c r="B41" s="16"/>
      <c r="C41" s="61"/>
      <c r="D41" s="16"/>
      <c r="E41" s="17" t="s">
        <v>43</v>
      </c>
      <c r="F41" s="18"/>
      <c r="G41" s="22">
        <v>8072000</v>
      </c>
      <c r="H41" s="22">
        <v>4825000</v>
      </c>
      <c r="I41" s="22">
        <v>2450000</v>
      </c>
      <c r="J41" s="22">
        <v>3505000</v>
      </c>
      <c r="K41" s="22">
        <v>1795000</v>
      </c>
      <c r="L41" s="22">
        <v>2880000</v>
      </c>
      <c r="M41" s="22">
        <v>3795000</v>
      </c>
      <c r="N41" s="22">
        <v>1990000</v>
      </c>
      <c r="O41" s="22">
        <v>2435000</v>
      </c>
      <c r="P41" s="111">
        <v>2175000</v>
      </c>
      <c r="Q41" s="102">
        <v>3495000</v>
      </c>
      <c r="R41" s="121">
        <v>1560000</v>
      </c>
      <c r="S41" s="23">
        <f t="shared" si="19"/>
        <v>38977000</v>
      </c>
      <c r="T41" s="23">
        <f>5720000+3732750+3963750+4072830+5885520+4994412+3354750+2898000+4347000+5250000+5250000+5250000</f>
        <v>54719012</v>
      </c>
      <c r="U41" s="21">
        <f t="shared" si="20"/>
        <v>0.71231183779414731</v>
      </c>
      <c r="V41" s="24">
        <f t="shared" si="21"/>
        <v>3248083.3333333335</v>
      </c>
    </row>
    <row r="42" spans="1:22" ht="15.75" thickBot="1" x14ac:dyDescent="0.3">
      <c r="A42" s="26"/>
      <c r="B42" s="27"/>
      <c r="C42" s="63"/>
      <c r="D42" s="27"/>
      <c r="E42" s="28" t="s">
        <v>44</v>
      </c>
      <c r="F42" s="29"/>
      <c r="G42" s="32">
        <v>0</v>
      </c>
      <c r="H42" s="32">
        <v>0</v>
      </c>
      <c r="I42" s="32">
        <v>0</v>
      </c>
      <c r="J42" s="32">
        <v>0</v>
      </c>
      <c r="K42" s="32"/>
      <c r="L42" s="32">
        <v>0</v>
      </c>
      <c r="M42" s="32">
        <v>0</v>
      </c>
      <c r="N42" s="32">
        <v>0</v>
      </c>
      <c r="O42" s="32">
        <v>0</v>
      </c>
      <c r="P42" s="112">
        <v>0</v>
      </c>
      <c r="Q42" s="105">
        <v>0</v>
      </c>
      <c r="R42" s="124"/>
      <c r="S42" s="23">
        <f t="shared" si="19"/>
        <v>0</v>
      </c>
      <c r="T42" s="23">
        <f>0+0+0+0+0+0+0+0+0+0+0+0</f>
        <v>0</v>
      </c>
      <c r="U42" s="21" t="e">
        <f t="shared" si="20"/>
        <v>#DIV/0!</v>
      </c>
      <c r="V42" s="24">
        <f t="shared" si="21"/>
        <v>0</v>
      </c>
    </row>
    <row r="43" spans="1:22" s="53" customFormat="1" ht="15.75" thickBot="1" x14ac:dyDescent="0.3">
      <c r="A43" s="45"/>
      <c r="B43" s="46"/>
      <c r="C43" s="62"/>
      <c r="D43" s="46"/>
      <c r="E43" s="47"/>
      <c r="F43" s="48"/>
      <c r="G43" s="54">
        <f t="shared" ref="G43:H43" si="22">SUM(G35:G42)</f>
        <v>95980090</v>
      </c>
      <c r="H43" s="54">
        <f t="shared" si="22"/>
        <v>77801666</v>
      </c>
      <c r="I43" s="54">
        <f t="shared" ref="I43" si="23">SUM(I35:I42)</f>
        <v>79583500</v>
      </c>
      <c r="J43" s="54">
        <f t="shared" ref="J43:T43" si="24">SUM(J35:J42)</f>
        <v>87672000</v>
      </c>
      <c r="K43" s="54">
        <f t="shared" si="24"/>
        <v>88163666</v>
      </c>
      <c r="L43" s="54">
        <f t="shared" si="24"/>
        <v>89001000</v>
      </c>
      <c r="M43" s="54">
        <f t="shared" si="24"/>
        <v>91594000</v>
      </c>
      <c r="N43" s="54">
        <f t="shared" ref="N43:P43" si="25">SUM(N35:N42)</f>
        <v>90936500</v>
      </c>
      <c r="O43" s="54">
        <f t="shared" si="25"/>
        <v>83527500</v>
      </c>
      <c r="P43" s="54">
        <f t="shared" si="25"/>
        <v>102401047</v>
      </c>
      <c r="Q43" s="109">
        <f t="shared" ref="Q43:R43" si="26">SUM(Q35:Q42)</f>
        <v>103544523</v>
      </c>
      <c r="R43" s="54">
        <f t="shared" si="26"/>
        <v>79117665</v>
      </c>
      <c r="S43" s="55">
        <f t="shared" si="24"/>
        <v>1069323157</v>
      </c>
      <c r="T43" s="55">
        <f t="shared" si="24"/>
        <v>1069560587</v>
      </c>
      <c r="U43" s="51">
        <f>S43/T43</f>
        <v>0.99977801164058788</v>
      </c>
      <c r="V43" s="55">
        <f>SUM(V35:V42)</f>
        <v>89110263.083333343</v>
      </c>
    </row>
    <row r="44" spans="1:22" s="53" customFormat="1" ht="15.75" thickBot="1" x14ac:dyDescent="0.3">
      <c r="A44" s="56"/>
      <c r="B44" s="72"/>
      <c r="C44" s="73"/>
      <c r="D44" s="72"/>
      <c r="E44" s="74"/>
      <c r="F44" s="57"/>
      <c r="G44" s="75">
        <f t="shared" ref="G44:T44" si="27">G15+G24+G32+G43</f>
        <v>285066570</v>
      </c>
      <c r="H44" s="75">
        <f t="shared" si="27"/>
        <v>256654866</v>
      </c>
      <c r="I44" s="75">
        <f t="shared" si="27"/>
        <v>279518880</v>
      </c>
      <c r="J44" s="75">
        <f t="shared" ref="J44:P44" si="28">J15+J24+J32+J43</f>
        <v>254156560</v>
      </c>
      <c r="K44" s="75">
        <f t="shared" si="28"/>
        <v>227959918</v>
      </c>
      <c r="L44" s="75">
        <f t="shared" si="28"/>
        <v>267850327</v>
      </c>
      <c r="M44" s="75">
        <f t="shared" si="28"/>
        <v>252496658</v>
      </c>
      <c r="N44" s="75">
        <f t="shared" si="28"/>
        <v>245019042</v>
      </c>
      <c r="O44" s="75">
        <f t="shared" si="28"/>
        <v>258910456</v>
      </c>
      <c r="P44" s="75">
        <f t="shared" si="28"/>
        <v>295994240</v>
      </c>
      <c r="Q44" s="66">
        <f t="shared" ref="Q44:R44" si="29">Q15+Q24+Q32+Q43</f>
        <v>251136723</v>
      </c>
      <c r="R44" s="75">
        <f t="shared" si="29"/>
        <v>239185165</v>
      </c>
      <c r="S44" s="91">
        <f t="shared" si="27"/>
        <v>3113949405</v>
      </c>
      <c r="T44" s="81">
        <f t="shared" si="27"/>
        <v>3012429069</v>
      </c>
      <c r="U44" s="83">
        <f>S44/T44</f>
        <v>1.0337004900944275</v>
      </c>
      <c r="V44" s="75">
        <f>V15+V24+V32+V43</f>
        <v>259495783.75</v>
      </c>
    </row>
    <row r="45" spans="1:22" x14ac:dyDescent="0.25">
      <c r="A45" s="8">
        <v>5</v>
      </c>
      <c r="B45" s="9" t="s">
        <v>79</v>
      </c>
      <c r="C45" s="60" t="s">
        <v>80</v>
      </c>
      <c r="D45" s="40" t="s">
        <v>46</v>
      </c>
      <c r="E45" s="10"/>
      <c r="F45" s="11" t="s">
        <v>13</v>
      </c>
      <c r="G45" s="12"/>
      <c r="H45" s="12"/>
      <c r="I45" s="12"/>
      <c r="J45" s="12"/>
      <c r="K45" s="12"/>
      <c r="L45" s="12"/>
      <c r="M45" s="12"/>
      <c r="N45" s="12"/>
      <c r="O45" s="12"/>
      <c r="P45" s="10"/>
      <c r="Q45" s="11"/>
      <c r="R45" s="9"/>
      <c r="S45" s="13"/>
      <c r="T45" s="13"/>
      <c r="U45" s="14"/>
      <c r="V45" s="13"/>
    </row>
    <row r="46" spans="1:22" x14ac:dyDescent="0.25">
      <c r="A46" s="15"/>
      <c r="B46" s="16"/>
      <c r="C46" s="61" t="s">
        <v>91</v>
      </c>
      <c r="D46" s="16"/>
      <c r="E46" s="17" t="s">
        <v>47</v>
      </c>
      <c r="F46" s="18"/>
      <c r="G46" s="22">
        <v>160000</v>
      </c>
      <c r="H46" s="22">
        <v>552500</v>
      </c>
      <c r="I46" s="22">
        <v>700000</v>
      </c>
      <c r="J46" s="22">
        <v>0</v>
      </c>
      <c r="K46" s="22">
        <v>397000</v>
      </c>
      <c r="L46" s="22">
        <v>100000</v>
      </c>
      <c r="M46" s="22">
        <v>210000</v>
      </c>
      <c r="N46" s="22">
        <v>122000</v>
      </c>
      <c r="O46" s="22">
        <v>410000</v>
      </c>
      <c r="P46" s="111">
        <v>210000</v>
      </c>
      <c r="Q46" s="102">
        <v>180000</v>
      </c>
      <c r="R46" s="121">
        <v>160000</v>
      </c>
      <c r="S46" s="23">
        <f t="shared" ref="S46:S49" si="30">SUM(G46:R46)</f>
        <v>3201500</v>
      </c>
      <c r="T46" s="23">
        <f>307000+231000+687750+393279+756240+685150+309750+477750+294000+1050000+392700+584850</f>
        <v>6169469</v>
      </c>
      <c r="U46" s="21">
        <f t="shared" ref="U46:U49" si="31">S46/T46</f>
        <v>0.51892634520085923</v>
      </c>
      <c r="V46" s="24">
        <f t="shared" ref="V46:V49" si="32">S46/12</f>
        <v>266791.66666666669</v>
      </c>
    </row>
    <row r="47" spans="1:22" x14ac:dyDescent="0.25">
      <c r="A47" s="15"/>
      <c r="B47" s="16"/>
      <c r="C47" s="61"/>
      <c r="D47" s="16"/>
      <c r="E47" s="17" t="s">
        <v>48</v>
      </c>
      <c r="F47" s="18"/>
      <c r="G47" s="22">
        <v>12002500</v>
      </c>
      <c r="H47" s="22">
        <v>14383000</v>
      </c>
      <c r="I47" s="22">
        <v>10365000</v>
      </c>
      <c r="J47" s="22">
        <v>12284090</v>
      </c>
      <c r="K47" s="22">
        <v>12318000</v>
      </c>
      <c r="L47" s="22">
        <v>13092000</v>
      </c>
      <c r="M47" s="22">
        <v>9912500</v>
      </c>
      <c r="N47" s="22">
        <v>11147000</v>
      </c>
      <c r="O47" s="22">
        <v>24222500</v>
      </c>
      <c r="P47" s="111">
        <v>18165000</v>
      </c>
      <c r="Q47" s="102">
        <v>12142000</v>
      </c>
      <c r="R47" s="121">
        <v>5335000</v>
      </c>
      <c r="S47" s="23">
        <f t="shared" si="30"/>
        <v>155368590</v>
      </c>
      <c r="T47" s="23">
        <f>21073216+20007000+21024587+20168428+16187976+13895560+9124185+11936972+24379524+26375000+21000000+21000000</f>
        <v>226172448</v>
      </c>
      <c r="U47" s="21">
        <f t="shared" si="31"/>
        <v>0.68694746585578803</v>
      </c>
      <c r="V47" s="24">
        <f t="shared" si="32"/>
        <v>12947382.5</v>
      </c>
    </row>
    <row r="48" spans="1:22" x14ac:dyDescent="0.25">
      <c r="A48" s="15"/>
      <c r="B48" s="16"/>
      <c r="C48" s="61"/>
      <c r="D48" s="16"/>
      <c r="E48" s="17" t="s">
        <v>49</v>
      </c>
      <c r="F48" s="18"/>
      <c r="G48" s="22">
        <v>8612000</v>
      </c>
      <c r="H48" s="22">
        <v>8826500</v>
      </c>
      <c r="I48" s="22">
        <v>8785000</v>
      </c>
      <c r="J48" s="22">
        <v>6656000</v>
      </c>
      <c r="K48" s="22">
        <v>8677000</v>
      </c>
      <c r="L48" s="22">
        <v>10353000</v>
      </c>
      <c r="M48" s="22">
        <v>10592500</v>
      </c>
      <c r="N48" s="22">
        <v>9087000</v>
      </c>
      <c r="O48" s="22">
        <v>15314000</v>
      </c>
      <c r="P48" s="111">
        <v>17887500</v>
      </c>
      <c r="Q48" s="102">
        <v>13236000</v>
      </c>
      <c r="R48" s="121">
        <v>6799000</v>
      </c>
      <c r="S48" s="23">
        <f t="shared" si="30"/>
        <v>124825500</v>
      </c>
      <c r="T48" s="23">
        <f>11870000+11208750+12321750+12070037+10123752+10309860+9450000+7965300+9642150+12600000+10500000+11550000</f>
        <v>129611599</v>
      </c>
      <c r="U48" s="21">
        <f t="shared" si="31"/>
        <v>0.96307352862763462</v>
      </c>
      <c r="V48" s="24">
        <f t="shared" si="32"/>
        <v>10402125</v>
      </c>
    </row>
    <row r="49" spans="1:22" ht="15.75" thickBot="1" x14ac:dyDescent="0.3">
      <c r="A49" s="26"/>
      <c r="B49" s="27"/>
      <c r="C49" s="63"/>
      <c r="D49" s="27"/>
      <c r="E49" s="28" t="s">
        <v>50</v>
      </c>
      <c r="F49" s="29"/>
      <c r="G49" s="32">
        <v>4549000</v>
      </c>
      <c r="H49" s="32">
        <v>9679404</v>
      </c>
      <c r="I49" s="32">
        <v>10363000</v>
      </c>
      <c r="J49" s="32">
        <v>9690000</v>
      </c>
      <c r="K49" s="32">
        <v>12701000</v>
      </c>
      <c r="L49" s="32">
        <v>13032500</v>
      </c>
      <c r="M49" s="32">
        <v>13756000</v>
      </c>
      <c r="N49" s="32">
        <v>13092500</v>
      </c>
      <c r="O49" s="32">
        <v>15892500</v>
      </c>
      <c r="P49" s="112">
        <v>12817000</v>
      </c>
      <c r="Q49" s="105">
        <v>6881000</v>
      </c>
      <c r="R49" s="124">
        <v>3149300</v>
      </c>
      <c r="S49" s="23">
        <f t="shared" si="30"/>
        <v>125603204</v>
      </c>
      <c r="T49" s="23">
        <f>8071000+8013100+9189350+8389270+6888060+6487255+6351725+7168875+7273600+8665000+8250000+8300000</f>
        <v>93047235</v>
      </c>
      <c r="U49" s="21">
        <f t="shared" si="31"/>
        <v>1.3498864743267223</v>
      </c>
      <c r="V49" s="24">
        <f t="shared" si="32"/>
        <v>10466933.666666666</v>
      </c>
    </row>
    <row r="50" spans="1:22" s="53" customFormat="1" ht="15.75" thickBot="1" x14ac:dyDescent="0.3">
      <c r="A50" s="45"/>
      <c r="B50" s="46"/>
      <c r="C50" s="62"/>
      <c r="D50" s="46"/>
      <c r="E50" s="47"/>
      <c r="F50" s="48"/>
      <c r="G50" s="54">
        <f t="shared" ref="G50:S50" si="33">SUM(G46:G49)</f>
        <v>25323500</v>
      </c>
      <c r="H50" s="54">
        <f t="shared" ref="H50:I50" si="34">SUM(H46:H49)</f>
        <v>33441404</v>
      </c>
      <c r="I50" s="54">
        <f t="shared" si="34"/>
        <v>30213000</v>
      </c>
      <c r="J50" s="54">
        <f t="shared" ref="J50:P50" si="35">SUM(J46:J49)</f>
        <v>28630090</v>
      </c>
      <c r="K50" s="54">
        <f t="shared" si="35"/>
        <v>34093000</v>
      </c>
      <c r="L50" s="54">
        <f t="shared" si="35"/>
        <v>36577500</v>
      </c>
      <c r="M50" s="54">
        <f t="shared" si="35"/>
        <v>34471000</v>
      </c>
      <c r="N50" s="54">
        <f t="shared" si="35"/>
        <v>33448500</v>
      </c>
      <c r="O50" s="54">
        <f t="shared" si="35"/>
        <v>55839000</v>
      </c>
      <c r="P50" s="54">
        <f t="shared" si="35"/>
        <v>49079500</v>
      </c>
      <c r="Q50" s="109">
        <f t="shared" ref="Q50:R50" si="36">SUM(Q46:Q49)</f>
        <v>32439000</v>
      </c>
      <c r="R50" s="54">
        <f t="shared" si="36"/>
        <v>15443300</v>
      </c>
      <c r="S50" s="50">
        <f t="shared" si="33"/>
        <v>408998794</v>
      </c>
      <c r="T50" s="50">
        <f>SUM(T46:T49)</f>
        <v>455000751</v>
      </c>
      <c r="U50" s="51">
        <f>S50/T50</f>
        <v>0.89889696467775715</v>
      </c>
      <c r="V50" s="50">
        <f>SUM(V46:V49)</f>
        <v>34083232.833333328</v>
      </c>
    </row>
    <row r="51" spans="1:22" x14ac:dyDescent="0.25">
      <c r="A51" s="8"/>
      <c r="B51" s="9"/>
      <c r="C51" s="60"/>
      <c r="D51" s="9"/>
      <c r="E51" s="10"/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0"/>
      <c r="Q51" s="11"/>
      <c r="R51" s="9"/>
      <c r="S51" s="13"/>
      <c r="T51" s="13"/>
      <c r="U51" s="14"/>
      <c r="V51" s="13"/>
    </row>
    <row r="52" spans="1:22" x14ac:dyDescent="0.25">
      <c r="A52" s="15">
        <v>6</v>
      </c>
      <c r="B52" s="16" t="s">
        <v>79</v>
      </c>
      <c r="C52" s="61" t="s">
        <v>81</v>
      </c>
      <c r="D52" s="38" t="s">
        <v>46</v>
      </c>
      <c r="E52" s="17"/>
      <c r="F52" s="18" t="s">
        <v>13</v>
      </c>
      <c r="G52" s="19"/>
      <c r="H52" s="19"/>
      <c r="I52" s="19"/>
      <c r="J52" s="19"/>
      <c r="K52" s="19"/>
      <c r="L52" s="19"/>
      <c r="M52" s="19"/>
      <c r="N52" s="19"/>
      <c r="O52" s="19"/>
      <c r="P52" s="17"/>
      <c r="Q52" s="18"/>
      <c r="R52" s="16"/>
      <c r="S52" s="20"/>
      <c r="T52" s="20"/>
      <c r="U52" s="21"/>
      <c r="V52" s="20"/>
    </row>
    <row r="53" spans="1:22" x14ac:dyDescent="0.25">
      <c r="A53" s="15"/>
      <c r="B53" s="16"/>
      <c r="C53" s="61" t="s">
        <v>84</v>
      </c>
      <c r="D53" s="16"/>
      <c r="E53" s="17" t="s">
        <v>51</v>
      </c>
      <c r="F53" s="18"/>
      <c r="G53" s="22">
        <v>24036000</v>
      </c>
      <c r="H53" s="22">
        <v>28369500</v>
      </c>
      <c r="I53" s="22">
        <v>25493000</v>
      </c>
      <c r="J53" s="22">
        <v>23470000</v>
      </c>
      <c r="K53" s="22">
        <v>11164904</v>
      </c>
      <c r="L53" s="22">
        <v>27092000</v>
      </c>
      <c r="M53" s="22">
        <v>21679000</v>
      </c>
      <c r="N53" s="22">
        <v>22741000</v>
      </c>
      <c r="O53" s="22">
        <v>21454000</v>
      </c>
      <c r="P53" s="111">
        <v>29475500</v>
      </c>
      <c r="Q53" s="102">
        <v>31254500</v>
      </c>
      <c r="R53" s="121">
        <v>31913500</v>
      </c>
      <c r="S53" s="23">
        <f t="shared" ref="S53:S56" si="37">SUM(G53:R53)</f>
        <v>298142904</v>
      </c>
      <c r="T53" s="23">
        <f>13798953+14609566+20714265+10855434+6214624+4898483+5520900+12005700+12329250+14800000+13500000+15750000</f>
        <v>144997175</v>
      </c>
      <c r="U53" s="21">
        <f t="shared" ref="U53:U56" si="38">S53/T53</f>
        <v>2.0561980190303708</v>
      </c>
      <c r="V53" s="24">
        <f t="shared" ref="V53:V56" si="39">S53/12</f>
        <v>24845242</v>
      </c>
    </row>
    <row r="54" spans="1:22" x14ac:dyDescent="0.25">
      <c r="A54" s="15"/>
      <c r="B54" s="16"/>
      <c r="C54" s="61"/>
      <c r="D54" s="16"/>
      <c r="E54" s="17" t="s">
        <v>52</v>
      </c>
      <c r="F54" s="18"/>
      <c r="G54" s="22">
        <v>33241761</v>
      </c>
      <c r="H54" s="22">
        <v>27704500</v>
      </c>
      <c r="I54" s="22">
        <v>36642500</v>
      </c>
      <c r="J54" s="22">
        <v>32472000</v>
      </c>
      <c r="K54" s="22">
        <v>22759000</v>
      </c>
      <c r="L54" s="22">
        <v>36732500</v>
      </c>
      <c r="M54" s="22">
        <v>36275500</v>
      </c>
      <c r="N54" s="22">
        <v>38295000</v>
      </c>
      <c r="O54" s="22">
        <v>41368000</v>
      </c>
      <c r="P54" s="111">
        <v>46271000</v>
      </c>
      <c r="Q54" s="102">
        <v>40005000</v>
      </c>
      <c r="R54" s="121">
        <v>38260000</v>
      </c>
      <c r="S54" s="23">
        <f t="shared" si="37"/>
        <v>430026761</v>
      </c>
      <c r="T54" s="23">
        <f>21558000+24958500+29070300+23629416+22434520+22365175+24500850+19168275+20751950+24150000+26250000+24150000</f>
        <v>282986986</v>
      </c>
      <c r="U54" s="21">
        <f t="shared" si="38"/>
        <v>1.5195990708915497</v>
      </c>
      <c r="V54" s="24">
        <f t="shared" si="39"/>
        <v>35835563.416666664</v>
      </c>
    </row>
    <row r="55" spans="1:22" x14ac:dyDescent="0.25">
      <c r="A55" s="15"/>
      <c r="B55" s="16"/>
      <c r="C55" s="61"/>
      <c r="D55" s="16"/>
      <c r="E55" s="17" t="s">
        <v>53</v>
      </c>
      <c r="F55" s="18"/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75000</v>
      </c>
      <c r="M55" s="22">
        <v>100000</v>
      </c>
      <c r="N55" s="22">
        <v>0</v>
      </c>
      <c r="O55" s="22">
        <v>0</v>
      </c>
      <c r="P55" s="111">
        <v>0</v>
      </c>
      <c r="Q55" s="102">
        <v>0</v>
      </c>
      <c r="R55" s="121"/>
      <c r="S55" s="23">
        <f t="shared" si="37"/>
        <v>175000</v>
      </c>
      <c r="T55" s="23">
        <f>210000+283500+845250+579999+531560+0+283500+0+267750+525000+420000+420000</f>
        <v>4366559</v>
      </c>
      <c r="U55" s="21">
        <f t="shared" si="38"/>
        <v>4.0077324043943985E-2</v>
      </c>
      <c r="V55" s="24">
        <f t="shared" si="39"/>
        <v>14583.333333333334</v>
      </c>
    </row>
    <row r="56" spans="1:22" ht="15.75" thickBot="1" x14ac:dyDescent="0.3">
      <c r="A56" s="15"/>
      <c r="B56" s="16"/>
      <c r="C56" s="61"/>
      <c r="D56" s="16"/>
      <c r="E56" s="28" t="s">
        <v>55</v>
      </c>
      <c r="F56" s="18"/>
      <c r="G56" s="22">
        <v>6790840</v>
      </c>
      <c r="H56" s="22">
        <v>1943000</v>
      </c>
      <c r="I56" s="22">
        <v>4090000</v>
      </c>
      <c r="J56" s="22">
        <v>1780000</v>
      </c>
      <c r="K56" s="22">
        <v>492000</v>
      </c>
      <c r="L56" s="22">
        <v>3530000</v>
      </c>
      <c r="M56" s="22">
        <v>3250000</v>
      </c>
      <c r="N56" s="22">
        <v>6910000</v>
      </c>
      <c r="O56" s="22">
        <v>2445000</v>
      </c>
      <c r="P56" s="111">
        <v>9055000</v>
      </c>
      <c r="Q56" s="102">
        <v>3777380</v>
      </c>
      <c r="R56" s="121">
        <v>2470000</v>
      </c>
      <c r="S56" s="23">
        <f t="shared" si="37"/>
        <v>46533220</v>
      </c>
      <c r="T56" s="23">
        <f>265000+0+157500+0+0+550050+840000+5554500+840000+315000+0+210000</f>
        <v>8732050</v>
      </c>
      <c r="U56" s="21">
        <f t="shared" si="38"/>
        <v>5.3290143780670061</v>
      </c>
      <c r="V56" s="24">
        <f t="shared" si="39"/>
        <v>3877768.3333333335</v>
      </c>
    </row>
    <row r="57" spans="1:22" s="53" customFormat="1" ht="15.75" thickBot="1" x14ac:dyDescent="0.3">
      <c r="A57" s="45"/>
      <c r="B57" s="46"/>
      <c r="C57" s="62"/>
      <c r="D57" s="46"/>
      <c r="E57" s="47"/>
      <c r="F57" s="48"/>
      <c r="G57" s="54">
        <f>SUM(G53:G56)</f>
        <v>64068601</v>
      </c>
      <c r="H57" s="54">
        <f t="shared" ref="H57:I57" si="40">SUM(H53:H56)</f>
        <v>58017000</v>
      </c>
      <c r="I57" s="54">
        <f t="shared" si="40"/>
        <v>66225500</v>
      </c>
      <c r="J57" s="54">
        <f t="shared" ref="J57:P57" si="41">SUM(J53:J56)</f>
        <v>57722000</v>
      </c>
      <c r="K57" s="54">
        <f t="shared" si="41"/>
        <v>34415904</v>
      </c>
      <c r="L57" s="54">
        <f t="shared" si="41"/>
        <v>67429500</v>
      </c>
      <c r="M57" s="54">
        <f t="shared" si="41"/>
        <v>61304500</v>
      </c>
      <c r="N57" s="54">
        <f t="shared" si="41"/>
        <v>67946000</v>
      </c>
      <c r="O57" s="54">
        <f t="shared" si="41"/>
        <v>65267000</v>
      </c>
      <c r="P57" s="54">
        <f t="shared" si="41"/>
        <v>84801500</v>
      </c>
      <c r="Q57" s="109">
        <f t="shared" ref="Q57:R57" si="42">SUM(Q53:Q56)</f>
        <v>75036880</v>
      </c>
      <c r="R57" s="54">
        <f t="shared" si="42"/>
        <v>72643500</v>
      </c>
      <c r="S57" s="84">
        <f t="shared" ref="S57" si="43">SUM(S53:S56)</f>
        <v>774877885</v>
      </c>
      <c r="T57" s="54">
        <f>SUM(T53:T56)</f>
        <v>441082770</v>
      </c>
      <c r="U57" s="51">
        <f>S57/T57</f>
        <v>1.7567629880441713</v>
      </c>
      <c r="V57" s="54">
        <f>SUM(V53:V56)</f>
        <v>64573157.083333336</v>
      </c>
    </row>
    <row r="58" spans="1:22" s="53" customFormat="1" ht="15.75" thickBot="1" x14ac:dyDescent="0.3">
      <c r="A58" s="56"/>
      <c r="B58" s="72"/>
      <c r="C58" s="73"/>
      <c r="D58" s="72"/>
      <c r="E58" s="74"/>
      <c r="F58" s="57"/>
      <c r="G58" s="75">
        <f t="shared" ref="G58:L58" si="44">G50+G57</f>
        <v>89392101</v>
      </c>
      <c r="H58" s="75">
        <f t="shared" si="44"/>
        <v>91458404</v>
      </c>
      <c r="I58" s="75">
        <f t="shared" si="44"/>
        <v>96438500</v>
      </c>
      <c r="J58" s="75">
        <f t="shared" si="44"/>
        <v>86352090</v>
      </c>
      <c r="K58" s="75">
        <f t="shared" si="44"/>
        <v>68508904</v>
      </c>
      <c r="L58" s="75">
        <f t="shared" si="44"/>
        <v>104007000</v>
      </c>
      <c r="M58" s="75">
        <f t="shared" ref="M58:N58" si="45">M50+M57</f>
        <v>95775500</v>
      </c>
      <c r="N58" s="75">
        <f t="shared" si="45"/>
        <v>101394500</v>
      </c>
      <c r="O58" s="75">
        <f t="shared" ref="O58:P58" si="46">O50+O57</f>
        <v>121106000</v>
      </c>
      <c r="P58" s="75">
        <f t="shared" si="46"/>
        <v>133881000</v>
      </c>
      <c r="Q58" s="66">
        <f t="shared" ref="Q58:R58" si="47">Q50+Q57</f>
        <v>107475880</v>
      </c>
      <c r="R58" s="75">
        <f t="shared" si="47"/>
        <v>88086800</v>
      </c>
      <c r="S58" s="75">
        <f t="shared" ref="S58:T58" si="48">S50+S57</f>
        <v>1183876679</v>
      </c>
      <c r="T58" s="75">
        <f t="shared" si="48"/>
        <v>896083521</v>
      </c>
      <c r="U58" s="83">
        <f>S58/T58</f>
        <v>1.3211677831981914</v>
      </c>
      <c r="V58" s="75">
        <f>V50+V57</f>
        <v>98656389.916666657</v>
      </c>
    </row>
    <row r="59" spans="1:22" x14ac:dyDescent="0.25">
      <c r="A59" s="8"/>
      <c r="B59" s="9"/>
      <c r="C59" s="60"/>
      <c r="D59" s="9"/>
      <c r="E59" s="10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0"/>
      <c r="Q59" s="11"/>
      <c r="R59" s="9"/>
      <c r="S59" s="23"/>
      <c r="T59" s="23"/>
      <c r="U59" s="21"/>
      <c r="V59" s="23"/>
    </row>
    <row r="60" spans="1:22" x14ac:dyDescent="0.25">
      <c r="A60" s="8">
        <v>7</v>
      </c>
      <c r="B60" s="9"/>
      <c r="C60" s="60"/>
      <c r="D60" s="38" t="s">
        <v>101</v>
      </c>
      <c r="E60" s="1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0"/>
      <c r="Q60" s="11"/>
      <c r="R60" s="9"/>
      <c r="S60" s="23"/>
      <c r="T60" s="23"/>
      <c r="U60" s="21"/>
      <c r="V60" s="23"/>
    </row>
    <row r="61" spans="1:22" x14ac:dyDescent="0.25">
      <c r="A61" s="8"/>
      <c r="B61" s="9"/>
      <c r="C61" s="60"/>
      <c r="D61" s="92"/>
      <c r="E61" s="17" t="s">
        <v>76</v>
      </c>
      <c r="F61" s="12"/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55000</v>
      </c>
      <c r="O61" s="22">
        <v>0</v>
      </c>
      <c r="P61" s="111">
        <v>0</v>
      </c>
      <c r="Q61" s="102">
        <v>0</v>
      </c>
      <c r="R61" s="121"/>
      <c r="S61" s="23">
        <f t="shared" ref="S61:S70" si="49">SUM(G61:R61)</f>
        <v>55000</v>
      </c>
      <c r="T61" s="23">
        <f>5000000+5000000+0+0+0+5275000+5275000+0+0+0+1025000+1025000</f>
        <v>22600000</v>
      </c>
      <c r="U61" s="21">
        <f>S61/T61</f>
        <v>2.4336283185840708E-3</v>
      </c>
      <c r="V61" s="24">
        <f t="shared" ref="V61:V70" si="50">S61/12</f>
        <v>4583.333333333333</v>
      </c>
    </row>
    <row r="62" spans="1:22" x14ac:dyDescent="0.25">
      <c r="A62" s="26"/>
      <c r="B62" s="27"/>
      <c r="C62" s="63"/>
      <c r="D62" s="27"/>
      <c r="E62" s="17" t="s">
        <v>75</v>
      </c>
      <c r="F62" s="29"/>
      <c r="G62" s="32">
        <v>7660600</v>
      </c>
      <c r="H62" s="32">
        <v>0</v>
      </c>
      <c r="I62" s="32">
        <v>0</v>
      </c>
      <c r="J62" s="32">
        <v>11500000</v>
      </c>
      <c r="K62" s="32">
        <v>9100000</v>
      </c>
      <c r="L62" s="32">
        <v>8473750</v>
      </c>
      <c r="M62" s="32">
        <v>14568000</v>
      </c>
      <c r="N62" s="32">
        <v>3900000</v>
      </c>
      <c r="O62" s="32">
        <v>5650000</v>
      </c>
      <c r="P62" s="112">
        <v>7950000</v>
      </c>
      <c r="Q62" s="105">
        <v>10300000</v>
      </c>
      <c r="R62" s="124">
        <v>10668000</v>
      </c>
      <c r="S62" s="23">
        <f t="shared" si="49"/>
        <v>89770350</v>
      </c>
      <c r="T62" s="23">
        <f>14325000+14325000+0+0+0+18325000+18325000+0+0+0+10150000+10150000</f>
        <v>85600000</v>
      </c>
      <c r="U62" s="21">
        <f t="shared" ref="U62" si="51">S62/T62</f>
        <v>1.0487190420560748</v>
      </c>
      <c r="V62" s="24">
        <f t="shared" si="50"/>
        <v>7480862.5</v>
      </c>
    </row>
    <row r="63" spans="1:22" x14ac:dyDescent="0.25">
      <c r="A63" s="15"/>
      <c r="B63" s="16"/>
      <c r="C63" s="61"/>
      <c r="D63" s="16"/>
      <c r="E63" s="28" t="s">
        <v>54</v>
      </c>
      <c r="F63" s="18"/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250000</v>
      </c>
      <c r="M63" s="22">
        <v>130000</v>
      </c>
      <c r="N63" s="22">
        <v>0</v>
      </c>
      <c r="O63" s="22">
        <v>0</v>
      </c>
      <c r="P63" s="111">
        <v>0</v>
      </c>
      <c r="Q63" s="102">
        <v>420000</v>
      </c>
      <c r="R63" s="121"/>
      <c r="S63" s="23">
        <f t="shared" si="49"/>
        <v>800000</v>
      </c>
      <c r="T63" s="23">
        <f>0+0+0+0+0+0+0+0+0+0+0+0</f>
        <v>0</v>
      </c>
      <c r="U63" s="21" t="e">
        <f>S63/T63</f>
        <v>#DIV/0!</v>
      </c>
      <c r="V63" s="24">
        <f t="shared" si="50"/>
        <v>66666.666666666672</v>
      </c>
    </row>
    <row r="64" spans="1:22" x14ac:dyDescent="0.25">
      <c r="A64" s="8"/>
      <c r="B64" s="9"/>
      <c r="C64" s="60"/>
      <c r="D64" s="16"/>
      <c r="E64" s="28" t="s">
        <v>95</v>
      </c>
      <c r="F64" s="11"/>
      <c r="G64" s="22">
        <v>1850000</v>
      </c>
      <c r="H64" s="22">
        <v>0</v>
      </c>
      <c r="I64" s="22">
        <v>2160000</v>
      </c>
      <c r="J64" s="22">
        <v>1800000</v>
      </c>
      <c r="K64" s="22">
        <v>4320000</v>
      </c>
      <c r="L64" s="22">
        <v>0</v>
      </c>
      <c r="M64" s="146">
        <v>860000</v>
      </c>
      <c r="N64" s="22">
        <v>12190000</v>
      </c>
      <c r="O64" s="22">
        <v>0</v>
      </c>
      <c r="P64" s="111">
        <v>0</v>
      </c>
      <c r="Q64" s="102">
        <v>0</v>
      </c>
      <c r="R64" s="121"/>
      <c r="S64" s="23">
        <f t="shared" si="49"/>
        <v>23180000</v>
      </c>
      <c r="T64" s="23">
        <f>2150000+2000000+6160000+2400000+0+2150000+2000000+6160000+2400000+0+0+4160000</f>
        <v>29580000</v>
      </c>
      <c r="U64" s="21">
        <f t="shared" ref="U64:U69" si="52">S64/T64</f>
        <v>0.78363759296822177</v>
      </c>
      <c r="V64" s="24">
        <f t="shared" si="50"/>
        <v>1931666.6666666667</v>
      </c>
    </row>
    <row r="65" spans="1:23" x14ac:dyDescent="0.25">
      <c r="A65" s="8"/>
      <c r="B65" s="9"/>
      <c r="C65" s="60"/>
      <c r="D65" s="16"/>
      <c r="E65" s="28" t="s">
        <v>96</v>
      </c>
      <c r="F65" s="11"/>
      <c r="G65" s="22">
        <v>0</v>
      </c>
      <c r="H65" s="22">
        <v>2100000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111">
        <v>0</v>
      </c>
      <c r="Q65" s="102">
        <v>4400000</v>
      </c>
      <c r="R65" s="121">
        <v>2500000</v>
      </c>
      <c r="S65" s="23">
        <f t="shared" si="49"/>
        <v>9000000</v>
      </c>
      <c r="T65" s="23">
        <f>0+0+0+0+0+0+14000000+0+0+450000+2150000+14000000</f>
        <v>30600000</v>
      </c>
      <c r="U65" s="21">
        <f t="shared" si="52"/>
        <v>0.29411764705882354</v>
      </c>
      <c r="V65" s="24">
        <f t="shared" si="50"/>
        <v>750000</v>
      </c>
    </row>
    <row r="66" spans="1:23" x14ac:dyDescent="0.25">
      <c r="A66" s="8"/>
      <c r="B66" s="9"/>
      <c r="C66" s="60"/>
      <c r="D66" s="16"/>
      <c r="E66" s="28" t="s">
        <v>97</v>
      </c>
      <c r="F66" s="11"/>
      <c r="G66" s="22"/>
      <c r="H66" s="22">
        <v>0</v>
      </c>
      <c r="I66" s="22">
        <v>860000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111">
        <v>0</v>
      </c>
      <c r="Q66" s="102">
        <v>0</v>
      </c>
      <c r="R66" s="121"/>
      <c r="S66" s="23">
        <f t="shared" si="49"/>
        <v>860000</v>
      </c>
      <c r="T66" s="23">
        <f>0+1566800+0+0+0+0+1566800+0+0+0+0+0</f>
        <v>3133600</v>
      </c>
      <c r="U66" s="21">
        <f t="shared" si="52"/>
        <v>0.27444472810824611</v>
      </c>
      <c r="V66" s="24">
        <f t="shared" si="50"/>
        <v>71666.666666666672</v>
      </c>
    </row>
    <row r="67" spans="1:23" x14ac:dyDescent="0.25">
      <c r="A67" s="8"/>
      <c r="B67" s="9"/>
      <c r="C67" s="60"/>
      <c r="D67" s="16"/>
      <c r="E67" s="28" t="s">
        <v>98</v>
      </c>
      <c r="F67" s="11"/>
      <c r="G67" s="22">
        <v>0</v>
      </c>
      <c r="H67" s="22">
        <v>720000</v>
      </c>
      <c r="I67" s="22">
        <v>0</v>
      </c>
      <c r="J67" s="22">
        <v>2727270</v>
      </c>
      <c r="K67" s="22">
        <v>0</v>
      </c>
      <c r="L67" s="22">
        <v>0</v>
      </c>
      <c r="M67" s="22">
        <v>0</v>
      </c>
      <c r="N67" s="22">
        <v>1800000</v>
      </c>
      <c r="O67" s="22">
        <v>0</v>
      </c>
      <c r="P67" s="111">
        <v>0</v>
      </c>
      <c r="Q67" s="102">
        <v>0</v>
      </c>
      <c r="R67" s="121"/>
      <c r="S67" s="23">
        <f t="shared" si="49"/>
        <v>5247270</v>
      </c>
      <c r="T67" s="23">
        <f>0+0+0+1800000+0+0+0+0+1800000+0+1566800+0</f>
        <v>5166800</v>
      </c>
      <c r="U67" s="21">
        <f t="shared" si="52"/>
        <v>1.0155744367887281</v>
      </c>
      <c r="V67" s="24">
        <f t="shared" si="50"/>
        <v>437272.5</v>
      </c>
    </row>
    <row r="68" spans="1:23" x14ac:dyDescent="0.25">
      <c r="A68" s="8"/>
      <c r="B68" s="9"/>
      <c r="C68" s="60"/>
      <c r="D68" s="16"/>
      <c r="E68" s="28" t="s">
        <v>99</v>
      </c>
      <c r="F68" s="11"/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111">
        <v>0</v>
      </c>
      <c r="Q68" s="102">
        <v>0</v>
      </c>
      <c r="R68" s="121"/>
      <c r="S68" s="23">
        <f t="shared" si="49"/>
        <v>0</v>
      </c>
      <c r="T68" s="23">
        <f>450000+0+0+0+0+450000+0+0+0+0+0+0</f>
        <v>900000</v>
      </c>
      <c r="U68" s="21">
        <f t="shared" si="52"/>
        <v>0</v>
      </c>
      <c r="V68" s="24">
        <f t="shared" si="50"/>
        <v>0</v>
      </c>
    </row>
    <row r="69" spans="1:23" x14ac:dyDescent="0.25">
      <c r="A69" s="8"/>
      <c r="B69" s="9"/>
      <c r="C69" s="60"/>
      <c r="D69" s="16"/>
      <c r="E69" s="42" t="s">
        <v>57</v>
      </c>
      <c r="F69" s="11"/>
      <c r="G69" s="22">
        <v>6180700</v>
      </c>
      <c r="H69" s="22">
        <v>9610000</v>
      </c>
      <c r="I69" s="22">
        <v>215000</v>
      </c>
      <c r="J69" s="22">
        <v>663333</v>
      </c>
      <c r="K69" s="22">
        <v>305000</v>
      </c>
      <c r="L69" s="22">
        <v>1880000</v>
      </c>
      <c r="M69" s="22">
        <v>110000</v>
      </c>
      <c r="N69" s="22">
        <v>210000</v>
      </c>
      <c r="O69" s="22">
        <v>11367500</v>
      </c>
      <c r="P69" s="111">
        <v>6035000</v>
      </c>
      <c r="Q69" s="102">
        <v>857500</v>
      </c>
      <c r="R69" s="121">
        <v>670000</v>
      </c>
      <c r="S69" s="23">
        <f t="shared" si="49"/>
        <v>38104033</v>
      </c>
      <c r="T69" s="23">
        <f>2500000+2500000+0+0+0+2500000+2500000+0+0+0+2500000+2500000</f>
        <v>15000000</v>
      </c>
      <c r="U69" s="21">
        <f t="shared" si="52"/>
        <v>2.5402688666666666</v>
      </c>
      <c r="V69" s="24">
        <f t="shared" si="50"/>
        <v>3175336.0833333335</v>
      </c>
    </row>
    <row r="70" spans="1:23" ht="15.75" thickBot="1" x14ac:dyDescent="0.3">
      <c r="A70" s="8"/>
      <c r="B70" s="9"/>
      <c r="C70" s="60"/>
      <c r="E70" s="16" t="s">
        <v>77</v>
      </c>
      <c r="F70" s="12"/>
      <c r="G70" s="22">
        <v>0</v>
      </c>
      <c r="H70" s="22">
        <v>0</v>
      </c>
      <c r="I70" s="22"/>
      <c r="J70" s="22">
        <v>0</v>
      </c>
      <c r="K70" s="22">
        <v>0</v>
      </c>
      <c r="L70" s="22">
        <v>6000</v>
      </c>
      <c r="M70" s="22">
        <v>3000</v>
      </c>
      <c r="N70" s="22">
        <v>210000</v>
      </c>
      <c r="O70" s="22">
        <v>105000</v>
      </c>
      <c r="P70" s="111">
        <v>500000</v>
      </c>
      <c r="Q70" s="102">
        <v>0</v>
      </c>
      <c r="R70" s="121"/>
      <c r="S70" s="23">
        <f t="shared" si="49"/>
        <v>824000</v>
      </c>
      <c r="T70" s="23">
        <f>0+0+0+0+0+0+0+0+0+0+0</f>
        <v>0</v>
      </c>
      <c r="U70" s="21" t="e">
        <f t="shared" ref="U70:U88" si="53">S70/T70</f>
        <v>#DIV/0!</v>
      </c>
      <c r="V70" s="24">
        <f t="shared" si="50"/>
        <v>68666.666666666672</v>
      </c>
    </row>
    <row r="71" spans="1:23" ht="15.75" thickBot="1" x14ac:dyDescent="0.3">
      <c r="A71" s="56"/>
      <c r="B71" s="72"/>
      <c r="C71" s="73"/>
      <c r="D71" s="72"/>
      <c r="E71" s="74"/>
      <c r="F71" s="57"/>
      <c r="G71" s="79">
        <f>SUM(G61:G70)</f>
        <v>15691300</v>
      </c>
      <c r="H71" s="79">
        <f t="shared" ref="H71:T71" si="54">SUM(H61:H70)</f>
        <v>12430000</v>
      </c>
      <c r="I71" s="79">
        <f t="shared" ref="I71" si="55">SUM(I61:I70)</f>
        <v>3235000</v>
      </c>
      <c r="J71" s="79">
        <f t="shared" ref="J71:P71" si="56">SUM(J61:J70)</f>
        <v>16690603</v>
      </c>
      <c r="K71" s="79">
        <f t="shared" si="56"/>
        <v>13725000</v>
      </c>
      <c r="L71" s="79">
        <f t="shared" si="56"/>
        <v>10609750</v>
      </c>
      <c r="M71" s="79">
        <f t="shared" si="56"/>
        <v>15671000</v>
      </c>
      <c r="N71" s="79">
        <f t="shared" si="56"/>
        <v>18365000</v>
      </c>
      <c r="O71" s="79">
        <f t="shared" si="56"/>
        <v>17122500</v>
      </c>
      <c r="P71" s="79">
        <f t="shared" si="56"/>
        <v>14485000</v>
      </c>
      <c r="Q71" s="66">
        <f t="shared" ref="Q71:R71" si="57">SUM(Q61:Q70)</f>
        <v>15977500</v>
      </c>
      <c r="R71" s="75">
        <f t="shared" si="57"/>
        <v>13838000</v>
      </c>
      <c r="S71" s="79">
        <f t="shared" si="54"/>
        <v>167840653</v>
      </c>
      <c r="T71" s="79">
        <f t="shared" si="54"/>
        <v>192580400</v>
      </c>
      <c r="U71" s="83">
        <f>S71/T71</f>
        <v>0.87153548855439078</v>
      </c>
      <c r="V71" s="79">
        <f>SUM(V61:V70)</f>
        <v>13986721.083333332</v>
      </c>
      <c r="W71" s="89" t="s">
        <v>89</v>
      </c>
    </row>
    <row r="72" spans="1:23" x14ac:dyDescent="0.25">
      <c r="A72" s="15"/>
      <c r="B72" s="16"/>
      <c r="C72" s="61"/>
      <c r="D72" s="76"/>
      <c r="E72" s="17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7"/>
      <c r="Q72" s="18"/>
      <c r="R72" s="16"/>
      <c r="S72" s="23"/>
      <c r="T72" s="23"/>
      <c r="U72" s="21"/>
      <c r="V72" s="24"/>
    </row>
    <row r="73" spans="1:23" x14ac:dyDescent="0.25">
      <c r="A73" s="15">
        <v>8</v>
      </c>
      <c r="B73" s="16"/>
      <c r="C73" s="61"/>
      <c r="D73" s="2" t="s">
        <v>56</v>
      </c>
      <c r="E73" s="17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7"/>
      <c r="Q73" s="18"/>
      <c r="R73" s="16"/>
      <c r="S73" s="23"/>
      <c r="T73" s="23"/>
      <c r="U73" s="21"/>
      <c r="V73" s="24"/>
    </row>
    <row r="74" spans="1:23" x14ac:dyDescent="0.25">
      <c r="A74" s="15"/>
      <c r="B74" s="16"/>
      <c r="C74" s="61"/>
      <c r="D74" s="16"/>
      <c r="E74" s="42" t="s">
        <v>58</v>
      </c>
      <c r="F74" s="19"/>
      <c r="G74" s="22">
        <v>16202000</v>
      </c>
      <c r="H74" s="22">
        <v>18295500</v>
      </c>
      <c r="I74" s="22">
        <v>14751500</v>
      </c>
      <c r="J74" s="22">
        <v>15415000</v>
      </c>
      <c r="K74" s="22">
        <v>12501000</v>
      </c>
      <c r="L74" s="22">
        <v>12973530</v>
      </c>
      <c r="M74" s="22">
        <v>16429500</v>
      </c>
      <c r="N74" s="22">
        <v>13224500</v>
      </c>
      <c r="O74" s="22">
        <v>21227500</v>
      </c>
      <c r="P74" s="111">
        <v>22662000</v>
      </c>
      <c r="Q74" s="102">
        <v>14731000</v>
      </c>
      <c r="R74" s="121">
        <v>16880750</v>
      </c>
      <c r="S74" s="23">
        <f t="shared" ref="S74:S88" si="58">SUM(G74:R74)</f>
        <v>195293780</v>
      </c>
      <c r="T74" s="23">
        <f>18415500+12854100+17755500+11442435+19212236+17758895+7770000+2336250+12912900+0+12600000+12600000</f>
        <v>145657816</v>
      </c>
      <c r="U74" s="21">
        <f>S74/T74</f>
        <v>1.3407710300970048</v>
      </c>
      <c r="V74" s="24">
        <f t="shared" ref="V74:V88" si="59">S74/12</f>
        <v>16274481.666666666</v>
      </c>
    </row>
    <row r="75" spans="1:23" x14ac:dyDescent="0.25">
      <c r="A75" s="15"/>
      <c r="B75" s="16"/>
      <c r="C75" s="61"/>
      <c r="D75" s="16"/>
      <c r="E75" s="42" t="s">
        <v>59</v>
      </c>
      <c r="F75" s="19"/>
      <c r="G75" s="22">
        <v>100000</v>
      </c>
      <c r="H75" s="22">
        <v>75000</v>
      </c>
      <c r="I75" s="22">
        <v>5000</v>
      </c>
      <c r="J75" s="22">
        <v>0</v>
      </c>
      <c r="K75" s="22">
        <v>800000</v>
      </c>
      <c r="L75" s="22">
        <v>0</v>
      </c>
      <c r="M75" s="22">
        <v>0</v>
      </c>
      <c r="N75" s="22">
        <v>0</v>
      </c>
      <c r="O75" s="22">
        <v>0</v>
      </c>
      <c r="P75" s="111">
        <v>0</v>
      </c>
      <c r="Q75" s="102">
        <v>0</v>
      </c>
      <c r="R75" s="121">
        <v>100000</v>
      </c>
      <c r="S75" s="23">
        <f t="shared" si="58"/>
        <v>1080000</v>
      </c>
      <c r="T75" s="23">
        <f>3150000+0+577500+0+0+0+0+525000+315000+12600000+1653750+0</f>
        <v>18821250</v>
      </c>
      <c r="U75" s="21">
        <f>S75/T75</f>
        <v>5.7381948595337719E-2</v>
      </c>
      <c r="V75" s="24">
        <f t="shared" si="59"/>
        <v>90000</v>
      </c>
    </row>
    <row r="76" spans="1:23" x14ac:dyDescent="0.25">
      <c r="A76" s="15"/>
      <c r="B76" s="16"/>
      <c r="C76" s="61"/>
      <c r="D76" s="16"/>
      <c r="E76" s="42" t="s">
        <v>60</v>
      </c>
      <c r="F76" s="19"/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111">
        <v>0</v>
      </c>
      <c r="Q76" s="102">
        <v>0</v>
      </c>
      <c r="R76" s="121"/>
      <c r="S76" s="23">
        <f t="shared" si="58"/>
        <v>0</v>
      </c>
      <c r="T76" s="23">
        <f>0+0+0+0+0+0+0+0+0+52500+0+0</f>
        <v>52500</v>
      </c>
      <c r="U76" s="21">
        <f t="shared" si="53"/>
        <v>0</v>
      </c>
      <c r="V76" s="24">
        <f t="shared" si="59"/>
        <v>0</v>
      </c>
    </row>
    <row r="77" spans="1:23" x14ac:dyDescent="0.25">
      <c r="A77" s="15"/>
      <c r="B77" s="16"/>
      <c r="C77" s="61"/>
      <c r="D77" s="16"/>
      <c r="E77" s="42" t="s">
        <v>61</v>
      </c>
      <c r="F77" s="19"/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111">
        <v>0</v>
      </c>
      <c r="Q77" s="102">
        <v>0</v>
      </c>
      <c r="R77" s="121"/>
      <c r="S77" s="23">
        <f t="shared" si="58"/>
        <v>0</v>
      </c>
      <c r="T77" s="23">
        <f>0+0+0+0+0+0+0+0+0+0+0+0</f>
        <v>0</v>
      </c>
      <c r="U77" s="21" t="e">
        <f t="shared" si="53"/>
        <v>#DIV/0!</v>
      </c>
      <c r="V77" s="24">
        <f t="shared" si="59"/>
        <v>0</v>
      </c>
    </row>
    <row r="78" spans="1:23" x14ac:dyDescent="0.25">
      <c r="A78" s="15"/>
      <c r="B78" s="16"/>
      <c r="C78" s="61"/>
      <c r="D78" s="16"/>
      <c r="E78" s="42" t="s">
        <v>62</v>
      </c>
      <c r="F78" s="19"/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111">
        <v>0</v>
      </c>
      <c r="Q78" s="102">
        <v>0</v>
      </c>
      <c r="R78" s="121"/>
      <c r="S78" s="23">
        <f t="shared" si="58"/>
        <v>0</v>
      </c>
      <c r="T78" s="23">
        <f>0+0+0+0+0+0+0+0+0+0+0+0</f>
        <v>0</v>
      </c>
      <c r="U78" s="21" t="e">
        <f t="shared" si="53"/>
        <v>#DIV/0!</v>
      </c>
      <c r="V78" s="24">
        <f t="shared" si="59"/>
        <v>0</v>
      </c>
    </row>
    <row r="79" spans="1:23" x14ac:dyDescent="0.25">
      <c r="A79" s="15"/>
      <c r="B79" s="16"/>
      <c r="C79" s="61"/>
      <c r="D79" s="16"/>
      <c r="E79" s="42" t="s">
        <v>63</v>
      </c>
      <c r="F79" s="19"/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111">
        <v>0</v>
      </c>
      <c r="Q79" s="102">
        <v>0</v>
      </c>
      <c r="R79" s="121"/>
      <c r="S79" s="23">
        <f t="shared" si="58"/>
        <v>0</v>
      </c>
      <c r="T79" s="23">
        <f>0+0+0+0+0+0+0+0+0+0+0+0</f>
        <v>0</v>
      </c>
      <c r="U79" s="21" t="e">
        <f t="shared" si="53"/>
        <v>#DIV/0!</v>
      </c>
      <c r="V79" s="24">
        <f t="shared" si="59"/>
        <v>0</v>
      </c>
    </row>
    <row r="80" spans="1:23" x14ac:dyDescent="0.25">
      <c r="A80" s="15"/>
      <c r="B80" s="16"/>
      <c r="C80" s="61"/>
      <c r="D80" s="16"/>
      <c r="E80" s="43" t="s">
        <v>64</v>
      </c>
      <c r="F80" s="19"/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111">
        <v>0</v>
      </c>
      <c r="Q80" s="102">
        <v>0</v>
      </c>
      <c r="R80" s="121"/>
      <c r="S80" s="23">
        <f t="shared" si="58"/>
        <v>0</v>
      </c>
      <c r="T80" s="23">
        <f>0+259662+0+0+0+0+0+0+0+0+0+0</f>
        <v>259662</v>
      </c>
      <c r="U80" s="21">
        <f t="shared" si="53"/>
        <v>0</v>
      </c>
      <c r="V80" s="24">
        <f t="shared" si="59"/>
        <v>0</v>
      </c>
    </row>
    <row r="81" spans="1:22" x14ac:dyDescent="0.25">
      <c r="A81" s="15"/>
      <c r="B81" s="16"/>
      <c r="C81" s="61"/>
      <c r="D81" s="16"/>
      <c r="E81" s="43" t="s">
        <v>87</v>
      </c>
      <c r="F81" s="19"/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111">
        <v>0</v>
      </c>
      <c r="Q81" s="102">
        <v>0</v>
      </c>
      <c r="R81" s="121"/>
      <c r="S81" s="23">
        <f t="shared" si="58"/>
        <v>0</v>
      </c>
      <c r="T81" s="23">
        <f>0+0+0+0+0+337750+6300000+0+0+0+0+0</f>
        <v>6637750</v>
      </c>
      <c r="U81" s="21">
        <f t="shared" si="53"/>
        <v>0</v>
      </c>
      <c r="V81" s="24">
        <f t="shared" si="59"/>
        <v>0</v>
      </c>
    </row>
    <row r="82" spans="1:22" x14ac:dyDescent="0.25">
      <c r="A82" s="15"/>
      <c r="B82" s="16"/>
      <c r="C82" s="61"/>
      <c r="D82" s="16"/>
      <c r="E82" s="43" t="s">
        <v>65</v>
      </c>
      <c r="F82" s="19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111">
        <v>2300</v>
      </c>
      <c r="Q82" s="102">
        <v>0</v>
      </c>
      <c r="R82" s="121"/>
      <c r="S82" s="23">
        <f t="shared" si="58"/>
        <v>2300</v>
      </c>
      <c r="T82" s="23">
        <f>0+0+0+0+0+386000+69300+0+0+0+308700+0</f>
        <v>764000</v>
      </c>
      <c r="U82" s="21">
        <f>S82/T82</f>
        <v>3.0104712041884815E-3</v>
      </c>
      <c r="V82" s="24">
        <f>S82/12</f>
        <v>191.66666666666666</v>
      </c>
    </row>
    <row r="83" spans="1:22" x14ac:dyDescent="0.25">
      <c r="A83" s="15"/>
      <c r="B83" s="16"/>
      <c r="C83" s="61"/>
      <c r="D83" s="16"/>
      <c r="E83" s="43" t="s">
        <v>88</v>
      </c>
      <c r="F83" s="19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111">
        <v>0</v>
      </c>
      <c r="Q83" s="102">
        <v>0</v>
      </c>
      <c r="R83" s="121"/>
      <c r="S83" s="23">
        <f t="shared" si="58"/>
        <v>0</v>
      </c>
      <c r="T83" s="23">
        <f>0+0+0+0+0+0+73500+0+0+210000+0+0</f>
        <v>283500</v>
      </c>
      <c r="U83" s="21">
        <f>S83/T83</f>
        <v>0</v>
      </c>
      <c r="V83" s="24">
        <f t="shared" si="59"/>
        <v>0</v>
      </c>
    </row>
    <row r="84" spans="1:22" x14ac:dyDescent="0.25">
      <c r="A84" s="15"/>
      <c r="B84" s="16"/>
      <c r="C84" s="61"/>
      <c r="D84" s="16"/>
      <c r="E84" s="43" t="s">
        <v>66</v>
      </c>
      <c r="F84" s="19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150000</v>
      </c>
      <c r="O84" s="22">
        <v>0</v>
      </c>
      <c r="P84" s="111">
        <v>0</v>
      </c>
      <c r="Q84" s="102">
        <v>0</v>
      </c>
      <c r="R84" s="121"/>
      <c r="S84" s="23">
        <f t="shared" si="58"/>
        <v>150000</v>
      </c>
      <c r="T84" s="23">
        <f>0+0+0+0+0+0+0+0+0+0+0+0</f>
        <v>0</v>
      </c>
      <c r="U84" s="21" t="e">
        <f t="shared" si="53"/>
        <v>#DIV/0!</v>
      </c>
      <c r="V84" s="24">
        <f t="shared" si="59"/>
        <v>12500</v>
      </c>
    </row>
    <row r="85" spans="1:22" x14ac:dyDescent="0.25">
      <c r="A85" s="15"/>
      <c r="B85" s="16"/>
      <c r="C85" s="61"/>
      <c r="D85" s="16"/>
      <c r="E85" s="43" t="s">
        <v>67</v>
      </c>
      <c r="F85" s="19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150000</v>
      </c>
      <c r="M85" s="22">
        <v>0</v>
      </c>
      <c r="N85" s="22">
        <v>0</v>
      </c>
      <c r="O85" s="22">
        <v>0</v>
      </c>
      <c r="P85" s="111">
        <v>10000</v>
      </c>
      <c r="Q85" s="102">
        <v>0</v>
      </c>
      <c r="R85" s="121"/>
      <c r="S85" s="23">
        <f t="shared" si="58"/>
        <v>160000</v>
      </c>
      <c r="T85" s="23">
        <f>0+0+0+0+54800+386000+682500+0+0+0+0+0</f>
        <v>1123300</v>
      </c>
      <c r="U85" s="21">
        <f t="shared" si="53"/>
        <v>0.14243746105225674</v>
      </c>
      <c r="V85" s="24">
        <f t="shared" si="59"/>
        <v>13333.333333333334</v>
      </c>
    </row>
    <row r="86" spans="1:22" x14ac:dyDescent="0.25">
      <c r="A86" s="15"/>
      <c r="B86" s="16"/>
      <c r="C86" s="61"/>
      <c r="D86" s="16"/>
      <c r="E86" s="43" t="s">
        <v>68</v>
      </c>
      <c r="F86" s="19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111">
        <v>0</v>
      </c>
      <c r="Q86" s="102">
        <v>0</v>
      </c>
      <c r="R86" s="121"/>
      <c r="S86" s="23">
        <f t="shared" si="58"/>
        <v>0</v>
      </c>
      <c r="T86" s="23">
        <f>0+0+0+0+0+0+0+0+0+0+0+0</f>
        <v>0</v>
      </c>
      <c r="U86" s="21" t="e">
        <f t="shared" si="53"/>
        <v>#DIV/0!</v>
      </c>
      <c r="V86" s="24">
        <f t="shared" si="59"/>
        <v>0</v>
      </c>
    </row>
    <row r="87" spans="1:22" x14ac:dyDescent="0.25">
      <c r="A87" s="15"/>
      <c r="B87" s="16"/>
      <c r="C87" s="61"/>
      <c r="D87" s="16"/>
      <c r="E87" s="43" t="s">
        <v>69</v>
      </c>
      <c r="F87" s="19"/>
      <c r="G87" s="22">
        <v>7880000</v>
      </c>
      <c r="H87" s="22">
        <v>3530000</v>
      </c>
      <c r="I87" s="22">
        <v>0</v>
      </c>
      <c r="J87" s="22">
        <v>3210000</v>
      </c>
      <c r="K87" s="22">
        <v>145000</v>
      </c>
      <c r="L87" s="22">
        <v>5436000</v>
      </c>
      <c r="M87" s="22">
        <v>4044000</v>
      </c>
      <c r="N87" s="22">
        <v>0</v>
      </c>
      <c r="O87" s="22">
        <v>7936975</v>
      </c>
      <c r="P87" s="111">
        <v>2634240</v>
      </c>
      <c r="Q87" s="102">
        <v>4762380</v>
      </c>
      <c r="R87" s="121">
        <v>2687500</v>
      </c>
      <c r="S87" s="23">
        <f t="shared" si="58"/>
        <v>42266095</v>
      </c>
      <c r="T87" s="23">
        <f>0+0+315000+0+0+0+0+0+0+0+315000+0</f>
        <v>630000</v>
      </c>
      <c r="U87" s="21">
        <f t="shared" si="53"/>
        <v>67.089039682539678</v>
      </c>
      <c r="V87" s="24">
        <f t="shared" si="59"/>
        <v>3522174.5833333335</v>
      </c>
    </row>
    <row r="88" spans="1:22" ht="15.75" thickBot="1" x14ac:dyDescent="0.3">
      <c r="A88" s="35"/>
      <c r="B88" s="36"/>
      <c r="C88" s="64"/>
      <c r="D88" s="36"/>
      <c r="E88" s="44" t="s">
        <v>70</v>
      </c>
      <c r="F88" s="37"/>
      <c r="G88" s="32">
        <v>50000</v>
      </c>
      <c r="H88" s="32">
        <v>0</v>
      </c>
      <c r="I88" s="32">
        <v>130000</v>
      </c>
      <c r="J88" s="32">
        <v>0</v>
      </c>
      <c r="K88" s="32">
        <v>0</v>
      </c>
      <c r="L88" s="32">
        <v>47500</v>
      </c>
      <c r="M88" s="32">
        <v>0</v>
      </c>
      <c r="N88" s="32">
        <v>0</v>
      </c>
      <c r="O88" s="32">
        <v>95000</v>
      </c>
      <c r="P88" s="115">
        <v>215000</v>
      </c>
      <c r="Q88" s="105">
        <v>75000</v>
      </c>
      <c r="R88" s="127"/>
      <c r="S88" s="23">
        <f t="shared" si="58"/>
        <v>612500</v>
      </c>
      <c r="T88" s="23">
        <f>0+0+0+0+0+0+0+0+0+0+0+0</f>
        <v>0</v>
      </c>
      <c r="U88" s="21" t="e">
        <f t="shared" si="53"/>
        <v>#DIV/0!</v>
      </c>
      <c r="V88" s="24">
        <f t="shared" si="59"/>
        <v>51041.666666666664</v>
      </c>
    </row>
    <row r="89" spans="1:22" s="53" customFormat="1" ht="15.75" thickBot="1" x14ac:dyDescent="0.3">
      <c r="A89" s="56"/>
      <c r="B89" s="57"/>
      <c r="C89" s="66"/>
      <c r="D89" s="57"/>
      <c r="E89" s="57"/>
      <c r="F89" s="57"/>
      <c r="G89" s="77">
        <f t="shared" ref="G89:T89" si="60">SUM(G74:G88)</f>
        <v>24232000</v>
      </c>
      <c r="H89" s="77">
        <f t="shared" si="60"/>
        <v>21900500</v>
      </c>
      <c r="I89" s="77">
        <f t="shared" si="60"/>
        <v>14886500</v>
      </c>
      <c r="J89" s="77">
        <f t="shared" si="60"/>
        <v>18625000</v>
      </c>
      <c r="K89" s="77">
        <f t="shared" ref="K89" si="61">SUM(K74:K88)</f>
        <v>13446000</v>
      </c>
      <c r="L89" s="77">
        <f t="shared" ref="L89:P89" si="62">SUM(L74:L88)</f>
        <v>18607030</v>
      </c>
      <c r="M89" s="77">
        <f t="shared" si="62"/>
        <v>20473500</v>
      </c>
      <c r="N89" s="77">
        <f t="shared" si="62"/>
        <v>13374500</v>
      </c>
      <c r="O89" s="77">
        <f t="shared" si="62"/>
        <v>29259475</v>
      </c>
      <c r="P89" s="77">
        <f t="shared" si="62"/>
        <v>25523540</v>
      </c>
      <c r="Q89" s="77">
        <f>SUM(Q74:Q88)</f>
        <v>19568380</v>
      </c>
      <c r="R89" s="77">
        <f>SUM(R74:R88)</f>
        <v>19668250</v>
      </c>
      <c r="S89" s="58">
        <f t="shared" si="60"/>
        <v>239564675</v>
      </c>
      <c r="T89" s="82">
        <f t="shared" si="60"/>
        <v>174229778</v>
      </c>
      <c r="U89" s="83">
        <f>S89/T89</f>
        <v>1.3749927122101941</v>
      </c>
      <c r="V89" s="77">
        <f>SUM(V74:V88)</f>
        <v>19963722.916666668</v>
      </c>
    </row>
    <row r="90" spans="1:22" s="53" customFormat="1" ht="15.75" thickBot="1" x14ac:dyDescent="0.3">
      <c r="A90" s="45"/>
      <c r="B90" s="48"/>
      <c r="C90" s="65"/>
      <c r="D90" s="48"/>
      <c r="E90" s="48"/>
      <c r="F90" s="48"/>
      <c r="G90" s="86">
        <f>G44+G58+G71+G89</f>
        <v>414381971</v>
      </c>
      <c r="H90" s="86">
        <f t="shared" ref="H90" si="63">H44+H58+H71+H89</f>
        <v>382443770</v>
      </c>
      <c r="I90" s="86">
        <f t="shared" ref="I90:T90" si="64">I44+I58+I71+I89</f>
        <v>394078880</v>
      </c>
      <c r="J90" s="86">
        <f t="shared" si="64"/>
        <v>375824253</v>
      </c>
      <c r="K90" s="86">
        <f t="shared" si="64"/>
        <v>323639822</v>
      </c>
      <c r="L90" s="86">
        <f t="shared" si="64"/>
        <v>401074107</v>
      </c>
      <c r="M90" s="86">
        <f t="shared" ref="M90:N90" si="65">M44+M58+M71+M89</f>
        <v>384416658</v>
      </c>
      <c r="N90" s="86">
        <f t="shared" si="65"/>
        <v>378153042</v>
      </c>
      <c r="O90" s="86">
        <f>O44+O58+O71+O89</f>
        <v>426398431</v>
      </c>
      <c r="P90" s="86">
        <f>P44+P58+P71+P89</f>
        <v>469883780</v>
      </c>
      <c r="Q90" s="86">
        <f>Q44+Q58+Q71+Q89</f>
        <v>394158483</v>
      </c>
      <c r="R90" s="86">
        <f>R44+R58+R71+R89</f>
        <v>360778215</v>
      </c>
      <c r="S90" s="86">
        <f t="shared" si="64"/>
        <v>4705231412</v>
      </c>
      <c r="T90" s="86">
        <f t="shared" si="64"/>
        <v>4275322768</v>
      </c>
      <c r="U90" s="78">
        <f>S90/T90</f>
        <v>1.100555833402284</v>
      </c>
      <c r="V90" s="86">
        <f>V44+V58+V71+V89</f>
        <v>392102617.66666663</v>
      </c>
    </row>
    <row r="91" spans="1:22" x14ac:dyDescent="0.25">
      <c r="A91" s="5"/>
      <c r="B91" s="6"/>
      <c r="C91" s="5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6"/>
    </row>
    <row r="92" spans="1:22" x14ac:dyDescent="0.25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28" t="s">
        <v>124</v>
      </c>
      <c r="V92" s="128"/>
    </row>
    <row r="93" spans="1:22" x14ac:dyDescent="0.25">
      <c r="B93" s="69" t="s">
        <v>125</v>
      </c>
      <c r="C93" s="5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17"/>
      <c r="V93" s="117"/>
    </row>
    <row r="94" spans="1:22" x14ac:dyDescent="0.25">
      <c r="B94" s="6" t="s">
        <v>85</v>
      </c>
      <c r="C94" s="59">
        <v>352931215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17"/>
      <c r="V94" s="117"/>
    </row>
    <row r="95" spans="1:22" ht="15.75" thickBot="1" x14ac:dyDescent="0.3">
      <c r="B95" s="6" t="s">
        <v>86</v>
      </c>
      <c r="C95" s="68">
        <v>7847000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17"/>
      <c r="V95" s="117"/>
    </row>
    <row r="96" spans="1:22" ht="15.75" thickTop="1" x14ac:dyDescent="0.25">
      <c r="B96" s="6"/>
      <c r="C96" s="70">
        <f>SUM(C94:C95)</f>
        <v>360778215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17"/>
      <c r="V96" s="117"/>
    </row>
    <row r="97" spans="2:22" x14ac:dyDescent="0.25">
      <c r="B97" s="6"/>
      <c r="C97" s="5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17"/>
      <c r="V97" s="117"/>
    </row>
    <row r="98" spans="2:22" x14ac:dyDescent="0.25">
      <c r="B98" s="6"/>
      <c r="C98" s="71">
        <f>C96-R90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17"/>
      <c r="V98" s="117"/>
    </row>
    <row r="99" spans="2:22" x14ac:dyDescent="0.25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17"/>
      <c r="V99" s="117"/>
    </row>
    <row r="100" spans="2:22" x14ac:dyDescent="0.25">
      <c r="B100" s="69" t="s">
        <v>121</v>
      </c>
      <c r="C100" s="5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16"/>
      <c r="V100" s="116"/>
    </row>
    <row r="101" spans="2:22" x14ac:dyDescent="0.25">
      <c r="B101" s="6" t="s">
        <v>85</v>
      </c>
      <c r="C101" s="59">
        <v>384094483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16"/>
      <c r="V101" s="116"/>
    </row>
    <row r="102" spans="2:22" ht="15.75" thickBot="1" x14ac:dyDescent="0.3">
      <c r="B102" s="6" t="s">
        <v>86</v>
      </c>
      <c r="C102" s="68">
        <v>10064000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16"/>
      <c r="V102" s="116"/>
    </row>
    <row r="103" spans="2:22" ht="15.75" thickTop="1" x14ac:dyDescent="0.25">
      <c r="B103" s="6"/>
      <c r="C103" s="70">
        <f>SUM(C101:C102)</f>
        <v>394158483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116"/>
      <c r="V103" s="116"/>
    </row>
    <row r="104" spans="2:22" x14ac:dyDescent="0.25">
      <c r="B104" s="6"/>
      <c r="C104" s="5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16"/>
      <c r="V104" s="116"/>
    </row>
    <row r="105" spans="2:22" x14ac:dyDescent="0.25">
      <c r="B105" s="6"/>
      <c r="C105" s="71">
        <f>C103-Q90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116"/>
      <c r="V105" s="116"/>
    </row>
    <row r="106" spans="2:22" x14ac:dyDescent="0.25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16"/>
      <c r="V106" s="116"/>
    </row>
    <row r="107" spans="2:22" x14ac:dyDescent="0.25">
      <c r="B107" s="69" t="s">
        <v>119</v>
      </c>
      <c r="C107" s="5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08"/>
      <c r="V107" s="108"/>
    </row>
    <row r="108" spans="2:22" x14ac:dyDescent="0.25">
      <c r="B108" s="6" t="s">
        <v>85</v>
      </c>
      <c r="C108" s="59">
        <v>453698780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08"/>
      <c r="V108" s="108"/>
    </row>
    <row r="109" spans="2:22" ht="15.75" thickBot="1" x14ac:dyDescent="0.3">
      <c r="B109" s="6" t="s">
        <v>86</v>
      </c>
      <c r="C109" s="68">
        <v>16185000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08"/>
      <c r="V109" s="108"/>
    </row>
    <row r="110" spans="2:22" ht="15.75" thickTop="1" x14ac:dyDescent="0.25">
      <c r="B110" s="6"/>
      <c r="C110" s="70">
        <f>SUM(C108:C109)</f>
        <v>469883780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08"/>
      <c r="V110" s="108"/>
    </row>
    <row r="111" spans="2:22" x14ac:dyDescent="0.25">
      <c r="B111" s="6"/>
      <c r="C111" s="5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08"/>
      <c r="V111" s="108"/>
    </row>
    <row r="112" spans="2:22" x14ac:dyDescent="0.25">
      <c r="B112" s="6"/>
      <c r="C112" s="71">
        <f>C110-P90</f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08"/>
      <c r="V112" s="108"/>
    </row>
    <row r="113" spans="2:22" x14ac:dyDescent="0.25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08"/>
      <c r="V113" s="108"/>
    </row>
    <row r="114" spans="2:22" x14ac:dyDescent="0.25">
      <c r="B114" s="69" t="s">
        <v>117</v>
      </c>
      <c r="C114" s="5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00"/>
      <c r="V114" s="100"/>
    </row>
    <row r="115" spans="2:22" x14ac:dyDescent="0.25">
      <c r="B115" s="6" t="s">
        <v>85</v>
      </c>
      <c r="C115" s="59">
        <v>411056931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00"/>
      <c r="V115" s="100"/>
    </row>
    <row r="116" spans="2:22" ht="15.75" thickBot="1" x14ac:dyDescent="0.3">
      <c r="B116" s="6" t="s">
        <v>86</v>
      </c>
      <c r="C116" s="68">
        <v>15341500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00"/>
      <c r="V116" s="100"/>
    </row>
    <row r="117" spans="2:22" ht="15.75" thickTop="1" x14ac:dyDescent="0.25">
      <c r="B117" s="6"/>
      <c r="C117" s="70">
        <f>SUM(C115:C116)</f>
        <v>426398431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00"/>
      <c r="V117" s="100"/>
    </row>
    <row r="118" spans="2:22" x14ac:dyDescent="0.25">
      <c r="B118" s="6"/>
      <c r="C118" s="5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00"/>
      <c r="V118" s="100"/>
    </row>
    <row r="119" spans="2:22" x14ac:dyDescent="0.25">
      <c r="B119" s="6"/>
      <c r="C119" s="71">
        <f>C117-O90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00"/>
      <c r="V119" s="100"/>
    </row>
    <row r="120" spans="2:22" x14ac:dyDescent="0.25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00"/>
      <c r="V120" s="100"/>
    </row>
    <row r="121" spans="2:22" x14ac:dyDescent="0.25">
      <c r="B121" s="69" t="s">
        <v>115</v>
      </c>
      <c r="C121" s="5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99"/>
      <c r="V121" s="99"/>
    </row>
    <row r="122" spans="2:22" x14ac:dyDescent="0.25">
      <c r="B122" s="6" t="s">
        <v>85</v>
      </c>
      <c r="C122" s="59">
        <v>371275042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99"/>
      <c r="V122" s="99"/>
    </row>
    <row r="123" spans="2:22" ht="15.75" thickBot="1" x14ac:dyDescent="0.3">
      <c r="B123" s="6" t="s">
        <v>86</v>
      </c>
      <c r="C123" s="68">
        <v>6878000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99"/>
      <c r="V123" s="99"/>
    </row>
    <row r="124" spans="2:22" ht="15.75" thickTop="1" x14ac:dyDescent="0.25">
      <c r="B124" s="6"/>
      <c r="C124" s="70">
        <f>SUM(C122:C123)</f>
        <v>378153042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99"/>
      <c r="V124" s="99"/>
    </row>
    <row r="125" spans="2:22" x14ac:dyDescent="0.25">
      <c r="B125" s="6"/>
      <c r="C125" s="5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99"/>
      <c r="V125" s="99"/>
    </row>
    <row r="126" spans="2:22" x14ac:dyDescent="0.25">
      <c r="B126" s="6"/>
      <c r="C126" s="71">
        <f>C124-N90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99"/>
      <c r="V126" s="99"/>
    </row>
    <row r="127" spans="2:22" x14ac:dyDescent="0.25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99"/>
      <c r="V127" s="99"/>
    </row>
    <row r="128" spans="2:22" x14ac:dyDescent="0.25">
      <c r="B128" s="69" t="s">
        <v>113</v>
      </c>
      <c r="C128" s="5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98"/>
      <c r="V128" s="98"/>
    </row>
    <row r="129" spans="2:22" x14ac:dyDescent="0.25">
      <c r="B129" s="6" t="s">
        <v>85</v>
      </c>
      <c r="C129" s="59">
        <v>371607658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98"/>
      <c r="V129" s="98"/>
    </row>
    <row r="130" spans="2:22" ht="15.75" thickBot="1" x14ac:dyDescent="0.3">
      <c r="B130" s="6" t="s">
        <v>86</v>
      </c>
      <c r="C130" s="68">
        <v>9983000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98"/>
      <c r="V130" s="98"/>
    </row>
    <row r="131" spans="2:22" ht="15.75" thickTop="1" x14ac:dyDescent="0.25">
      <c r="B131" s="6"/>
      <c r="C131" s="70">
        <f>SUM(C129:C130)</f>
        <v>381590658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98"/>
      <c r="V131" s="98"/>
    </row>
    <row r="132" spans="2:22" x14ac:dyDescent="0.25">
      <c r="B132" s="6"/>
      <c r="C132" s="5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98"/>
      <c r="V132" s="98"/>
    </row>
    <row r="133" spans="2:22" x14ac:dyDescent="0.25">
      <c r="B133" s="6"/>
      <c r="C133" s="71">
        <f>C131-M90</f>
        <v>-2826000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98"/>
      <c r="V133" s="98"/>
    </row>
    <row r="134" spans="2:22" x14ac:dyDescent="0.25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98"/>
      <c r="V134" s="98"/>
    </row>
    <row r="135" spans="2:22" x14ac:dyDescent="0.25">
      <c r="B135" s="69" t="s">
        <v>110</v>
      </c>
      <c r="C135" s="5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97"/>
      <c r="V135" s="97"/>
    </row>
    <row r="136" spans="2:22" x14ac:dyDescent="0.25">
      <c r="B136" s="6" t="s">
        <v>85</v>
      </c>
      <c r="C136" s="59">
        <v>397066607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97"/>
      <c r="V136" s="97"/>
    </row>
    <row r="137" spans="2:22" ht="15.75" thickBot="1" x14ac:dyDescent="0.3">
      <c r="B137" s="6" t="s">
        <v>86</v>
      </c>
      <c r="C137" s="68">
        <v>4007500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97"/>
      <c r="V137" s="97"/>
    </row>
    <row r="138" spans="2:22" ht="15.75" thickTop="1" x14ac:dyDescent="0.25">
      <c r="B138" s="6"/>
      <c r="C138" s="70">
        <f>SUM(C136:C137)</f>
        <v>401074107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97"/>
      <c r="V138" s="97"/>
    </row>
    <row r="139" spans="2:22" x14ac:dyDescent="0.25">
      <c r="B139" s="6"/>
      <c r="C139" s="5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97"/>
      <c r="V139" s="97"/>
    </row>
    <row r="140" spans="2:22" x14ac:dyDescent="0.25">
      <c r="B140" s="6"/>
      <c r="C140" s="71">
        <f>C138-L90</f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97"/>
      <c r="V140" s="97"/>
    </row>
    <row r="141" spans="2:22" x14ac:dyDescent="0.25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97"/>
      <c r="V141" s="97"/>
    </row>
    <row r="142" spans="2:22" x14ac:dyDescent="0.25">
      <c r="B142" s="69" t="s">
        <v>109</v>
      </c>
      <c r="C142" s="59"/>
      <c r="D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96"/>
      <c r="V142" s="96"/>
    </row>
    <row r="143" spans="2:22" x14ac:dyDescent="0.25">
      <c r="B143" s="6" t="s">
        <v>85</v>
      </c>
      <c r="C143" s="59">
        <v>317661822</v>
      </c>
      <c r="D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96"/>
      <c r="V143" s="96"/>
    </row>
    <row r="144" spans="2:22" ht="15.75" thickBot="1" x14ac:dyDescent="0.3">
      <c r="B144" s="6" t="s">
        <v>86</v>
      </c>
      <c r="C144" s="68">
        <v>5978000</v>
      </c>
      <c r="D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96"/>
      <c r="V144" s="96"/>
    </row>
    <row r="145" spans="2:22" ht="15.75" thickTop="1" x14ac:dyDescent="0.25">
      <c r="B145" s="6"/>
      <c r="C145" s="70">
        <f>SUM(C143:C144)</f>
        <v>323639822</v>
      </c>
      <c r="D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96"/>
      <c r="V145" s="96"/>
    </row>
    <row r="146" spans="2:22" x14ac:dyDescent="0.25">
      <c r="B146" s="6"/>
      <c r="C146" s="59"/>
      <c r="D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96"/>
      <c r="V146" s="96"/>
    </row>
    <row r="147" spans="2:22" x14ac:dyDescent="0.25">
      <c r="B147" s="6"/>
      <c r="C147" s="71">
        <f>C145-K90</f>
        <v>0</v>
      </c>
      <c r="D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96"/>
      <c r="V147" s="96"/>
    </row>
    <row r="148" spans="2:22" x14ac:dyDescent="0.25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96"/>
      <c r="V148" s="96"/>
    </row>
    <row r="149" spans="2:22" x14ac:dyDescent="0.25">
      <c r="B149" s="69" t="s">
        <v>107</v>
      </c>
      <c r="C149" s="59"/>
      <c r="D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95"/>
      <c r="V149" s="95"/>
    </row>
    <row r="150" spans="2:22" x14ac:dyDescent="0.25">
      <c r="B150" s="6" t="s">
        <v>85</v>
      </c>
      <c r="C150" s="59">
        <v>366881353</v>
      </c>
      <c r="D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95"/>
      <c r="V150" s="95"/>
    </row>
    <row r="151" spans="2:22" ht="15.75" thickBot="1" x14ac:dyDescent="0.3">
      <c r="B151" s="6" t="s">
        <v>86</v>
      </c>
      <c r="C151" s="68">
        <v>8942900</v>
      </c>
      <c r="D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95"/>
      <c r="V151" s="95"/>
    </row>
    <row r="152" spans="2:22" ht="15.75" thickTop="1" x14ac:dyDescent="0.25">
      <c r="B152" s="6"/>
      <c r="C152" s="70">
        <f>SUM(C150:C151)</f>
        <v>375824253</v>
      </c>
      <c r="D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95"/>
      <c r="V152" s="95"/>
    </row>
    <row r="153" spans="2:22" x14ac:dyDescent="0.25">
      <c r="B153" s="6"/>
      <c r="C153" s="59"/>
      <c r="D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95"/>
      <c r="V153" s="95"/>
    </row>
    <row r="154" spans="2:22" x14ac:dyDescent="0.25">
      <c r="B154" s="6"/>
      <c r="C154" s="71">
        <f>C152-J90</f>
        <v>0</v>
      </c>
      <c r="D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95"/>
      <c r="V154" s="95"/>
    </row>
    <row r="155" spans="2:22" x14ac:dyDescent="0.25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95"/>
      <c r="V155" s="95"/>
    </row>
    <row r="156" spans="2:22" x14ac:dyDescent="0.25">
      <c r="B156" s="69" t="s">
        <v>105</v>
      </c>
      <c r="C156" s="59"/>
      <c r="D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94"/>
      <c r="V156" s="94"/>
    </row>
    <row r="157" spans="2:22" x14ac:dyDescent="0.25">
      <c r="B157" s="6" t="s">
        <v>85</v>
      </c>
      <c r="C157" s="59">
        <v>387236880</v>
      </c>
      <c r="D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94"/>
      <c r="V157" s="94"/>
    </row>
    <row r="158" spans="2:22" ht="15.75" thickBot="1" x14ac:dyDescent="0.3">
      <c r="B158" s="6" t="s">
        <v>86</v>
      </c>
      <c r="C158" s="68">
        <v>6842000</v>
      </c>
      <c r="D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94"/>
      <c r="V158" s="94"/>
    </row>
    <row r="159" spans="2:22" ht="15.75" thickTop="1" x14ac:dyDescent="0.25">
      <c r="B159" s="6"/>
      <c r="C159" s="70">
        <f>SUM(C157:C158)</f>
        <v>394078880</v>
      </c>
      <c r="D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94"/>
      <c r="V159" s="94"/>
    </row>
    <row r="160" spans="2:22" x14ac:dyDescent="0.25">
      <c r="B160" s="6"/>
      <c r="C160" s="59"/>
      <c r="D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94"/>
      <c r="V160" s="94"/>
    </row>
    <row r="161" spans="1:22" x14ac:dyDescent="0.25">
      <c r="B161" s="6"/>
      <c r="C161" s="71">
        <f>C159-I90</f>
        <v>0</v>
      </c>
      <c r="D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94"/>
      <c r="V161" s="94"/>
    </row>
    <row r="162" spans="1:22" x14ac:dyDescent="0.25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94"/>
      <c r="V162" s="94"/>
    </row>
    <row r="163" spans="1:22" x14ac:dyDescent="0.25">
      <c r="B163" s="69" t="s">
        <v>103</v>
      </c>
      <c r="C163" s="59"/>
      <c r="D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7"/>
      <c r="V163" s="87"/>
    </row>
    <row r="164" spans="1:22" x14ac:dyDescent="0.25">
      <c r="B164" s="6" t="s">
        <v>85</v>
      </c>
      <c r="C164" s="59">
        <v>377425270</v>
      </c>
      <c r="D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93"/>
      <c r="V164" s="93"/>
    </row>
    <row r="165" spans="1:22" ht="15.75" thickBot="1" x14ac:dyDescent="0.3">
      <c r="B165" s="6" t="s">
        <v>86</v>
      </c>
      <c r="C165" s="68">
        <v>5018500</v>
      </c>
      <c r="D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93"/>
      <c r="V165" s="93"/>
    </row>
    <row r="166" spans="1:22" ht="15.75" thickTop="1" x14ac:dyDescent="0.25">
      <c r="B166" s="6"/>
      <c r="C166" s="70">
        <f>SUM(C164:C165)</f>
        <v>382443770</v>
      </c>
      <c r="D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93"/>
      <c r="V166" s="93"/>
    </row>
    <row r="167" spans="1:22" x14ac:dyDescent="0.25">
      <c r="B167" s="6"/>
      <c r="C167" s="59"/>
      <c r="D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93"/>
      <c r="V167" s="93"/>
    </row>
    <row r="168" spans="1:22" x14ac:dyDescent="0.25">
      <c r="B168" s="6"/>
      <c r="C168" s="71">
        <f>C166-H90</f>
        <v>0</v>
      </c>
      <c r="D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93"/>
      <c r="V168" s="93"/>
    </row>
    <row r="169" spans="1:22" x14ac:dyDescent="0.25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93"/>
      <c r="V169" s="93"/>
    </row>
    <row r="170" spans="1:22" x14ac:dyDescent="0.25">
      <c r="B170" s="69" t="s">
        <v>102</v>
      </c>
      <c r="C170" s="59"/>
      <c r="D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90"/>
      <c r="V170" s="90"/>
    </row>
    <row r="171" spans="1:22" x14ac:dyDescent="0.25">
      <c r="B171" s="6" t="s">
        <v>85</v>
      </c>
      <c r="C171" s="59">
        <v>405624871</v>
      </c>
      <c r="D171" s="6"/>
      <c r="E171" s="6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90"/>
      <c r="V171" s="90"/>
    </row>
    <row r="172" spans="1:22" ht="15.75" thickBot="1" x14ac:dyDescent="0.3">
      <c r="B172" s="6" t="s">
        <v>86</v>
      </c>
      <c r="C172" s="68">
        <v>8757100</v>
      </c>
      <c r="D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90"/>
      <c r="V172" s="90"/>
    </row>
    <row r="173" spans="1:22" ht="15.75" thickTop="1" x14ac:dyDescent="0.25">
      <c r="B173" s="6"/>
      <c r="C173" s="70">
        <f>SUM(C171:C172)</f>
        <v>414381971</v>
      </c>
      <c r="D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90"/>
      <c r="V173" s="90"/>
    </row>
    <row r="174" spans="1:22" x14ac:dyDescent="0.25">
      <c r="B174" s="6"/>
      <c r="C174" s="59"/>
      <c r="D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90"/>
      <c r="V174" s="90"/>
    </row>
    <row r="175" spans="1:22" x14ac:dyDescent="0.25">
      <c r="B175" s="6"/>
      <c r="C175" s="71">
        <f>C173-G90</f>
        <v>0</v>
      </c>
      <c r="D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90"/>
      <c r="V175" s="90"/>
    </row>
    <row r="176" spans="1:22" s="6" customFormat="1" ht="14.25" x14ac:dyDescent="0.2">
      <c r="A176" s="5"/>
      <c r="C176" s="59"/>
      <c r="U176" s="7"/>
    </row>
    <row r="177" spans="1:21" s="6" customFormat="1" ht="14.25" x14ac:dyDescent="0.2">
      <c r="A177" s="5"/>
      <c r="C177" s="59"/>
      <c r="U177" s="7"/>
    </row>
    <row r="178" spans="1:21" s="6" customFormat="1" ht="14.25" x14ac:dyDescent="0.2">
      <c r="A178" s="5"/>
      <c r="C178" s="59"/>
      <c r="U178" s="7"/>
    </row>
  </sheetData>
  <mergeCells count="12">
    <mergeCell ref="U92:V92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39370078740157483" header="0.11811023622047245" footer="0.11811023622047245"/>
  <pageSetup paperSize="9" scale="68" fitToHeight="0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2020</vt:lpstr>
      <vt:lpstr>Sheet5</vt:lpstr>
      <vt:lpstr>'RPD 2020'!Print_Area</vt:lpstr>
      <vt:lpstr>'RPD 2020'!Print_Titles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Windows User</cp:lastModifiedBy>
  <cp:lastPrinted>2021-06-07T00:07:07Z</cp:lastPrinted>
  <dcterms:created xsi:type="dcterms:W3CDTF">2020-01-06T01:47:07Z</dcterms:created>
  <dcterms:modified xsi:type="dcterms:W3CDTF">2022-01-01T04:58:32Z</dcterms:modified>
</cp:coreProperties>
</file>